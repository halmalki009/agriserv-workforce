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Final.dashboard/data/"/>
    </mc:Choice>
  </mc:AlternateContent>
  <xr:revisionPtr revIDLastSave="8" documentId="13_ncr:1_{C459CF2A-A201-4D09-B08F-441CE09B05FC}" xr6:coauthVersionLast="47" xr6:coauthVersionMax="47" xr10:uidLastSave="{1C5977D8-8AD7-4152-BE34-F155A4E5FAB4}"/>
  <bookViews>
    <workbookView xWindow="-120" yWindow="-120" windowWidth="38640" windowHeight="21120" xr2:uid="{9D91AF62-0599-4EA7-90ED-0076F146DE39}"/>
  </bookViews>
  <sheets>
    <sheet name="ورقة5" sheetId="1" r:id="rId1"/>
  </sheets>
  <externalReferences>
    <externalReference r:id="rId2"/>
  </externalReferences>
  <definedNames>
    <definedName name="_xlnm._FilterDatabase" localSheetId="0" hidden="1">ورقة5!$A$1:$Q$295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1" i="1"/>
  <c r="C12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" i="1"/>
  <c r="H295" i="1"/>
  <c r="I295" i="1"/>
  <c r="J295" i="1"/>
  <c r="L295" i="1"/>
  <c r="M295" i="1"/>
  <c r="N295" i="1"/>
  <c r="O295" i="1"/>
  <c r="P295" i="1"/>
  <c r="G29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1" i="1"/>
  <c r="Q242" i="1"/>
  <c r="Q243" i="1"/>
  <c r="Q244" i="1"/>
  <c r="Q245" i="1"/>
  <c r="Q246" i="1"/>
  <c r="Q247" i="1"/>
  <c r="Q248" i="1"/>
  <c r="Q249" i="1"/>
  <c r="Q250" i="1"/>
  <c r="Q251" i="1"/>
  <c r="Q253" i="1"/>
  <c r="Q254" i="1"/>
  <c r="Q255" i="1"/>
  <c r="Q256" i="1"/>
  <c r="Q257" i="1"/>
  <c r="Q258" i="1"/>
  <c r="Q259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" i="1"/>
  <c r="Q260" i="1"/>
  <c r="Q252" i="1"/>
  <c r="Q240" i="1"/>
  <c r="Q295" i="1" l="1"/>
  <c r="K295" i="1"/>
</calcChain>
</file>

<file path=xl/sharedStrings.xml><?xml version="1.0" encoding="utf-8"?>
<sst xmlns="http://schemas.openxmlformats.org/spreadsheetml/2006/main" count="899" uniqueCount="96">
  <si>
    <t>م</t>
  </si>
  <si>
    <t>الرقم الوظيفي</t>
  </si>
  <si>
    <t>يناير</t>
  </si>
  <si>
    <t>فبراير</t>
  </si>
  <si>
    <t>مارس</t>
  </si>
  <si>
    <t>ابريل</t>
  </si>
  <si>
    <t>مايو</t>
  </si>
  <si>
    <t>يوم تأسيس</t>
  </si>
  <si>
    <t xml:space="preserve">عيد الفطر </t>
  </si>
  <si>
    <t>عيد الأضحى</t>
  </si>
  <si>
    <t>الإجمالي الكلي</t>
  </si>
  <si>
    <t>الإجمالي</t>
  </si>
  <si>
    <t>يونيو</t>
  </si>
  <si>
    <t>يوليو</t>
  </si>
  <si>
    <t>الإدارة العامة</t>
  </si>
  <si>
    <t>الإدارة</t>
  </si>
  <si>
    <t>الموقع الفعلي</t>
  </si>
  <si>
    <t>الشؤون الإدارية</t>
  </si>
  <si>
    <t>إدارة ومراقبة الوثائق</t>
  </si>
  <si>
    <t xml:space="preserve">المقر الرئيسي </t>
  </si>
  <si>
    <t>إدارة الأسطول</t>
  </si>
  <si>
    <t>الموارد البشرية</t>
  </si>
  <si>
    <t>خدمات الموظفين</t>
  </si>
  <si>
    <t xml:space="preserve"> </t>
  </si>
  <si>
    <t>مكتب الرئيس التنفيذي</t>
  </si>
  <si>
    <t>الحوكمة والالتزام والمخاطر</t>
  </si>
  <si>
    <t>الاذونات وخدمات المحاجر</t>
  </si>
  <si>
    <t>خدمات المحجر</t>
  </si>
  <si>
    <t>محجر الخيل</t>
  </si>
  <si>
    <t>الحسابات</t>
  </si>
  <si>
    <t>التخطيط والأداء المالي</t>
  </si>
  <si>
    <t>الفسح المركزي</t>
  </si>
  <si>
    <t>تقنية المعلومات</t>
  </si>
  <si>
    <t>التحول الرقمي</t>
  </si>
  <si>
    <t>الخدمات المشتركة</t>
  </si>
  <si>
    <t>التواصل المؤسسي</t>
  </si>
  <si>
    <t>الفروع</t>
  </si>
  <si>
    <t>عمليات الفروع</t>
  </si>
  <si>
    <t>مكة المكرمة</t>
  </si>
  <si>
    <t>الاذونات</t>
  </si>
  <si>
    <t>محجر الخفجي  (الشرقية)</t>
  </si>
  <si>
    <t>العيادات البيطرية</t>
  </si>
  <si>
    <t>شمال الرياض</t>
  </si>
  <si>
    <t>مطار الملك خالد الدولي</t>
  </si>
  <si>
    <t>محجر مطار الملك خالد</t>
  </si>
  <si>
    <t>الخدمات البيطرية</t>
  </si>
  <si>
    <t>محجر ميناء الملك عبدالله رابغ</t>
  </si>
  <si>
    <t>ضرماء</t>
  </si>
  <si>
    <t>محجر سلوى  (الشرقية)</t>
  </si>
  <si>
    <t>شقراء</t>
  </si>
  <si>
    <t>رماح</t>
  </si>
  <si>
    <t>المجمعة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</si>
  <si>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</si>
  <si>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</si>
  <si>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</si>
  <si>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</si>
  <si>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</si>
  <si>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</si>
  <si>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</si>
  <si>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</si>
  <si>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</si>
  <si>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</si>
  <si>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</si>
  <si>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</si>
  <si>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</si>
  <si>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</si>
  <si>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</si>
  <si>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</si>
  <si>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</si>
  <si>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</si>
  <si>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</si>
  <si>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</si>
  <si>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الأسواق والمسالخ</t>
  </si>
  <si>
    <t>الدمام</t>
  </si>
  <si>
    <t>الطائف</t>
  </si>
  <si>
    <t>المدينة المنورة</t>
  </si>
  <si>
    <t>الباحة</t>
  </si>
  <si>
    <t>سكاكا</t>
  </si>
  <si>
    <t>أملج</t>
  </si>
  <si>
    <t>عرعر</t>
  </si>
  <si>
    <t>طريف</t>
  </si>
  <si>
    <t>جيزان</t>
  </si>
  <si>
    <t>الاحساء</t>
  </si>
  <si>
    <t>حفر الباطن</t>
  </si>
  <si>
    <t>بريدة</t>
  </si>
  <si>
    <t>جدة</t>
  </si>
  <si>
    <t>بدر</t>
  </si>
  <si>
    <t>رفحاء</t>
  </si>
  <si>
    <t>أبها</t>
  </si>
  <si>
    <t>رابغ</t>
  </si>
  <si>
    <t>ينبع</t>
  </si>
  <si>
    <t>العيص</t>
  </si>
  <si>
    <t>حائل</t>
  </si>
  <si>
    <t>نجران</t>
  </si>
  <si>
    <t>موظف</t>
  </si>
  <si>
    <t>نوع الموظف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</si>
</sst>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Dubai"/>
      <family val="2"/>
    </font>
    <font>
      <b/>
      <sz val="10"/>
      <name val="Duba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" fontId="2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2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vertime1.xlsx" TargetMode="External"/><Relationship Id="rId2" Type="http://schemas.openxmlformats.org/officeDocument/2006/relationships/externalLinkPath" Target="https://agriserv533-my.sharepoint.com/personal/hussain_almalki_agriserv_sa/Documents/Desktop/Overtime1.xlsx" TargetMode="External"/><Relationship Id="rId1" Type="http://schemas.openxmlformats.org/officeDocument/2006/relationships/externalLinkPath" Target="/personal/hussain_almalki_agriserv_sa/Documents/Desktop/Overtim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ورقة5"/>
    </sheetNames>
    <sheetDataSet>
      <sheetData sheetId="0">
        <row r="1">
          <cell r="B1" t="str">
            <v>الرقم الوظيفي</v>
          </cell>
          <cell r="C1" t="str">
            <v>نوع الموظف</v>
          </cell>
        </row>
        <row r="2">
          <cell r="B2">
            <v>100016</v>
          </cell>
          <cell r="C2" t="str">
            <v>موظف</v>
          </cell>
        </row>
        <row r="3">
          <cell r="B3">
            <v>100047</v>
          </cell>
          <cell r="C3" t="str">
            <v>موظف</v>
          </cell>
        </row>
        <row r="4">
          <cell r="B4">
            <v>100048</v>
          </cell>
          <cell r="C4" t="str">
            <v>موظف</v>
          </cell>
        </row>
        <row r="5">
          <cell r="B5">
            <v>100051</v>
          </cell>
          <cell r="C5" t="str">
            <v>موظف</v>
          </cell>
        </row>
        <row r="6">
          <cell r="B6">
            <v>100065</v>
          </cell>
          <cell r="C6" t="str">
            <v>موظف</v>
          </cell>
        </row>
        <row r="7">
          <cell r="B7">
            <v>100066</v>
          </cell>
          <cell r="C7" t="str">
            <v>موظف</v>
          </cell>
        </row>
        <row r="8">
          <cell r="B8">
            <v>100075</v>
          </cell>
          <cell r="C8" t="str">
            <v>إعارة</v>
          </cell>
        </row>
        <row r="9">
          <cell r="B9">
            <v>100090</v>
          </cell>
          <cell r="C9" t="str">
            <v>موظف</v>
          </cell>
        </row>
        <row r="10">
          <cell r="B10">
            <v>100135</v>
          </cell>
          <cell r="C10" t="str">
            <v>موظف</v>
          </cell>
        </row>
        <row r="11">
          <cell r="B11">
            <v>100137</v>
          </cell>
          <cell r="C11" t="str">
            <v>موظف</v>
          </cell>
        </row>
        <row r="12">
          <cell r="B12">
            <v>100151</v>
          </cell>
          <cell r="C12" t="str">
            <v>موظف</v>
          </cell>
        </row>
        <row r="13">
          <cell r="B13">
            <v>100155</v>
          </cell>
          <cell r="C13" t="str">
            <v>موظف</v>
          </cell>
        </row>
        <row r="14">
          <cell r="B14">
            <v>100174</v>
          </cell>
          <cell r="C14" t="str">
            <v>موظف</v>
          </cell>
        </row>
        <row r="15">
          <cell r="B15">
            <v>400029</v>
          </cell>
          <cell r="C15" t="str">
            <v>إعارة</v>
          </cell>
        </row>
        <row r="16">
          <cell r="B16">
            <v>400032</v>
          </cell>
          <cell r="C16" t="str">
            <v>إعارة</v>
          </cell>
        </row>
        <row r="17">
          <cell r="B17">
            <v>400033</v>
          </cell>
          <cell r="C17" t="str">
            <v>إعارة</v>
          </cell>
        </row>
        <row r="18">
          <cell r="B18">
            <v>400037</v>
          </cell>
          <cell r="C18" t="str">
            <v>إعارة</v>
          </cell>
        </row>
        <row r="19">
          <cell r="B19">
            <v>400038</v>
          </cell>
          <cell r="C19" t="str">
            <v>إعارة</v>
          </cell>
        </row>
        <row r="20">
          <cell r="B20">
            <v>400041</v>
          </cell>
          <cell r="C20" t="str">
            <v>إعارة</v>
          </cell>
        </row>
        <row r="21">
          <cell r="B21">
            <v>400044</v>
          </cell>
          <cell r="C21" t="str">
            <v>إعارة</v>
          </cell>
        </row>
        <row r="22">
          <cell r="B22">
            <v>400045</v>
          </cell>
          <cell r="C22" t="str">
            <v>إعارة</v>
          </cell>
        </row>
        <row r="23">
          <cell r="B23">
            <v>400051</v>
          </cell>
          <cell r="C23" t="str">
            <v>إعارة</v>
          </cell>
        </row>
        <row r="24">
          <cell r="B24">
            <v>400052</v>
          </cell>
          <cell r="C24" t="str">
            <v>إعارة</v>
          </cell>
        </row>
        <row r="25">
          <cell r="B25">
            <v>400061</v>
          </cell>
          <cell r="C25" t="str">
            <v>إعارة</v>
          </cell>
        </row>
        <row r="26">
          <cell r="B26">
            <v>400066</v>
          </cell>
          <cell r="C26" t="str">
            <v>إعارة</v>
          </cell>
        </row>
        <row r="27">
          <cell r="B27">
            <v>400068</v>
          </cell>
          <cell r="C27" t="str">
            <v>إعارة</v>
          </cell>
        </row>
        <row r="28">
          <cell r="B28">
            <v>400069</v>
          </cell>
          <cell r="C28" t="str">
            <v>إعارة</v>
          </cell>
        </row>
        <row r="29">
          <cell r="B29">
            <v>400070</v>
          </cell>
          <cell r="C29" t="str">
            <v>إعارة</v>
          </cell>
        </row>
        <row r="30">
          <cell r="B30">
            <v>400071</v>
          </cell>
          <cell r="C30" t="str">
            <v>إعارة</v>
          </cell>
        </row>
        <row r="31">
          <cell r="B31">
            <v>400072</v>
          </cell>
          <cell r="C31" t="str">
            <v>إعارة</v>
          </cell>
        </row>
        <row r="32">
          <cell r="B32">
            <v>400074</v>
          </cell>
          <cell r="C32" t="str">
            <v>إعارة</v>
          </cell>
        </row>
        <row r="33">
          <cell r="B33">
            <v>400075</v>
          </cell>
          <cell r="C33" t="str">
            <v>إعارة</v>
          </cell>
        </row>
        <row r="34">
          <cell r="B34">
            <v>400077</v>
          </cell>
          <cell r="C34" t="str">
            <v>إعارة</v>
          </cell>
        </row>
        <row r="35">
          <cell r="B35">
            <v>400080</v>
          </cell>
          <cell r="C35" t="str">
            <v>إعارة</v>
          </cell>
        </row>
        <row r="36">
          <cell r="B36">
            <v>400083</v>
          </cell>
          <cell r="C36" t="str">
            <v>إعارة</v>
          </cell>
        </row>
        <row r="37">
          <cell r="B37">
            <v>400085</v>
          </cell>
          <cell r="C37" t="str">
            <v>إعارة</v>
          </cell>
        </row>
        <row r="38">
          <cell r="B38">
            <v>400086</v>
          </cell>
          <cell r="C38" t="str">
            <v>إعارة</v>
          </cell>
        </row>
        <row r="39">
          <cell r="B39">
            <v>400087</v>
          </cell>
          <cell r="C39" t="str">
            <v>إعارة</v>
          </cell>
        </row>
        <row r="40">
          <cell r="B40">
            <v>400088</v>
          </cell>
          <cell r="C40" t="str">
            <v>إعارة</v>
          </cell>
        </row>
        <row r="41">
          <cell r="B41">
            <v>400091</v>
          </cell>
          <cell r="C41" t="str">
            <v>إعارة</v>
          </cell>
        </row>
        <row r="42">
          <cell r="B42">
            <v>400092</v>
          </cell>
          <cell r="C42" t="str">
            <v>إعارة</v>
          </cell>
        </row>
        <row r="43">
          <cell r="B43">
            <v>400096</v>
          </cell>
          <cell r="C43" t="str">
            <v>إعارة</v>
          </cell>
        </row>
        <row r="44">
          <cell r="B44">
            <v>400097</v>
          </cell>
          <cell r="C44" t="str">
            <v>إعارة</v>
          </cell>
        </row>
        <row r="45">
          <cell r="B45">
            <v>400100</v>
          </cell>
          <cell r="C45" t="str">
            <v>إعارة</v>
          </cell>
        </row>
        <row r="46">
          <cell r="B46">
            <v>400112</v>
          </cell>
          <cell r="C46" t="str">
            <v>إعارة</v>
          </cell>
        </row>
        <row r="47">
          <cell r="B47">
            <v>400133</v>
          </cell>
          <cell r="C47" t="str">
            <v>إعارة</v>
          </cell>
        </row>
        <row r="48">
          <cell r="B48">
            <v>400139</v>
          </cell>
          <cell r="C48" t="str">
            <v>إعارة</v>
          </cell>
        </row>
        <row r="49">
          <cell r="B49">
            <v>400144</v>
          </cell>
          <cell r="C49" t="str">
            <v>إعارة</v>
          </cell>
        </row>
        <row r="50">
          <cell r="B50">
            <v>400151</v>
          </cell>
          <cell r="C50" t="str">
            <v>إعارة</v>
          </cell>
        </row>
        <row r="51">
          <cell r="B51">
            <v>400162</v>
          </cell>
          <cell r="C51" t="str">
            <v>إعارة</v>
          </cell>
        </row>
        <row r="52">
          <cell r="B52">
            <v>400169</v>
          </cell>
          <cell r="C52" t="str">
            <v>إعارة</v>
          </cell>
        </row>
        <row r="53">
          <cell r="B53">
            <v>400191</v>
          </cell>
          <cell r="C53" t="str">
            <v>إعارة</v>
          </cell>
        </row>
        <row r="54">
          <cell r="B54">
            <v>400198</v>
          </cell>
          <cell r="C54" t="str">
            <v>إعارة</v>
          </cell>
        </row>
        <row r="55">
          <cell r="B55">
            <v>400206</v>
          </cell>
          <cell r="C55" t="str">
            <v>إعارة</v>
          </cell>
        </row>
        <row r="56">
          <cell r="B56">
            <v>400216</v>
          </cell>
          <cell r="C56" t="str">
            <v>إعارة</v>
          </cell>
        </row>
        <row r="57">
          <cell r="B57">
            <v>400220</v>
          </cell>
          <cell r="C57" t="str">
            <v>إعارة</v>
          </cell>
        </row>
        <row r="58">
          <cell r="B58">
            <v>400221</v>
          </cell>
          <cell r="C58" t="str">
            <v>إعارة</v>
          </cell>
        </row>
        <row r="59">
          <cell r="B59">
            <v>400223</v>
          </cell>
          <cell r="C59" t="str">
            <v>إعارة</v>
          </cell>
        </row>
        <row r="60">
          <cell r="B60">
            <v>400229</v>
          </cell>
          <cell r="C60" t="str">
            <v>إعارة</v>
          </cell>
        </row>
        <row r="61">
          <cell r="B61">
            <v>400258</v>
          </cell>
          <cell r="C61" t="str">
            <v>إعارة</v>
          </cell>
        </row>
        <row r="62">
          <cell r="B62">
            <v>400259</v>
          </cell>
          <cell r="C62" t="str">
            <v>إعارة</v>
          </cell>
        </row>
        <row r="63">
          <cell r="B63">
            <v>400260</v>
          </cell>
          <cell r="C63" t="str">
            <v>إعارة</v>
          </cell>
        </row>
        <row r="64">
          <cell r="B64">
            <v>400261</v>
          </cell>
          <cell r="C64" t="str">
            <v>إعارة</v>
          </cell>
        </row>
        <row r="65">
          <cell r="B65">
            <v>400262</v>
          </cell>
          <cell r="C65" t="str">
            <v>إعارة</v>
          </cell>
        </row>
        <row r="66">
          <cell r="B66">
            <v>400263</v>
          </cell>
          <cell r="C66" t="str">
            <v>إعارة</v>
          </cell>
        </row>
        <row r="67">
          <cell r="B67">
            <v>400266</v>
          </cell>
          <cell r="C67" t="str">
            <v>إعارة</v>
          </cell>
        </row>
        <row r="68">
          <cell r="B68">
            <v>400267</v>
          </cell>
          <cell r="C68" t="str">
            <v>إعارة</v>
          </cell>
        </row>
        <row r="69">
          <cell r="B69">
            <v>400270</v>
          </cell>
          <cell r="C69" t="str">
            <v>إعارة</v>
          </cell>
        </row>
        <row r="70">
          <cell r="B70">
            <v>400271</v>
          </cell>
          <cell r="C70" t="str">
            <v>إعارة</v>
          </cell>
        </row>
        <row r="71">
          <cell r="B71">
            <v>400273</v>
          </cell>
          <cell r="C71" t="str">
            <v>إعارة</v>
          </cell>
        </row>
        <row r="72">
          <cell r="B72">
            <v>400274</v>
          </cell>
          <cell r="C72" t="str">
            <v>إعارة</v>
          </cell>
        </row>
        <row r="73">
          <cell r="B73">
            <v>400275</v>
          </cell>
          <cell r="C73" t="str">
            <v>إعارة</v>
          </cell>
        </row>
        <row r="74">
          <cell r="B74">
            <v>400276</v>
          </cell>
          <cell r="C74" t="str">
            <v>إعارة</v>
          </cell>
        </row>
        <row r="75">
          <cell r="B75">
            <v>400277</v>
          </cell>
          <cell r="C75" t="str">
            <v>إعارة</v>
          </cell>
        </row>
        <row r="76">
          <cell r="B76">
            <v>400278</v>
          </cell>
          <cell r="C76" t="str">
            <v>إعارة</v>
          </cell>
        </row>
        <row r="77">
          <cell r="B77">
            <v>400279</v>
          </cell>
          <cell r="C77" t="str">
            <v>إعارة</v>
          </cell>
        </row>
        <row r="78">
          <cell r="B78">
            <v>400281</v>
          </cell>
          <cell r="C78" t="str">
            <v>إعارة</v>
          </cell>
        </row>
        <row r="79">
          <cell r="B79">
            <v>400283</v>
          </cell>
          <cell r="C79" t="str">
            <v>إعارة</v>
          </cell>
        </row>
        <row r="80">
          <cell r="B80">
            <v>400284</v>
          </cell>
          <cell r="C80" t="str">
            <v>إعارة</v>
          </cell>
        </row>
        <row r="81">
          <cell r="B81">
            <v>400286</v>
          </cell>
          <cell r="C81" t="str">
            <v>إعارة</v>
          </cell>
        </row>
        <row r="82">
          <cell r="B82">
            <v>400287</v>
          </cell>
          <cell r="C82" t="str">
            <v>إعارة</v>
          </cell>
        </row>
        <row r="83">
          <cell r="B83">
            <v>400289</v>
          </cell>
          <cell r="C83" t="str">
            <v>إعارة</v>
          </cell>
        </row>
        <row r="84">
          <cell r="B84">
            <v>400290</v>
          </cell>
          <cell r="C84" t="str">
            <v>إعارة</v>
          </cell>
        </row>
        <row r="85">
          <cell r="B85">
            <v>400291</v>
          </cell>
          <cell r="C85" t="str">
            <v>إعارة</v>
          </cell>
        </row>
        <row r="86">
          <cell r="B86">
            <v>400293</v>
          </cell>
          <cell r="C86" t="str">
            <v>إعارة</v>
          </cell>
        </row>
        <row r="87">
          <cell r="B87">
            <v>400294</v>
          </cell>
          <cell r="C87" t="str">
            <v>إعارة</v>
          </cell>
        </row>
        <row r="88">
          <cell r="B88">
            <v>400295</v>
          </cell>
          <cell r="C88" t="str">
            <v>إعارة</v>
          </cell>
        </row>
        <row r="89">
          <cell r="B89">
            <v>400296</v>
          </cell>
          <cell r="C89" t="str">
            <v>إعارة</v>
          </cell>
        </row>
        <row r="90">
          <cell r="B90">
            <v>400298</v>
          </cell>
          <cell r="C90" t="str">
            <v>إعارة</v>
          </cell>
        </row>
        <row r="91">
          <cell r="B91">
            <v>400300</v>
          </cell>
          <cell r="C91" t="str">
            <v>إعارة</v>
          </cell>
        </row>
        <row r="92">
          <cell r="B92">
            <v>400301</v>
          </cell>
          <cell r="C92" t="str">
            <v>إعارة</v>
          </cell>
        </row>
        <row r="93">
          <cell r="B93">
            <v>400302</v>
          </cell>
          <cell r="C93" t="str">
            <v>إعارة</v>
          </cell>
        </row>
        <row r="94">
          <cell r="B94">
            <v>400303</v>
          </cell>
          <cell r="C94" t="str">
            <v>إعارة</v>
          </cell>
        </row>
        <row r="95">
          <cell r="B95">
            <v>400304</v>
          </cell>
          <cell r="C95" t="str">
            <v>إعارة</v>
          </cell>
        </row>
        <row r="96">
          <cell r="B96">
            <v>400305</v>
          </cell>
          <cell r="C96" t="str">
            <v>إعارة</v>
          </cell>
        </row>
        <row r="97">
          <cell r="B97">
            <v>400306</v>
          </cell>
          <cell r="C97" t="str">
            <v>إعارة</v>
          </cell>
        </row>
        <row r="98">
          <cell r="B98">
            <v>400307</v>
          </cell>
          <cell r="C98" t="str">
            <v>إعارة</v>
          </cell>
        </row>
        <row r="99">
          <cell r="B99">
            <v>400308</v>
          </cell>
          <cell r="C99" t="str">
            <v>إعارة</v>
          </cell>
        </row>
        <row r="100">
          <cell r="B100">
            <v>400309</v>
          </cell>
          <cell r="C100" t="str">
            <v>إعارة</v>
          </cell>
        </row>
        <row r="101">
          <cell r="B101">
            <v>400310</v>
          </cell>
          <cell r="C101" t="str">
            <v>إعارة</v>
          </cell>
        </row>
        <row r="102">
          <cell r="B102">
            <v>400311</v>
          </cell>
          <cell r="C102" t="str">
            <v>إعارة</v>
          </cell>
        </row>
        <row r="103">
          <cell r="B103">
            <v>400312</v>
          </cell>
          <cell r="C103" t="str">
            <v>إعارة</v>
          </cell>
        </row>
        <row r="104">
          <cell r="B104">
            <v>400313</v>
          </cell>
          <cell r="C104" t="str">
            <v>إعارة</v>
          </cell>
        </row>
        <row r="105">
          <cell r="B105">
            <v>400314</v>
          </cell>
          <cell r="C105" t="str">
            <v>إعارة</v>
          </cell>
        </row>
        <row r="106">
          <cell r="B106">
            <v>400315</v>
          </cell>
          <cell r="C106" t="str">
            <v>إعارة</v>
          </cell>
        </row>
        <row r="107">
          <cell r="B107">
            <v>400318</v>
          </cell>
          <cell r="C107" t="str">
            <v>إعارة</v>
          </cell>
        </row>
        <row r="108">
          <cell r="B108">
            <v>400319</v>
          </cell>
          <cell r="C108" t="str">
            <v>إعارة</v>
          </cell>
        </row>
        <row r="109">
          <cell r="B109">
            <v>400320</v>
          </cell>
          <cell r="C109" t="str">
            <v>إعارة</v>
          </cell>
        </row>
        <row r="110">
          <cell r="B110">
            <v>400321</v>
          </cell>
          <cell r="C110" t="str">
            <v>إعارة</v>
          </cell>
        </row>
        <row r="111">
          <cell r="B111">
            <v>400322</v>
          </cell>
          <cell r="C111" t="str">
            <v>إعارة</v>
          </cell>
        </row>
        <row r="112">
          <cell r="B112">
            <v>400325</v>
          </cell>
          <cell r="C112" t="str">
            <v>إعارة</v>
          </cell>
        </row>
        <row r="113">
          <cell r="B113">
            <v>400328</v>
          </cell>
          <cell r="C113" t="str">
            <v>إعارة</v>
          </cell>
        </row>
        <row r="114">
          <cell r="B114">
            <v>400330</v>
          </cell>
          <cell r="C114" t="str">
            <v>إعارة</v>
          </cell>
        </row>
        <row r="115">
          <cell r="B115">
            <v>400331</v>
          </cell>
          <cell r="C115" t="str">
            <v>إعارة</v>
          </cell>
        </row>
        <row r="116">
          <cell r="B116">
            <v>400332</v>
          </cell>
          <cell r="C116" t="str">
            <v>إعارة</v>
          </cell>
        </row>
        <row r="117">
          <cell r="B117">
            <v>400333</v>
          </cell>
          <cell r="C117" t="str">
            <v>إعارة</v>
          </cell>
        </row>
        <row r="118">
          <cell r="B118">
            <v>400334</v>
          </cell>
          <cell r="C118" t="str">
            <v>إعارة</v>
          </cell>
        </row>
        <row r="119">
          <cell r="B119">
            <v>400335</v>
          </cell>
          <cell r="C119" t="str">
            <v>إعارة</v>
          </cell>
        </row>
        <row r="120">
          <cell r="B120">
            <v>400336</v>
          </cell>
          <cell r="C120" t="str">
            <v>إعارة</v>
          </cell>
        </row>
        <row r="121">
          <cell r="B121">
            <v>400338</v>
          </cell>
          <cell r="C121" t="str">
            <v>إعارة</v>
          </cell>
        </row>
        <row r="122">
          <cell r="B122">
            <v>400339</v>
          </cell>
          <cell r="C122" t="str">
            <v>إعارة</v>
          </cell>
        </row>
        <row r="123">
          <cell r="B123">
            <v>400340</v>
          </cell>
          <cell r="C123" t="str">
            <v>إعارة</v>
          </cell>
        </row>
        <row r="124">
          <cell r="B124">
            <v>400343</v>
          </cell>
          <cell r="C124" t="str">
            <v>إعارة</v>
          </cell>
        </row>
        <row r="125">
          <cell r="B125">
            <v>400344</v>
          </cell>
          <cell r="C125" t="str">
            <v>إعارة</v>
          </cell>
        </row>
        <row r="126">
          <cell r="B126">
            <v>400345</v>
          </cell>
          <cell r="C126" t="str">
            <v>إعارة</v>
          </cell>
        </row>
        <row r="127">
          <cell r="B127">
            <v>400346</v>
          </cell>
          <cell r="C127" t="str">
            <v>إعارة</v>
          </cell>
        </row>
        <row r="128">
          <cell r="B128">
            <v>400347</v>
          </cell>
          <cell r="C128" t="str">
            <v>إعارة</v>
          </cell>
        </row>
        <row r="129">
          <cell r="B129">
            <v>400348</v>
          </cell>
          <cell r="C129" t="str">
            <v>إعارة</v>
          </cell>
        </row>
        <row r="130">
          <cell r="B130">
            <v>400349</v>
          </cell>
          <cell r="C130" t="str">
            <v>إعارة</v>
          </cell>
        </row>
        <row r="131">
          <cell r="B131">
            <v>400350</v>
          </cell>
          <cell r="C131" t="str">
            <v>إعارة</v>
          </cell>
        </row>
        <row r="132">
          <cell r="B132">
            <v>400352</v>
          </cell>
          <cell r="C132" t="str">
            <v>إعارة</v>
          </cell>
        </row>
        <row r="133">
          <cell r="B133">
            <v>400353</v>
          </cell>
          <cell r="C133" t="str">
            <v>إعارة</v>
          </cell>
        </row>
        <row r="134">
          <cell r="B134">
            <v>400354</v>
          </cell>
          <cell r="C134" t="str">
            <v>إعارة</v>
          </cell>
        </row>
        <row r="135">
          <cell r="B135">
            <v>400355</v>
          </cell>
          <cell r="C135" t="str">
            <v>إعارة</v>
          </cell>
        </row>
        <row r="136">
          <cell r="B136">
            <v>400356</v>
          </cell>
          <cell r="C136" t="str">
            <v>إعارة</v>
          </cell>
        </row>
        <row r="137">
          <cell r="B137">
            <v>400357</v>
          </cell>
          <cell r="C137" t="str">
            <v>إعارة</v>
          </cell>
        </row>
        <row r="138">
          <cell r="B138">
            <v>400358</v>
          </cell>
          <cell r="C138" t="str">
            <v>إعارة</v>
          </cell>
        </row>
        <row r="139">
          <cell r="B139">
            <v>400359</v>
          </cell>
          <cell r="C139" t="str">
            <v>إعارة</v>
          </cell>
        </row>
        <row r="140">
          <cell r="B140">
            <v>400361</v>
          </cell>
          <cell r="C140" t="str">
            <v>إعارة</v>
          </cell>
        </row>
        <row r="141">
          <cell r="B141">
            <v>400362</v>
          </cell>
          <cell r="C141" t="str">
            <v>إعارة</v>
          </cell>
        </row>
        <row r="142">
          <cell r="B142">
            <v>400363</v>
          </cell>
          <cell r="C142" t="str">
            <v>إعارة</v>
          </cell>
        </row>
        <row r="143">
          <cell r="B143">
            <v>400364</v>
          </cell>
          <cell r="C143" t="str">
            <v>إعارة</v>
          </cell>
        </row>
        <row r="144">
          <cell r="B144">
            <v>400365</v>
          </cell>
          <cell r="C144" t="str">
            <v>إعارة</v>
          </cell>
        </row>
        <row r="145">
          <cell r="B145">
            <v>400367</v>
          </cell>
          <cell r="C145" t="str">
            <v>إعارة</v>
          </cell>
        </row>
        <row r="146">
          <cell r="B146">
            <v>400368</v>
          </cell>
          <cell r="C146" t="str">
            <v>إعارة</v>
          </cell>
        </row>
        <row r="147">
          <cell r="B147">
            <v>400369</v>
          </cell>
          <cell r="C147" t="str">
            <v>إعارة</v>
          </cell>
        </row>
        <row r="148">
          <cell r="B148">
            <v>400370</v>
          </cell>
          <cell r="C148" t="str">
            <v>إعارة</v>
          </cell>
        </row>
        <row r="149">
          <cell r="B149">
            <v>400371</v>
          </cell>
          <cell r="C149" t="str">
            <v>إعارة</v>
          </cell>
        </row>
        <row r="150">
          <cell r="B150">
            <v>400372</v>
          </cell>
          <cell r="C150" t="str">
            <v>إعارة</v>
          </cell>
        </row>
        <row r="151">
          <cell r="B151">
            <v>400373</v>
          </cell>
          <cell r="C151" t="str">
            <v>إعارة</v>
          </cell>
        </row>
        <row r="152">
          <cell r="B152">
            <v>400374</v>
          </cell>
          <cell r="C152" t="str">
            <v>إعارة</v>
          </cell>
        </row>
        <row r="153">
          <cell r="B153">
            <v>400375</v>
          </cell>
          <cell r="C153" t="str">
            <v>إعارة</v>
          </cell>
        </row>
        <row r="154">
          <cell r="B154">
            <v>400376</v>
          </cell>
          <cell r="C154" t="str">
            <v>إعارة</v>
          </cell>
        </row>
        <row r="155">
          <cell r="B155">
            <v>400378</v>
          </cell>
          <cell r="C155" t="str">
            <v>إعارة</v>
          </cell>
        </row>
        <row r="156">
          <cell r="B156">
            <v>400379</v>
          </cell>
          <cell r="C156" t="str">
            <v>إعارة</v>
          </cell>
        </row>
        <row r="157">
          <cell r="B157">
            <v>400380</v>
          </cell>
          <cell r="C157" t="str">
            <v>إعارة</v>
          </cell>
        </row>
        <row r="158">
          <cell r="B158">
            <v>400381</v>
          </cell>
          <cell r="C158" t="str">
            <v>إعارة</v>
          </cell>
        </row>
        <row r="159">
          <cell r="B159">
            <v>400382</v>
          </cell>
          <cell r="C159" t="str">
            <v>إعارة</v>
          </cell>
        </row>
        <row r="160">
          <cell r="B160">
            <v>400383</v>
          </cell>
          <cell r="C160" t="str">
            <v>إعارة</v>
          </cell>
        </row>
        <row r="161">
          <cell r="B161">
            <v>400384</v>
          </cell>
          <cell r="C161" t="str">
            <v>إعارة</v>
          </cell>
        </row>
        <row r="162">
          <cell r="B162">
            <v>400385</v>
          </cell>
          <cell r="C162" t="str">
            <v>إعارة</v>
          </cell>
        </row>
        <row r="163">
          <cell r="B163">
            <v>400386</v>
          </cell>
          <cell r="C163" t="str">
            <v>إعارة</v>
          </cell>
        </row>
        <row r="164">
          <cell r="B164">
            <v>400387</v>
          </cell>
          <cell r="C164" t="str">
            <v>إعارة</v>
          </cell>
        </row>
        <row r="165">
          <cell r="B165">
            <v>400388</v>
          </cell>
          <cell r="C165" t="str">
            <v>إعارة</v>
          </cell>
        </row>
        <row r="166">
          <cell r="B166">
            <v>400389</v>
          </cell>
          <cell r="C166" t="str">
            <v>إعارة</v>
          </cell>
        </row>
        <row r="167">
          <cell r="B167">
            <v>400390</v>
          </cell>
          <cell r="C167" t="str">
            <v>إعارة</v>
          </cell>
        </row>
        <row r="168">
          <cell r="B168">
            <v>400391</v>
          </cell>
          <cell r="C168" t="str">
            <v>إعارة</v>
          </cell>
        </row>
        <row r="169">
          <cell r="B169">
            <v>400392</v>
          </cell>
          <cell r="C169" t="str">
            <v>إعارة</v>
          </cell>
        </row>
        <row r="170">
          <cell r="B170">
            <v>400393</v>
          </cell>
          <cell r="C170" t="str">
            <v>إعارة</v>
          </cell>
        </row>
        <row r="171">
          <cell r="B171">
            <v>400394</v>
          </cell>
          <cell r="C171" t="str">
            <v>إعارة</v>
          </cell>
        </row>
        <row r="172">
          <cell r="B172">
            <v>400395</v>
          </cell>
          <cell r="C172" t="str">
            <v>إعارة</v>
          </cell>
        </row>
        <row r="173">
          <cell r="B173">
            <v>400396</v>
          </cell>
          <cell r="C173" t="str">
            <v>إعارة</v>
          </cell>
        </row>
        <row r="174">
          <cell r="B174">
            <v>400397</v>
          </cell>
          <cell r="C174" t="str">
            <v>إعارة</v>
          </cell>
        </row>
        <row r="175">
          <cell r="B175">
            <v>400398</v>
          </cell>
          <cell r="C175" t="str">
            <v>إعارة</v>
          </cell>
        </row>
        <row r="176">
          <cell r="B176">
            <v>400399</v>
          </cell>
          <cell r="C176" t="str">
            <v>إعارة</v>
          </cell>
        </row>
        <row r="177">
          <cell r="B177">
            <v>400400</v>
          </cell>
          <cell r="C177" t="str">
            <v>إعارة</v>
          </cell>
        </row>
        <row r="178">
          <cell r="B178">
            <v>400401</v>
          </cell>
          <cell r="C178" t="str">
            <v>إعارة</v>
          </cell>
        </row>
        <row r="179">
          <cell r="B179">
            <v>400402</v>
          </cell>
          <cell r="C179" t="str">
            <v>إعارة</v>
          </cell>
        </row>
        <row r="180">
          <cell r="B180">
            <v>400403</v>
          </cell>
          <cell r="C180" t="str">
            <v>إعارة</v>
          </cell>
        </row>
        <row r="181">
          <cell r="B181">
            <v>400404</v>
          </cell>
          <cell r="C181" t="str">
            <v>إعارة</v>
          </cell>
        </row>
        <row r="182">
          <cell r="B182">
            <v>400405</v>
          </cell>
          <cell r="C182" t="str">
            <v>إعارة</v>
          </cell>
        </row>
        <row r="183">
          <cell r="B183">
            <v>400407</v>
          </cell>
          <cell r="C183" t="str">
            <v>إعارة</v>
          </cell>
        </row>
        <row r="184">
          <cell r="B184">
            <v>400409</v>
          </cell>
          <cell r="C184" t="str">
            <v>إعارة</v>
          </cell>
        </row>
        <row r="185">
          <cell r="B185">
            <v>400411</v>
          </cell>
          <cell r="C185" t="str">
            <v>إعارة</v>
          </cell>
        </row>
        <row r="186">
          <cell r="B186">
            <v>400412</v>
          </cell>
          <cell r="C186" t="str">
            <v>إعارة</v>
          </cell>
        </row>
        <row r="187">
          <cell r="B187">
            <v>400413</v>
          </cell>
          <cell r="C187" t="str">
            <v>إعارة</v>
          </cell>
        </row>
        <row r="188">
          <cell r="B188">
            <v>400414</v>
          </cell>
          <cell r="C188" t="str">
            <v>إعارة</v>
          </cell>
        </row>
        <row r="189">
          <cell r="B189">
            <v>400415</v>
          </cell>
          <cell r="C189" t="str">
            <v>إعارة</v>
          </cell>
        </row>
        <row r="190">
          <cell r="B190">
            <v>400416</v>
          </cell>
          <cell r="C190" t="str">
            <v>إعارة</v>
          </cell>
        </row>
        <row r="191">
          <cell r="B191">
            <v>400417</v>
          </cell>
          <cell r="C191" t="str">
            <v>إعارة</v>
          </cell>
        </row>
        <row r="192">
          <cell r="B192">
            <v>400418</v>
          </cell>
          <cell r="C192" t="str">
            <v>إعارة</v>
          </cell>
        </row>
        <row r="193">
          <cell r="B193">
            <v>400419</v>
          </cell>
          <cell r="C193" t="str">
            <v>إعارة</v>
          </cell>
        </row>
        <row r="194">
          <cell r="B194">
            <v>400420</v>
          </cell>
          <cell r="C194" t="str">
            <v>إعارة</v>
          </cell>
        </row>
        <row r="195">
          <cell r="B195">
            <v>400421</v>
          </cell>
          <cell r="C195" t="str">
            <v>إعارة</v>
          </cell>
        </row>
        <row r="196">
          <cell r="B196">
            <v>400422</v>
          </cell>
          <cell r="C196" t="str">
            <v>إعارة</v>
          </cell>
        </row>
        <row r="197">
          <cell r="B197">
            <v>400423</v>
          </cell>
          <cell r="C197" t="str">
            <v>إعارة</v>
          </cell>
        </row>
        <row r="198">
          <cell r="B198">
            <v>400424</v>
          </cell>
          <cell r="C198" t="str">
            <v>إعارة</v>
          </cell>
        </row>
        <row r="199">
          <cell r="B199">
            <v>400425</v>
          </cell>
          <cell r="C199" t="str">
            <v>إعارة</v>
          </cell>
        </row>
        <row r="200">
          <cell r="B200">
            <v>400426</v>
          </cell>
          <cell r="C200" t="str">
            <v>إعارة</v>
          </cell>
        </row>
        <row r="201">
          <cell r="B201">
            <v>400427</v>
          </cell>
          <cell r="C201" t="str">
            <v>إعارة</v>
          </cell>
        </row>
        <row r="202">
          <cell r="B202">
            <v>400428</v>
          </cell>
          <cell r="C202" t="str">
            <v>إعارة</v>
          </cell>
        </row>
        <row r="203">
          <cell r="B203">
            <v>400429</v>
          </cell>
          <cell r="C203" t="str">
            <v>إعارة</v>
          </cell>
        </row>
        <row r="204">
          <cell r="B204">
            <v>400430</v>
          </cell>
          <cell r="C204" t="str">
            <v>إعارة</v>
          </cell>
        </row>
        <row r="205">
          <cell r="B205">
            <v>400432</v>
          </cell>
          <cell r="C205" t="str">
            <v>إعارة</v>
          </cell>
        </row>
        <row r="206">
          <cell r="B206">
            <v>400433</v>
          </cell>
          <cell r="C206" t="str">
            <v>إعارة</v>
          </cell>
        </row>
        <row r="207">
          <cell r="B207">
            <v>400435</v>
          </cell>
          <cell r="C207" t="str">
            <v>إعارة</v>
          </cell>
        </row>
        <row r="208">
          <cell r="B208">
            <v>400436</v>
          </cell>
          <cell r="C208" t="str">
            <v>إعارة</v>
          </cell>
        </row>
        <row r="209">
          <cell r="B209">
            <v>400437</v>
          </cell>
          <cell r="C209" t="str">
            <v>إعارة</v>
          </cell>
        </row>
        <row r="210">
          <cell r="B210">
            <v>400438</v>
          </cell>
          <cell r="C210" t="str">
            <v>إعارة</v>
          </cell>
        </row>
        <row r="211">
          <cell r="B211">
            <v>400439</v>
          </cell>
          <cell r="C211" t="str">
            <v>إعارة</v>
          </cell>
        </row>
        <row r="212">
          <cell r="B212">
            <v>400440</v>
          </cell>
          <cell r="C212" t="str">
            <v>إعارة</v>
          </cell>
        </row>
        <row r="213">
          <cell r="B213">
            <v>400441</v>
          </cell>
          <cell r="C213" t="str">
            <v>إعارة</v>
          </cell>
        </row>
        <row r="214">
          <cell r="B214">
            <v>400442</v>
          </cell>
          <cell r="C214" t="str">
            <v>إعارة</v>
          </cell>
        </row>
        <row r="215">
          <cell r="B215">
            <v>400443</v>
          </cell>
          <cell r="C215" t="str">
            <v>إعارة</v>
          </cell>
        </row>
        <row r="216">
          <cell r="B216">
            <v>400446</v>
          </cell>
          <cell r="C216" t="str">
            <v>إعارة</v>
          </cell>
        </row>
        <row r="217">
          <cell r="B217">
            <v>400447</v>
          </cell>
          <cell r="C217" t="str">
            <v>إعارة</v>
          </cell>
        </row>
        <row r="218">
          <cell r="B218">
            <v>400448</v>
          </cell>
          <cell r="C218" t="str">
            <v>إعارة</v>
          </cell>
        </row>
        <row r="219">
          <cell r="B219">
            <v>400449</v>
          </cell>
          <cell r="C219" t="str">
            <v>إعارة</v>
          </cell>
        </row>
        <row r="220">
          <cell r="B220">
            <v>400450</v>
          </cell>
          <cell r="C220" t="str">
            <v>إعارة</v>
          </cell>
        </row>
        <row r="221">
          <cell r="B221">
            <v>400451</v>
          </cell>
          <cell r="C221" t="str">
            <v>إعارة</v>
          </cell>
        </row>
        <row r="222">
          <cell r="B222">
            <v>400453</v>
          </cell>
          <cell r="C222" t="str">
            <v>إعارة</v>
          </cell>
        </row>
        <row r="223">
          <cell r="B223">
            <v>400454</v>
          </cell>
          <cell r="C223" t="str">
            <v>إعارة</v>
          </cell>
        </row>
        <row r="224">
          <cell r="B224">
            <v>400455</v>
          </cell>
          <cell r="C224" t="str">
            <v>إعارة</v>
          </cell>
        </row>
        <row r="225">
          <cell r="B225">
            <v>400456</v>
          </cell>
          <cell r="C225" t="str">
            <v>إعارة</v>
          </cell>
        </row>
        <row r="226">
          <cell r="B226">
            <v>400457</v>
          </cell>
          <cell r="C226" t="str">
            <v>إعارة</v>
          </cell>
        </row>
        <row r="227">
          <cell r="B227">
            <v>400459</v>
          </cell>
          <cell r="C227" t="str">
            <v>إعارة</v>
          </cell>
        </row>
        <row r="228">
          <cell r="B228">
            <v>400460</v>
          </cell>
          <cell r="C228" t="str">
            <v>إعارة</v>
          </cell>
        </row>
        <row r="229">
          <cell r="B229">
            <v>400461</v>
          </cell>
          <cell r="C229" t="str">
            <v>إعارة</v>
          </cell>
        </row>
        <row r="230">
          <cell r="B230">
            <v>400463</v>
          </cell>
          <cell r="C230" t="str">
            <v>إعارة</v>
          </cell>
        </row>
        <row r="231">
          <cell r="B231">
            <v>400464</v>
          </cell>
          <cell r="C231" t="str">
            <v>إعارة</v>
          </cell>
        </row>
        <row r="232">
          <cell r="B232">
            <v>400465</v>
          </cell>
          <cell r="C232" t="str">
            <v>إعارة</v>
          </cell>
        </row>
        <row r="233">
          <cell r="B233">
            <v>400467</v>
          </cell>
          <cell r="C233" t="str">
            <v>إعارة</v>
          </cell>
        </row>
        <row r="234">
          <cell r="B234">
            <v>400471</v>
          </cell>
          <cell r="C234" t="str">
            <v>إعارة</v>
          </cell>
        </row>
        <row r="235">
          <cell r="B235">
            <v>400472</v>
          </cell>
          <cell r="C235" t="str">
            <v>إعارة</v>
          </cell>
        </row>
        <row r="236">
          <cell r="B236">
            <v>400473</v>
          </cell>
          <cell r="C236" t="str">
            <v>إعارة</v>
          </cell>
        </row>
        <row r="237">
          <cell r="B237">
            <v>400474</v>
          </cell>
          <cell r="C237" t="str">
            <v>إعارة</v>
          </cell>
        </row>
        <row r="238">
          <cell r="B238">
            <v>400475</v>
          </cell>
          <cell r="C238" t="str">
            <v>إعارة</v>
          </cell>
        </row>
        <row r="239">
          <cell r="B239">
            <v>400476</v>
          </cell>
          <cell r="C239" t="str">
            <v>إعارة</v>
          </cell>
        </row>
        <row r="240">
          <cell r="B240">
            <v>400478</v>
          </cell>
          <cell r="C240" t="str">
            <v>إعارة</v>
          </cell>
        </row>
        <row r="241">
          <cell r="B241">
            <v>400480</v>
          </cell>
          <cell r="C241" t="str">
            <v>إعارة</v>
          </cell>
        </row>
        <row r="242">
          <cell r="B242">
            <v>400488</v>
          </cell>
          <cell r="C242" t="str">
            <v>إعارة</v>
          </cell>
        </row>
        <row r="243">
          <cell r="B243">
            <v>400490</v>
          </cell>
          <cell r="C243" t="str">
            <v>إعارة</v>
          </cell>
        </row>
        <row r="244">
          <cell r="B244">
            <v>400492</v>
          </cell>
          <cell r="C244" t="str">
            <v>إعارة</v>
          </cell>
        </row>
        <row r="245">
          <cell r="B245">
            <v>400493</v>
          </cell>
          <cell r="C245" t="str">
            <v>إعارة</v>
          </cell>
        </row>
        <row r="246">
          <cell r="B246">
            <v>400496</v>
          </cell>
          <cell r="C246" t="str">
            <v>إعارة</v>
          </cell>
        </row>
        <row r="247">
          <cell r="B247">
            <v>400497</v>
          </cell>
          <cell r="C247" t="str">
            <v>إعارة</v>
          </cell>
        </row>
        <row r="248">
          <cell r="B248">
            <v>400500</v>
          </cell>
          <cell r="C248" t="str">
            <v>إعارة</v>
          </cell>
        </row>
        <row r="249">
          <cell r="B249">
            <v>400501</v>
          </cell>
          <cell r="C249" t="str">
            <v>إعارة</v>
          </cell>
        </row>
        <row r="250">
          <cell r="B250">
            <v>400503</v>
          </cell>
          <cell r="C250" t="str">
            <v>إعارة</v>
          </cell>
        </row>
        <row r="251">
          <cell r="B251">
            <v>400504</v>
          </cell>
          <cell r="C251" t="str">
            <v>إعارة</v>
          </cell>
        </row>
        <row r="252">
          <cell r="B252">
            <v>400509</v>
          </cell>
          <cell r="C252" t="str">
            <v>إعارة</v>
          </cell>
        </row>
        <row r="253">
          <cell r="B253">
            <v>400512</v>
          </cell>
          <cell r="C253" t="str">
            <v>إعارة</v>
          </cell>
        </row>
        <row r="254">
          <cell r="B254">
            <v>400513</v>
          </cell>
          <cell r="C254" t="str">
            <v>إعارة</v>
          </cell>
        </row>
        <row r="255">
          <cell r="B255">
            <v>400532</v>
          </cell>
          <cell r="C255" t="str">
            <v>إعارة</v>
          </cell>
        </row>
        <row r="256">
          <cell r="B256">
            <v>400533</v>
          </cell>
          <cell r="C256" t="str">
            <v>إعارة</v>
          </cell>
        </row>
        <row r="257">
          <cell r="B257">
            <v>400534</v>
          </cell>
          <cell r="C257" t="str">
            <v>إعارة</v>
          </cell>
        </row>
        <row r="258">
          <cell r="B258">
            <v>400543</v>
          </cell>
          <cell r="C258" t="str">
            <v>إعارة</v>
          </cell>
        </row>
        <row r="259">
          <cell r="B259">
            <v>400546</v>
          </cell>
          <cell r="C259" t="str">
            <v>إعارة</v>
          </cell>
        </row>
        <row r="260">
          <cell r="B260">
            <v>400548</v>
          </cell>
          <cell r="C260" t="str">
            <v>إعارة</v>
          </cell>
        </row>
        <row r="261">
          <cell r="B261">
            <v>400564</v>
          </cell>
          <cell r="C261" t="str">
            <v>إعارة</v>
          </cell>
        </row>
        <row r="262">
          <cell r="B262">
            <v>400573</v>
          </cell>
          <cell r="C262" t="str">
            <v>إعارة</v>
          </cell>
        </row>
        <row r="263">
          <cell r="B263">
            <v>400575</v>
          </cell>
          <cell r="C263" t="str">
            <v>إعارة</v>
          </cell>
        </row>
        <row r="264">
          <cell r="B264">
            <v>400576</v>
          </cell>
          <cell r="C264" t="str">
            <v>إعارة</v>
          </cell>
        </row>
        <row r="265">
          <cell r="B265">
            <v>400577</v>
          </cell>
          <cell r="C265" t="str">
            <v>إعارة</v>
          </cell>
        </row>
        <row r="266">
          <cell r="B266">
            <v>400590</v>
          </cell>
          <cell r="C266" t="str">
            <v>إعارة</v>
          </cell>
        </row>
        <row r="267">
          <cell r="B267">
            <v>400592</v>
          </cell>
          <cell r="C267" t="str">
            <v>إعارة</v>
          </cell>
        </row>
        <row r="268">
          <cell r="B268">
            <v>400594</v>
          </cell>
          <cell r="C268" t="str">
            <v>إعارة</v>
          </cell>
        </row>
        <row r="269">
          <cell r="B269">
            <v>400596</v>
          </cell>
          <cell r="C269" t="str">
            <v>إعارة</v>
          </cell>
        </row>
        <row r="270">
          <cell r="B270">
            <v>400597</v>
          </cell>
          <cell r="C270" t="str">
            <v>إعارة</v>
          </cell>
        </row>
        <row r="271">
          <cell r="B271">
            <v>400598</v>
          </cell>
          <cell r="C271" t="str">
            <v>إعارة</v>
          </cell>
        </row>
        <row r="272">
          <cell r="B272">
            <v>400599</v>
          </cell>
          <cell r="C272" t="str">
            <v>إعارة</v>
          </cell>
        </row>
        <row r="273">
          <cell r="B273">
            <v>400601</v>
          </cell>
          <cell r="C273" t="str">
            <v>إعارة</v>
          </cell>
        </row>
        <row r="274">
          <cell r="B274">
            <v>400602</v>
          </cell>
          <cell r="C274" t="str">
            <v>إعارة</v>
          </cell>
        </row>
        <row r="275">
          <cell r="B275">
            <v>400604</v>
          </cell>
          <cell r="C275" t="str">
            <v>إعارة</v>
          </cell>
        </row>
        <row r="276">
          <cell r="B276">
            <v>400605</v>
          </cell>
          <cell r="C276" t="str">
            <v>إعارة</v>
          </cell>
        </row>
        <row r="277">
          <cell r="B277">
            <v>400606</v>
          </cell>
          <cell r="C277" t="str">
            <v>إعارة</v>
          </cell>
        </row>
        <row r="278">
          <cell r="B278">
            <v>400607</v>
          </cell>
          <cell r="C278" t="str">
            <v>إعارة</v>
          </cell>
        </row>
        <row r="279">
          <cell r="B279">
            <v>400608</v>
          </cell>
          <cell r="C279" t="str">
            <v>إعارة</v>
          </cell>
        </row>
        <row r="280">
          <cell r="B280">
            <v>400609</v>
          </cell>
          <cell r="C280" t="str">
            <v>إعارة</v>
          </cell>
        </row>
        <row r="281">
          <cell r="B281">
            <v>400610</v>
          </cell>
          <cell r="C281" t="str">
            <v>إعارة</v>
          </cell>
        </row>
        <row r="282">
          <cell r="B282">
            <v>400611</v>
          </cell>
          <cell r="C282" t="str">
            <v>إعارة</v>
          </cell>
        </row>
        <row r="283">
          <cell r="B283">
            <v>400612</v>
          </cell>
          <cell r="C283" t="str">
            <v>إعارة</v>
          </cell>
        </row>
        <row r="284">
          <cell r="B284">
            <v>400614</v>
          </cell>
          <cell r="C284" t="str">
            <v>إعارة</v>
          </cell>
        </row>
        <row r="285">
          <cell r="B285">
            <v>400615</v>
          </cell>
          <cell r="C285" t="str">
            <v>إعارة</v>
          </cell>
        </row>
        <row r="286">
          <cell r="B286">
            <v>400616</v>
          </cell>
          <cell r="C286" t="str">
            <v>إعارة</v>
          </cell>
        </row>
        <row r="287">
          <cell r="B287">
            <v>400617</v>
          </cell>
          <cell r="C287" t="str">
            <v>إعارة</v>
          </cell>
        </row>
        <row r="288">
          <cell r="B288">
            <v>400618</v>
          </cell>
          <cell r="C288" t="str">
            <v>إعارة</v>
          </cell>
        </row>
        <row r="289">
          <cell r="B289">
            <v>700005</v>
          </cell>
          <cell r="C289" t="str">
            <v>عقد مؤقت</v>
          </cell>
        </row>
        <row r="290">
          <cell r="B290">
            <v>700007</v>
          </cell>
          <cell r="C290" t="str">
            <v>عقد مؤقت</v>
          </cell>
        </row>
        <row r="291">
          <cell r="B291">
            <v>700017</v>
          </cell>
          <cell r="C291" t="str">
            <v>عقد مؤقت</v>
          </cell>
        </row>
        <row r="292">
          <cell r="B292">
            <v>700020</v>
          </cell>
          <cell r="C292" t="str">
            <v>عقد مؤقت</v>
          </cell>
        </row>
        <row r="293">
          <cell r="B293" t="str">
            <v>الإجمالي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BCE24-2A72-4A75-B2D3-803DFB527578}">
  <dimension ref="A1:Q295"/>
  <sheetViews>
    <sheetView rightToLeft="1" tabSelected="1" workbookViewId="0">
      <selection activeCell="D6" sqref="D6"/>
    </sheetView>
  </sheetViews>
  <sheetFormatPr defaultRowHeight="18.75" x14ac:dyDescent="0.2"/>
  <cols>
    <col min="1" max="1" width="8.85546875" style="6" customWidth="1"/>
    <col min="2" max="2" width="15" style="6" bestFit="1" customWidth="1"/>
    <col min="3" max="3" width="15" style="6" customWidth="1"/>
    <col min="4" max="4" width="37.5703125" style="6" bestFit="1" customWidth="1"/>
    <col min="5" max="6" width="37.5703125" style="6" customWidth="1"/>
    <col min="7" max="7" width="9.85546875" style="6" bestFit="1" customWidth="1"/>
    <col min="8" max="9" width="9.7109375" style="6" bestFit="1" customWidth="1"/>
    <col min="10" max="10" width="9.28515625" style="6" bestFit="1" customWidth="1"/>
    <col min="11" max="11" width="9.140625" style="6" bestFit="1" customWidth="1"/>
    <col min="12" max="13" width="9.140625" style="6" customWidth="1"/>
    <col min="14" max="14" width="13.42578125" style="6" bestFit="1" customWidth="1"/>
    <col min="15" max="15" width="12.5703125" style="6" bestFit="1" customWidth="1"/>
    <col min="16" max="16" width="14" style="6" bestFit="1" customWidth="1"/>
    <col min="17" max="17" width="14.7109375" style="6" bestFit="1" customWidth="1"/>
    <col min="18" max="16384" width="9.140625" style="2"/>
  </cols>
  <sheetData>
    <row r="1" spans="1:17" x14ac:dyDescent="0.2">
      <c r="A1" s="1" t="s">
        <v>0</v>
      </c>
      <c r="B1" s="1" t="s">
        <v>1</v>
      </c>
      <c r="C1" s="1" t="s">
        <v>95</v>
      </c>
      <c r="D1" s="1" t="s">
        <v>14</v>
      </c>
      <c r="E1" s="1" t="s">
        <v>15</v>
      </c>
      <c r="F1" s="1" t="s">
        <v>16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12</v>
      </c>
      <c r="M1" s="1" t="s">
        <v>13</v>
      </c>
      <c r="N1" s="1" t="s">
        <v>7</v>
      </c>
      <c r="O1" s="1" t="s">
        <v>8</v>
      </c>
      <c r="P1" s="1" t="s">
        <v>9</v>
      </c>
      <c r="Q1" s="1" t="s">
        <v>10</v>
      </c>
    </row>
    <row r="2" spans="1:17" x14ac:dyDescent="0.2">
      <c r="A2" s="3">
        <v>1</v>
      </c>
      <c r="B2" s="3">
        <v>100016</v>
      </c>
      <c r="C2" s="3" t="str">
        <f>VLOOKUP(B2,[1]ورقة5!$B:$C,2,0)</f>
        <v>موظف</v>
      </c>
      <c r="D2" s="3" t="s">
        <v>21</v>
      </c>
      <c r="E2" s="3" t="s">
        <v>22</v>
      </c>
      <c r="F2" s="3" t="s">
        <v>19</v>
      </c>
      <c r="G2" s="3">
        <v>0</v>
      </c>
      <c r="H2" s="3">
        <v>3898.56</v>
      </c>
      <c r="I2" s="3">
        <v>0</v>
      </c>
      <c r="J2" s="3">
        <v>0</v>
      </c>
      <c r="K2" s="3">
        <v>0</v>
      </c>
      <c r="L2" s="3">
        <v>0</v>
      </c>
      <c r="M2" s="3"/>
      <c r="N2" s="3">
        <v>0</v>
      </c>
      <c r="O2" s="3">
        <v>0</v>
      </c>
      <c r="P2" s="3">
        <v>0</v>
      </c>
      <c r="Q2" s="3">
        <f>SUM(G2:P2)</f>
        <v>3898.56</v>
      </c>
    </row>
    <row r="3" spans="1:17" x14ac:dyDescent="0.2">
      <c r="A3" s="3">
        <v>2</v>
      </c>
      <c r="B3" s="3">
        <v>100047</v>
      </c>
      <c r="C3" s="3" t="str">
        <f>VLOOKUP(B3,[1]ورقة5!$B:$C,2,0)</f>
        <v>موظف</v>
      </c>
      <c r="D3" s="3" t="s">
        <v>23</v>
      </c>
      <c r="E3" s="3" t="s">
        <v>24</v>
      </c>
      <c r="F3" s="3" t="s">
        <v>19</v>
      </c>
      <c r="G3" s="3">
        <v>0</v>
      </c>
      <c r="H3" s="3">
        <v>0</v>
      </c>
      <c r="I3" s="3">
        <v>5430.24</v>
      </c>
      <c r="J3" s="3">
        <v>6335.28</v>
      </c>
      <c r="K3" s="3">
        <v>0</v>
      </c>
      <c r="L3" s="3">
        <v>15191.04</v>
      </c>
      <c r="M3" s="3"/>
      <c r="N3" s="3">
        <v>0</v>
      </c>
      <c r="O3" s="3">
        <v>0</v>
      </c>
      <c r="P3" s="3">
        <v>19999.68</v>
      </c>
      <c r="Q3" s="3">
        <f t="shared" ref="Q3:Q66" si="0">SUM(G3:P3)</f>
        <v>46956.240000000005</v>
      </c>
    </row>
    <row r="4" spans="1:17" x14ac:dyDescent="0.2">
      <c r="A4" s="3">
        <v>3</v>
      </c>
      <c r="B4" s="3">
        <v>100048</v>
      </c>
      <c r="C4" s="3" t="str">
        <f>VLOOKUP(B4,[1]ورقة5!$B:$C,2,0)</f>
        <v>موظف</v>
      </c>
      <c r="D4" s="3" t="s">
        <v>25</v>
      </c>
      <c r="E4" s="3" t="s">
        <v>23</v>
      </c>
      <c r="F4" s="3" t="s">
        <v>19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/>
      <c r="N4" s="3">
        <v>0</v>
      </c>
      <c r="O4" s="3">
        <v>29220.47</v>
      </c>
      <c r="P4" s="3">
        <v>0</v>
      </c>
      <c r="Q4" s="3">
        <f t="shared" si="0"/>
        <v>29220.47</v>
      </c>
    </row>
    <row r="5" spans="1:17" x14ac:dyDescent="0.2">
      <c r="A5" s="3">
        <v>4</v>
      </c>
      <c r="B5" s="3">
        <v>100051</v>
      </c>
      <c r="C5" s="3" t="str">
        <f>VLOOKUP(B5,[1]ورقة5!$B:$C,2,0)</f>
        <v>موظف</v>
      </c>
      <c r="D5" s="3" t="s">
        <v>26</v>
      </c>
      <c r="E5" s="3" t="s">
        <v>27</v>
      </c>
      <c r="F5" s="3" t="s">
        <v>28</v>
      </c>
      <c r="G5" s="3">
        <v>23838.03</v>
      </c>
      <c r="H5" s="3">
        <v>19070.43</v>
      </c>
      <c r="I5" s="3">
        <v>0</v>
      </c>
      <c r="J5" s="3">
        <v>0</v>
      </c>
      <c r="K5" s="3">
        <v>0</v>
      </c>
      <c r="L5" s="3">
        <v>0</v>
      </c>
      <c r="M5" s="3"/>
      <c r="N5" s="3">
        <v>2043.26</v>
      </c>
      <c r="O5" s="3">
        <v>17708.25</v>
      </c>
      <c r="P5" s="3">
        <v>20012.28</v>
      </c>
      <c r="Q5" s="3">
        <f t="shared" si="0"/>
        <v>82672.25</v>
      </c>
    </row>
    <row r="6" spans="1:17" x14ac:dyDescent="0.2">
      <c r="A6" s="3">
        <v>5</v>
      </c>
      <c r="B6" s="3">
        <v>100065</v>
      </c>
      <c r="C6" s="3" t="str">
        <f>VLOOKUP(B6,[1]ورقة5!$B:$C,2,0)</f>
        <v>موظف</v>
      </c>
      <c r="D6" s="3" t="s">
        <v>29</v>
      </c>
      <c r="E6" s="3" t="s">
        <v>30</v>
      </c>
      <c r="F6" s="3" t="s">
        <v>19</v>
      </c>
      <c r="G6" s="3">
        <v>7809.12</v>
      </c>
      <c r="H6" s="3">
        <v>2603.04</v>
      </c>
      <c r="I6" s="3">
        <v>0</v>
      </c>
      <c r="J6" s="3">
        <v>0</v>
      </c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f t="shared" si="0"/>
        <v>10412.16</v>
      </c>
    </row>
    <row r="7" spans="1:17" x14ac:dyDescent="0.2">
      <c r="A7" s="3">
        <v>6</v>
      </c>
      <c r="B7" s="3">
        <v>100066</v>
      </c>
      <c r="C7" s="3" t="str">
        <f>VLOOKUP(B7,[1]ورقة5!$B:$C,2,0)</f>
        <v>موظف</v>
      </c>
      <c r="D7" s="3" t="s">
        <v>26</v>
      </c>
      <c r="E7" s="3" t="s">
        <v>31</v>
      </c>
      <c r="F7" s="3" t="s">
        <v>19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>
        <v>839.63</v>
      </c>
      <c r="O7" s="3">
        <v>7276.77</v>
      </c>
      <c r="P7" s="3">
        <v>8228.35</v>
      </c>
      <c r="Q7" s="3">
        <f t="shared" si="0"/>
        <v>16344.75</v>
      </c>
    </row>
    <row r="8" spans="1:17" x14ac:dyDescent="0.2">
      <c r="A8" s="3">
        <v>7</v>
      </c>
      <c r="B8" s="3">
        <v>100075</v>
      </c>
      <c r="C8" s="3" t="str">
        <f>VLOOKUP(B8,[1]ورقة5!$B:$C,2,0)</f>
        <v>إعارة</v>
      </c>
      <c r="D8" s="3" t="s">
        <v>32</v>
      </c>
      <c r="E8" s="3" t="s">
        <v>33</v>
      </c>
      <c r="F8" s="3" t="s">
        <v>19</v>
      </c>
      <c r="G8" s="3">
        <v>0</v>
      </c>
      <c r="H8" s="3">
        <v>0</v>
      </c>
      <c r="I8" s="3">
        <v>0</v>
      </c>
      <c r="J8" s="3">
        <v>658.5</v>
      </c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f t="shared" si="0"/>
        <v>658.5</v>
      </c>
    </row>
    <row r="9" spans="1:17" x14ac:dyDescent="0.2">
      <c r="A9" s="3">
        <v>8</v>
      </c>
      <c r="B9" s="3">
        <v>100090</v>
      </c>
      <c r="C9" s="3" t="str">
        <f>VLOOKUP(B9,[1]ورقة5!$B:$C,2,0)</f>
        <v>موظف</v>
      </c>
      <c r="D9" s="3" t="s">
        <v>23</v>
      </c>
      <c r="E9" s="3" t="s">
        <v>34</v>
      </c>
      <c r="F9" s="3" t="s">
        <v>19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/>
      <c r="N9" s="3">
        <v>0</v>
      </c>
      <c r="O9" s="3">
        <v>0</v>
      </c>
      <c r="P9" s="3">
        <v>6213.2</v>
      </c>
      <c r="Q9" s="3">
        <f t="shared" si="0"/>
        <v>6213.2</v>
      </c>
    </row>
    <row r="10" spans="1:17" x14ac:dyDescent="0.2">
      <c r="A10" s="3">
        <v>9</v>
      </c>
      <c r="B10" s="3">
        <v>100106</v>
      </c>
      <c r="C10" s="3" t="s">
        <v>94</v>
      </c>
      <c r="D10" s="3" t="s">
        <v>17</v>
      </c>
      <c r="E10" s="3" t="s">
        <v>18</v>
      </c>
      <c r="F10" s="3" t="s">
        <v>19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397.32</v>
      </c>
      <c r="P10" s="3">
        <v>0</v>
      </c>
      <c r="Q10" s="3">
        <f t="shared" si="0"/>
        <v>397.32</v>
      </c>
    </row>
    <row r="11" spans="1:17" x14ac:dyDescent="0.2">
      <c r="A11" s="3">
        <v>10</v>
      </c>
      <c r="B11" s="3">
        <v>100135</v>
      </c>
      <c r="C11" s="3" t="str">
        <f>VLOOKUP(B11,[1]ورقة5!$B:$C,2,0)</f>
        <v>موظف</v>
      </c>
      <c r="D11" s="3" t="s">
        <v>26</v>
      </c>
      <c r="E11" s="3" t="s">
        <v>23</v>
      </c>
      <c r="F11" s="3" t="s">
        <v>19</v>
      </c>
      <c r="G11" s="3">
        <v>23175.200000000001</v>
      </c>
      <c r="H11" s="3">
        <v>13905.12</v>
      </c>
      <c r="I11" s="3">
        <v>4635.04</v>
      </c>
      <c r="J11" s="3">
        <v>13905.12</v>
      </c>
      <c r="K11" s="3">
        <v>13905.12</v>
      </c>
      <c r="L11" s="3">
        <v>4863.5200000000004</v>
      </c>
      <c r="M11" s="3"/>
      <c r="N11" s="3">
        <v>1738.15</v>
      </c>
      <c r="O11" s="3">
        <v>15063.97</v>
      </c>
      <c r="P11" s="3">
        <v>17022.2</v>
      </c>
      <c r="Q11" s="3">
        <f t="shared" si="0"/>
        <v>108213.44</v>
      </c>
    </row>
    <row r="12" spans="1:17" x14ac:dyDescent="0.2">
      <c r="A12" s="3">
        <v>11</v>
      </c>
      <c r="B12" s="3">
        <v>100137</v>
      </c>
      <c r="C12" s="3" t="str">
        <f>VLOOKUP(B12,[1]ورقة5!$B:$C,2,0)</f>
        <v>موظف</v>
      </c>
      <c r="D12" s="3" t="s">
        <v>26</v>
      </c>
      <c r="E12" s="3" t="s">
        <v>23</v>
      </c>
      <c r="F12" s="3" t="s">
        <v>19</v>
      </c>
      <c r="G12" s="3">
        <v>30929.759999999998</v>
      </c>
      <c r="H12" s="3">
        <v>27493.119999999999</v>
      </c>
      <c r="I12" s="3">
        <v>6873.28</v>
      </c>
      <c r="J12" s="3">
        <v>13746.56</v>
      </c>
      <c r="K12" s="3">
        <v>20619.84</v>
      </c>
      <c r="L12" s="3">
        <v>0</v>
      </c>
      <c r="M12" s="3"/>
      <c r="N12" s="3">
        <v>2577.5</v>
      </c>
      <c r="O12" s="3">
        <v>22338.33</v>
      </c>
      <c r="P12" s="3">
        <v>25159.17</v>
      </c>
      <c r="Q12" s="3">
        <f t="shared" si="0"/>
        <v>149737.56</v>
      </c>
    </row>
    <row r="13" spans="1:17" x14ac:dyDescent="0.2">
      <c r="A13" s="3">
        <v>12</v>
      </c>
      <c r="B13" s="3">
        <v>100139</v>
      </c>
      <c r="C13" s="3" t="s">
        <v>94</v>
      </c>
      <c r="D13" s="3" t="s">
        <v>17</v>
      </c>
      <c r="E13" s="3" t="s">
        <v>20</v>
      </c>
      <c r="F13" s="3" t="s">
        <v>19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814.64</v>
      </c>
      <c r="M13" s="3"/>
      <c r="N13" s="3"/>
      <c r="O13" s="3"/>
      <c r="P13" s="3"/>
      <c r="Q13" s="3">
        <f t="shared" si="0"/>
        <v>814.64</v>
      </c>
    </row>
    <row r="14" spans="1:17" x14ac:dyDescent="0.2">
      <c r="A14" s="3">
        <v>13</v>
      </c>
      <c r="B14" s="3">
        <v>100151</v>
      </c>
      <c r="C14" s="3" t="str">
        <f>VLOOKUP(B14,[1]ورقة5!$B:$C,2,0)</f>
        <v>موظف</v>
      </c>
      <c r="D14" s="3" t="s">
        <v>23</v>
      </c>
      <c r="E14" s="3" t="s">
        <v>35</v>
      </c>
      <c r="F14" s="3" t="s">
        <v>19</v>
      </c>
      <c r="G14" s="3">
        <v>463.12</v>
      </c>
      <c r="H14" s="3">
        <v>347.34</v>
      </c>
      <c r="I14" s="3">
        <v>0</v>
      </c>
      <c r="J14" s="3">
        <v>0</v>
      </c>
      <c r="K14" s="3">
        <v>0</v>
      </c>
      <c r="L14" s="3">
        <v>0</v>
      </c>
      <c r="M14" s="3"/>
      <c r="N14" s="3">
        <v>0</v>
      </c>
      <c r="O14" s="3">
        <v>0</v>
      </c>
      <c r="P14" s="3">
        <v>0</v>
      </c>
      <c r="Q14" s="3">
        <f t="shared" si="0"/>
        <v>810.46</v>
      </c>
    </row>
    <row r="15" spans="1:17" x14ac:dyDescent="0.2">
      <c r="A15" s="3">
        <v>14</v>
      </c>
      <c r="B15" s="3">
        <v>100155</v>
      </c>
      <c r="C15" s="3" t="str">
        <f>VLOOKUP(B15,[1]ورقة5!$B:$C,2,0)</f>
        <v>موظف</v>
      </c>
      <c r="D15" s="3" t="s">
        <v>26</v>
      </c>
      <c r="E15" s="3" t="s">
        <v>23</v>
      </c>
      <c r="F15" s="3" t="s">
        <v>19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/>
      <c r="N15" s="3">
        <v>1474.64</v>
      </c>
      <c r="O15" s="3">
        <v>12780.19</v>
      </c>
      <c r="P15" s="3">
        <v>0</v>
      </c>
      <c r="Q15" s="3">
        <f t="shared" si="0"/>
        <v>14254.83</v>
      </c>
    </row>
    <row r="16" spans="1:17" x14ac:dyDescent="0.2">
      <c r="A16" s="3">
        <v>15</v>
      </c>
      <c r="B16" s="3">
        <v>100174</v>
      </c>
      <c r="C16" s="3" t="str">
        <f>VLOOKUP(B16,[1]ورقة5!$B:$C,2,0)</f>
        <v>موظف</v>
      </c>
      <c r="D16" s="3" t="s">
        <v>36</v>
      </c>
      <c r="E16" s="3" t="s">
        <v>37</v>
      </c>
      <c r="F16" s="3" t="s">
        <v>38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>
        <v>0</v>
      </c>
      <c r="O16" s="3">
        <v>20475</v>
      </c>
      <c r="P16" s="3">
        <v>29137.5</v>
      </c>
      <c r="Q16" s="3">
        <f t="shared" si="0"/>
        <v>49612.5</v>
      </c>
    </row>
    <row r="17" spans="1:17" x14ac:dyDescent="0.2">
      <c r="A17" s="3">
        <v>16</v>
      </c>
      <c r="B17" s="3">
        <v>400029</v>
      </c>
      <c r="C17" s="3" t="str">
        <f>VLOOKUP(B17,[1]ورقة5!$B:$C,2,0)</f>
        <v>إعارة</v>
      </c>
      <c r="D17" s="3" t="s">
        <v>26</v>
      </c>
      <c r="E17" s="3" t="s">
        <v>39</v>
      </c>
      <c r="F17" s="3" t="s">
        <v>19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>
        <v>473.33</v>
      </c>
      <c r="O17" s="3">
        <v>3688.33</v>
      </c>
      <c r="P17" s="3">
        <v>0</v>
      </c>
      <c r="Q17" s="3">
        <f t="shared" si="0"/>
        <v>4161.66</v>
      </c>
    </row>
    <row r="18" spans="1:17" x14ac:dyDescent="0.2">
      <c r="A18" s="3">
        <v>17</v>
      </c>
      <c r="B18" s="3">
        <v>400032</v>
      </c>
      <c r="C18" s="3" t="str">
        <f>VLOOKUP(B18,[1]ورقة5!$B:$C,2,0)</f>
        <v>إعارة</v>
      </c>
      <c r="D18" s="3" t="s">
        <v>26</v>
      </c>
      <c r="E18" s="3" t="s">
        <v>27</v>
      </c>
      <c r="F18" s="3" t="s">
        <v>40</v>
      </c>
      <c r="G18" s="3">
        <v>4726.28</v>
      </c>
      <c r="H18" s="3">
        <v>3672.06</v>
      </c>
      <c r="I18" s="3">
        <v>4896.09</v>
      </c>
      <c r="J18" s="3">
        <v>2111.65</v>
      </c>
      <c r="K18" s="3">
        <v>2448.04</v>
      </c>
      <c r="L18" s="3">
        <v>1120.6199999999999</v>
      </c>
      <c r="M18" s="3"/>
      <c r="N18" s="3">
        <v>0</v>
      </c>
      <c r="O18" s="3">
        <v>3105.89</v>
      </c>
      <c r="P18" s="3">
        <v>2096.73</v>
      </c>
      <c r="Q18" s="3">
        <f t="shared" si="0"/>
        <v>24177.359999999997</v>
      </c>
    </row>
    <row r="19" spans="1:17" x14ac:dyDescent="0.2">
      <c r="A19" s="3">
        <v>18</v>
      </c>
      <c r="B19" s="3">
        <v>400033</v>
      </c>
      <c r="C19" s="3" t="str">
        <f>VLOOKUP(B19,[1]ورقة5!$B:$C,2,0)</f>
        <v>إعارة</v>
      </c>
      <c r="D19" s="3" t="s">
        <v>36</v>
      </c>
      <c r="E19" s="3" t="s">
        <v>41</v>
      </c>
      <c r="F19" s="3" t="s">
        <v>42</v>
      </c>
      <c r="G19" s="3">
        <v>486.24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f t="shared" si="0"/>
        <v>486.24</v>
      </c>
    </row>
    <row r="20" spans="1:17" x14ac:dyDescent="0.2">
      <c r="A20" s="3">
        <v>19</v>
      </c>
      <c r="B20" s="3">
        <v>400037</v>
      </c>
      <c r="C20" s="3" t="str">
        <f>VLOOKUP(B20,[1]ورقة5!$B:$C,2,0)</f>
        <v>إعارة</v>
      </c>
      <c r="D20" s="3" t="s">
        <v>26</v>
      </c>
      <c r="E20" s="3" t="s">
        <v>27</v>
      </c>
      <c r="F20" s="3" t="s">
        <v>43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>
        <v>509.72</v>
      </c>
      <c r="O20" s="3">
        <v>2988.32</v>
      </c>
      <c r="P20" s="3">
        <v>3628.73</v>
      </c>
      <c r="Q20" s="3">
        <f t="shared" si="0"/>
        <v>7126.77</v>
      </c>
    </row>
    <row r="21" spans="1:17" x14ac:dyDescent="0.2">
      <c r="A21" s="3">
        <v>20</v>
      </c>
      <c r="B21" s="3">
        <v>400038</v>
      </c>
      <c r="C21" s="3" t="str">
        <f>VLOOKUP(B21,[1]ورقة5!$B:$C,2,0)</f>
        <v>إعارة</v>
      </c>
      <c r="D21" s="3" t="s">
        <v>26</v>
      </c>
      <c r="E21" s="3" t="s">
        <v>39</v>
      </c>
      <c r="F21" s="3" t="s">
        <v>19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>
        <v>473.33</v>
      </c>
      <c r="O21" s="3">
        <v>3688.33</v>
      </c>
      <c r="P21" s="3">
        <v>3838.33</v>
      </c>
      <c r="Q21" s="3">
        <f t="shared" si="0"/>
        <v>7999.99</v>
      </c>
    </row>
    <row r="22" spans="1:17" x14ac:dyDescent="0.2">
      <c r="A22" s="3">
        <v>21</v>
      </c>
      <c r="B22" s="3">
        <v>400041</v>
      </c>
      <c r="C22" s="3" t="str">
        <f>VLOOKUP(B22,[1]ورقة5!$B:$C,2,0)</f>
        <v>إعارة</v>
      </c>
      <c r="D22" s="3" t="s">
        <v>26</v>
      </c>
      <c r="E22" s="3" t="s">
        <v>39</v>
      </c>
      <c r="F22" s="3" t="s">
        <v>19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>
        <v>582.49</v>
      </c>
      <c r="O22" s="3">
        <v>4543.43</v>
      </c>
      <c r="P22" s="3">
        <v>4729.8100000000004</v>
      </c>
      <c r="Q22" s="3">
        <f t="shared" si="0"/>
        <v>9855.73</v>
      </c>
    </row>
    <row r="23" spans="1:17" x14ac:dyDescent="0.2">
      <c r="A23" s="3">
        <v>22</v>
      </c>
      <c r="B23" s="3">
        <v>400044</v>
      </c>
      <c r="C23" s="3" t="str">
        <f>VLOOKUP(B23,[1]ورقة5!$B:$C,2,0)</f>
        <v>إعارة</v>
      </c>
      <c r="D23" s="3" t="s">
        <v>26</v>
      </c>
      <c r="E23" s="3" t="s">
        <v>27</v>
      </c>
      <c r="F23" s="3" t="s">
        <v>43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>
        <v>0</v>
      </c>
      <c r="O23" s="3">
        <v>0</v>
      </c>
      <c r="P23" s="3">
        <v>5622.06</v>
      </c>
      <c r="Q23" s="3">
        <f t="shared" si="0"/>
        <v>5622.06</v>
      </c>
    </row>
    <row r="24" spans="1:17" x14ac:dyDescent="0.2">
      <c r="A24" s="3">
        <v>23</v>
      </c>
      <c r="B24" s="3">
        <v>400045</v>
      </c>
      <c r="C24" s="3" t="str">
        <f>VLOOKUP(B24,[1]ورقة5!$B:$C,2,0)</f>
        <v>إعارة</v>
      </c>
      <c r="D24" s="3" t="s">
        <v>26</v>
      </c>
      <c r="E24" s="3" t="s">
        <v>27</v>
      </c>
      <c r="F24" s="3" t="s">
        <v>43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/>
      <c r="N24" s="3">
        <v>0</v>
      </c>
      <c r="O24" s="3">
        <v>0</v>
      </c>
      <c r="P24" s="3">
        <v>4081.42</v>
      </c>
      <c r="Q24" s="3">
        <f t="shared" si="0"/>
        <v>4081.42</v>
      </c>
    </row>
    <row r="25" spans="1:17" x14ac:dyDescent="0.2">
      <c r="A25" s="3">
        <v>24</v>
      </c>
      <c r="B25" s="3">
        <v>400051</v>
      </c>
      <c r="C25" s="3" t="str">
        <f>VLOOKUP(B25,[1]ورقة5!$B:$C,2,0)</f>
        <v>إعارة</v>
      </c>
      <c r="D25" s="3" t="s">
        <v>26</v>
      </c>
      <c r="E25" s="3" t="s">
        <v>27</v>
      </c>
      <c r="F25" s="3" t="s">
        <v>28</v>
      </c>
      <c r="G25" s="3">
        <v>6891.8</v>
      </c>
      <c r="H25" s="3">
        <v>3550.61</v>
      </c>
      <c r="I25" s="3">
        <v>0</v>
      </c>
      <c r="J25" s="3">
        <v>0</v>
      </c>
      <c r="K25" s="3">
        <v>0</v>
      </c>
      <c r="L25" s="3">
        <v>0</v>
      </c>
      <c r="M25" s="3"/>
      <c r="N25" s="3">
        <v>0</v>
      </c>
      <c r="O25" s="3">
        <v>0</v>
      </c>
      <c r="P25" s="3">
        <v>0</v>
      </c>
      <c r="Q25" s="3">
        <f t="shared" si="0"/>
        <v>10442.41</v>
      </c>
    </row>
    <row r="26" spans="1:17" x14ac:dyDescent="0.2">
      <c r="A26" s="3">
        <v>25</v>
      </c>
      <c r="B26" s="3">
        <v>400052</v>
      </c>
      <c r="C26" s="3" t="str">
        <f>VLOOKUP(B26,[1]ورقة5!$B:$C,2,0)</f>
        <v>إعارة</v>
      </c>
      <c r="D26" s="3" t="s">
        <v>26</v>
      </c>
      <c r="E26" s="3" t="s">
        <v>27</v>
      </c>
      <c r="F26" s="3" t="s">
        <v>43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/>
      <c r="N26" s="3">
        <v>0</v>
      </c>
      <c r="O26" s="3">
        <v>3617.07</v>
      </c>
      <c r="P26" s="3">
        <v>0</v>
      </c>
      <c r="Q26" s="3">
        <f t="shared" si="0"/>
        <v>3617.07</v>
      </c>
    </row>
    <row r="27" spans="1:17" x14ac:dyDescent="0.2">
      <c r="A27" s="3">
        <v>26</v>
      </c>
      <c r="B27" s="3">
        <v>400061</v>
      </c>
      <c r="C27" s="3" t="str">
        <f>VLOOKUP(B27,[1]ورقة5!$B:$C,2,0)</f>
        <v>إعارة</v>
      </c>
      <c r="D27" s="3" t="s">
        <v>26</v>
      </c>
      <c r="E27" s="3" t="s">
        <v>27</v>
      </c>
      <c r="F27" s="3" t="s">
        <v>43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/>
      <c r="N27" s="3">
        <v>582.49</v>
      </c>
      <c r="O27" s="3">
        <v>0</v>
      </c>
      <c r="P27" s="3">
        <v>0</v>
      </c>
      <c r="Q27" s="3">
        <f t="shared" si="0"/>
        <v>582.49</v>
      </c>
    </row>
    <row r="28" spans="1:17" x14ac:dyDescent="0.2">
      <c r="A28" s="3">
        <v>27</v>
      </c>
      <c r="B28" s="3">
        <v>400066</v>
      </c>
      <c r="C28" s="3" t="str">
        <f>VLOOKUP(B28,[1]ورقة5!$B:$C,2,0)</f>
        <v>إعارة</v>
      </c>
      <c r="D28" s="3" t="s">
        <v>26</v>
      </c>
      <c r="E28" s="3" t="s">
        <v>27</v>
      </c>
      <c r="F28" s="3" t="s">
        <v>28</v>
      </c>
      <c r="G28" s="3">
        <v>5034.41</v>
      </c>
      <c r="H28" s="3">
        <v>2111.33</v>
      </c>
      <c r="I28" s="3">
        <v>0</v>
      </c>
      <c r="J28" s="3">
        <v>0</v>
      </c>
      <c r="K28" s="3">
        <v>0</v>
      </c>
      <c r="L28" s="3">
        <v>0</v>
      </c>
      <c r="M28" s="3"/>
      <c r="N28" s="3">
        <v>0</v>
      </c>
      <c r="O28" s="3">
        <v>0</v>
      </c>
      <c r="P28" s="3">
        <v>0</v>
      </c>
      <c r="Q28" s="3">
        <f t="shared" si="0"/>
        <v>7145.74</v>
      </c>
    </row>
    <row r="29" spans="1:17" x14ac:dyDescent="0.2">
      <c r="A29" s="3">
        <v>28</v>
      </c>
      <c r="B29" s="3">
        <v>400068</v>
      </c>
      <c r="C29" s="3" t="str">
        <f>VLOOKUP(B29,[1]ورقة5!$B:$C,2,0)</f>
        <v>إعارة</v>
      </c>
      <c r="D29" s="3" t="s">
        <v>26</v>
      </c>
      <c r="E29" s="3" t="s">
        <v>27</v>
      </c>
      <c r="F29" s="3" t="s">
        <v>28</v>
      </c>
      <c r="G29" s="3">
        <v>6026.26</v>
      </c>
      <c r="H29" s="3">
        <v>6114.59</v>
      </c>
      <c r="I29" s="3">
        <v>0</v>
      </c>
      <c r="J29" s="3">
        <v>0</v>
      </c>
      <c r="K29" s="3">
        <v>0</v>
      </c>
      <c r="L29" s="3">
        <v>0</v>
      </c>
      <c r="M29" s="3"/>
      <c r="N29" s="3">
        <v>0</v>
      </c>
      <c r="O29" s="3">
        <v>0</v>
      </c>
      <c r="P29" s="3">
        <v>0</v>
      </c>
      <c r="Q29" s="3">
        <f t="shared" si="0"/>
        <v>12140.85</v>
      </c>
    </row>
    <row r="30" spans="1:17" x14ac:dyDescent="0.2">
      <c r="A30" s="3">
        <v>29</v>
      </c>
      <c r="B30" s="3">
        <v>400069</v>
      </c>
      <c r="C30" s="3" t="str">
        <f>VLOOKUP(B30,[1]ورقة5!$B:$C,2,0)</f>
        <v>إعارة</v>
      </c>
      <c r="D30" s="3" t="s">
        <v>26</v>
      </c>
      <c r="E30" s="3" t="s">
        <v>27</v>
      </c>
      <c r="F30" s="3" t="s">
        <v>43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/>
      <c r="N30" s="3">
        <v>748.65</v>
      </c>
      <c r="O30" s="3">
        <v>5839.39</v>
      </c>
      <c r="P30" s="3">
        <v>6018.94</v>
      </c>
      <c r="Q30" s="3">
        <f t="shared" si="0"/>
        <v>12606.98</v>
      </c>
    </row>
    <row r="31" spans="1:17" x14ac:dyDescent="0.2">
      <c r="A31" s="3">
        <v>30</v>
      </c>
      <c r="B31" s="3">
        <v>400070</v>
      </c>
      <c r="C31" s="3" t="str">
        <f>VLOOKUP(B31,[1]ورقة5!$B:$C,2,0)</f>
        <v>إعارة</v>
      </c>
      <c r="D31" s="3" t="s">
        <v>26</v>
      </c>
      <c r="E31" s="3" t="s">
        <v>27</v>
      </c>
      <c r="F31" s="3" t="s">
        <v>44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/>
      <c r="N31" s="3">
        <v>754.06</v>
      </c>
      <c r="O31" s="3">
        <v>0</v>
      </c>
      <c r="P31" s="3">
        <v>0</v>
      </c>
      <c r="Q31" s="3">
        <f t="shared" si="0"/>
        <v>754.06</v>
      </c>
    </row>
    <row r="32" spans="1:17" x14ac:dyDescent="0.2">
      <c r="A32" s="3">
        <v>31</v>
      </c>
      <c r="B32" s="3">
        <v>400071</v>
      </c>
      <c r="C32" s="3" t="str">
        <f>VLOOKUP(B32,[1]ورقة5!$B:$C,2,0)</f>
        <v>إعارة</v>
      </c>
      <c r="D32" s="3" t="s">
        <v>26</v>
      </c>
      <c r="E32" s="3" t="s">
        <v>27</v>
      </c>
      <c r="F32" s="3" t="s">
        <v>43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/>
      <c r="N32" s="3">
        <v>0</v>
      </c>
      <c r="O32" s="3">
        <v>4670.78</v>
      </c>
      <c r="P32" s="3">
        <v>4815.93</v>
      </c>
      <c r="Q32" s="3">
        <f t="shared" si="0"/>
        <v>9486.7099999999991</v>
      </c>
    </row>
    <row r="33" spans="1:17" x14ac:dyDescent="0.2">
      <c r="A33" s="3">
        <v>32</v>
      </c>
      <c r="B33" s="3">
        <v>400072</v>
      </c>
      <c r="C33" s="3" t="str">
        <f>VLOOKUP(B33,[1]ورقة5!$B:$C,2,0)</f>
        <v>إعارة</v>
      </c>
      <c r="D33" s="3" t="s">
        <v>26</v>
      </c>
      <c r="E33" s="3" t="s">
        <v>27</v>
      </c>
      <c r="F33" s="3" t="s">
        <v>43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/>
      <c r="N33" s="3">
        <v>677.72</v>
      </c>
      <c r="O33" s="3">
        <v>5289.36</v>
      </c>
      <c r="P33" s="3">
        <v>5460.83</v>
      </c>
      <c r="Q33" s="3">
        <f t="shared" si="0"/>
        <v>11427.91</v>
      </c>
    </row>
    <row r="34" spans="1:17" x14ac:dyDescent="0.2">
      <c r="A34" s="3">
        <v>33</v>
      </c>
      <c r="B34" s="3">
        <v>400074</v>
      </c>
      <c r="C34" s="3" t="str">
        <f>VLOOKUP(B34,[1]ورقة5!$B:$C,2,0)</f>
        <v>إعارة</v>
      </c>
      <c r="D34" s="3" t="s">
        <v>26</v>
      </c>
      <c r="E34" s="3" t="s">
        <v>31</v>
      </c>
      <c r="F34" s="3" t="s">
        <v>19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/>
      <c r="N34" s="3">
        <v>558.29999999999995</v>
      </c>
      <c r="O34" s="3">
        <v>4353.91</v>
      </c>
      <c r="P34" s="3">
        <v>0</v>
      </c>
      <c r="Q34" s="3">
        <f t="shared" si="0"/>
        <v>4912.21</v>
      </c>
    </row>
    <row r="35" spans="1:17" x14ac:dyDescent="0.2">
      <c r="A35" s="3">
        <v>34</v>
      </c>
      <c r="B35" s="3">
        <v>400075</v>
      </c>
      <c r="C35" s="3" t="str">
        <f>VLOOKUP(B35,[1]ورقة5!$B:$C,2,0)</f>
        <v>إعارة</v>
      </c>
      <c r="D35" s="3" t="s">
        <v>26</v>
      </c>
      <c r="E35" s="3" t="s">
        <v>27</v>
      </c>
      <c r="F35" s="3" t="s">
        <v>43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/>
      <c r="N35" s="3">
        <v>445.85</v>
      </c>
      <c r="O35" s="3">
        <v>2335.3000000000002</v>
      </c>
      <c r="P35" s="3">
        <v>3471.11</v>
      </c>
      <c r="Q35" s="3">
        <f t="shared" si="0"/>
        <v>6252.26</v>
      </c>
    </row>
    <row r="36" spans="1:17" x14ac:dyDescent="0.2">
      <c r="A36" s="3">
        <v>35</v>
      </c>
      <c r="B36" s="3">
        <v>400077</v>
      </c>
      <c r="C36" s="3" t="str">
        <f>VLOOKUP(B36,[1]ورقة5!$B:$C,2,0)</f>
        <v>إعارة</v>
      </c>
      <c r="D36" s="3" t="s">
        <v>26</v>
      </c>
      <c r="E36" s="3" t="s">
        <v>27</v>
      </c>
      <c r="F36" s="3" t="s">
        <v>28</v>
      </c>
      <c r="G36" s="3">
        <v>6823.57</v>
      </c>
      <c r="H36" s="3">
        <v>7280</v>
      </c>
      <c r="I36" s="3">
        <v>0</v>
      </c>
      <c r="J36" s="3">
        <v>0</v>
      </c>
      <c r="K36" s="3">
        <v>0</v>
      </c>
      <c r="L36" s="3">
        <v>0</v>
      </c>
      <c r="M36" s="3"/>
      <c r="N36" s="3">
        <v>0</v>
      </c>
      <c r="O36" s="3">
        <v>0</v>
      </c>
      <c r="P36" s="3">
        <v>0</v>
      </c>
      <c r="Q36" s="3">
        <f t="shared" si="0"/>
        <v>14103.57</v>
      </c>
    </row>
    <row r="37" spans="1:17" x14ac:dyDescent="0.2">
      <c r="A37" s="3">
        <v>36</v>
      </c>
      <c r="B37" s="3">
        <v>400080</v>
      </c>
      <c r="C37" s="3" t="str">
        <f>VLOOKUP(B37,[1]ورقة5!$B:$C,2,0)</f>
        <v>إعارة</v>
      </c>
      <c r="D37" s="3" t="s">
        <v>36</v>
      </c>
      <c r="E37" s="3" t="s">
        <v>41</v>
      </c>
      <c r="F37" s="3" t="s">
        <v>42</v>
      </c>
      <c r="G37" s="3">
        <v>3257.09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/>
      <c r="N37" s="3">
        <v>0</v>
      </c>
      <c r="O37" s="3">
        <v>0</v>
      </c>
      <c r="P37" s="3">
        <v>0</v>
      </c>
      <c r="Q37" s="3">
        <f t="shared" si="0"/>
        <v>3257.09</v>
      </c>
    </row>
    <row r="38" spans="1:17" x14ac:dyDescent="0.2">
      <c r="A38" s="3">
        <v>37</v>
      </c>
      <c r="B38" s="3">
        <v>400083</v>
      </c>
      <c r="C38" s="3" t="str">
        <f>VLOOKUP(B38,[1]ورقة5!$B:$C,2,0)</f>
        <v>إعارة</v>
      </c>
      <c r="D38" s="3" t="s">
        <v>26</v>
      </c>
      <c r="E38" s="3" t="s">
        <v>27</v>
      </c>
      <c r="F38" s="3" t="s">
        <v>28</v>
      </c>
      <c r="G38" s="3">
        <v>13661.48</v>
      </c>
      <c r="H38" s="3">
        <v>8947.2800000000007</v>
      </c>
      <c r="I38" s="3">
        <v>0</v>
      </c>
      <c r="J38" s="3">
        <v>0</v>
      </c>
      <c r="K38" s="3">
        <v>0</v>
      </c>
      <c r="L38" s="3">
        <v>0</v>
      </c>
      <c r="M38" s="3"/>
      <c r="N38" s="3">
        <v>582.49</v>
      </c>
      <c r="O38" s="3">
        <v>4543.43</v>
      </c>
      <c r="P38" s="3">
        <v>4729.8100000000004</v>
      </c>
      <c r="Q38" s="3">
        <f t="shared" si="0"/>
        <v>32464.490000000005</v>
      </c>
    </row>
    <row r="39" spans="1:17" x14ac:dyDescent="0.2">
      <c r="A39" s="3">
        <v>38</v>
      </c>
      <c r="B39" s="3">
        <v>400085</v>
      </c>
      <c r="C39" s="3" t="str">
        <f>VLOOKUP(B39,[1]ورقة5!$B:$C,2,0)</f>
        <v>إعارة</v>
      </c>
      <c r="D39" s="3" t="s">
        <v>26</v>
      </c>
      <c r="E39" s="3" t="s">
        <v>27</v>
      </c>
      <c r="F39" s="3" t="s">
        <v>28</v>
      </c>
      <c r="G39" s="3">
        <v>8316.4500000000007</v>
      </c>
      <c r="H39" s="3">
        <v>6082.25</v>
      </c>
      <c r="I39" s="3">
        <v>0</v>
      </c>
      <c r="J39" s="3">
        <v>0</v>
      </c>
      <c r="K39" s="3">
        <v>0</v>
      </c>
      <c r="L39" s="3">
        <v>0</v>
      </c>
      <c r="M39" s="3"/>
      <c r="N39" s="3">
        <v>0</v>
      </c>
      <c r="O39" s="3">
        <v>3063.68</v>
      </c>
      <c r="P39" s="3">
        <v>0</v>
      </c>
      <c r="Q39" s="3">
        <f t="shared" si="0"/>
        <v>17462.38</v>
      </c>
    </row>
    <row r="40" spans="1:17" x14ac:dyDescent="0.2">
      <c r="A40" s="3">
        <v>39</v>
      </c>
      <c r="B40" s="3">
        <v>400086</v>
      </c>
      <c r="C40" s="3" t="str">
        <f>VLOOKUP(B40,[1]ورقة5!$B:$C,2,0)</f>
        <v>إعارة</v>
      </c>
      <c r="D40" s="3" t="s">
        <v>26</v>
      </c>
      <c r="E40" s="3" t="s">
        <v>27</v>
      </c>
      <c r="F40" s="3" t="s">
        <v>28</v>
      </c>
      <c r="G40" s="3">
        <v>9209.7000000000007</v>
      </c>
      <c r="H40" s="3">
        <v>4652.59</v>
      </c>
      <c r="I40" s="3">
        <v>0</v>
      </c>
      <c r="J40" s="3">
        <v>0</v>
      </c>
      <c r="K40" s="3">
        <v>0</v>
      </c>
      <c r="L40" s="3">
        <v>0</v>
      </c>
      <c r="M40" s="3"/>
      <c r="N40" s="3">
        <v>0</v>
      </c>
      <c r="O40" s="3">
        <v>0</v>
      </c>
      <c r="P40" s="3">
        <v>0</v>
      </c>
      <c r="Q40" s="3">
        <f t="shared" si="0"/>
        <v>13862.29</v>
      </c>
    </row>
    <row r="41" spans="1:17" x14ac:dyDescent="0.2">
      <c r="A41" s="3">
        <v>40</v>
      </c>
      <c r="B41" s="3">
        <v>400087</v>
      </c>
      <c r="C41" s="3" t="str">
        <f>VLOOKUP(B41,[1]ورقة5!$B:$C,2,0)</f>
        <v>إعارة</v>
      </c>
      <c r="D41" s="3" t="s">
        <v>45</v>
      </c>
      <c r="E41" s="3" t="s">
        <v>45</v>
      </c>
      <c r="F41" s="3" t="s">
        <v>19</v>
      </c>
      <c r="G41" s="3">
        <v>1878.3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/>
      <c r="N41" s="3">
        <v>0</v>
      </c>
      <c r="O41" s="3">
        <v>0</v>
      </c>
      <c r="P41" s="3">
        <v>0</v>
      </c>
      <c r="Q41" s="3">
        <f t="shared" si="0"/>
        <v>1878.3</v>
      </c>
    </row>
    <row r="42" spans="1:17" x14ac:dyDescent="0.2">
      <c r="A42" s="3">
        <v>41</v>
      </c>
      <c r="B42" s="3">
        <v>400088</v>
      </c>
      <c r="C42" s="3" t="str">
        <f>VLOOKUP(B42,[1]ورقة5!$B:$C,2,0)</f>
        <v>إعارة</v>
      </c>
      <c r="D42" s="3" t="s">
        <v>26</v>
      </c>
      <c r="E42" s="3" t="s">
        <v>27</v>
      </c>
      <c r="F42" s="3" t="s">
        <v>28</v>
      </c>
      <c r="G42" s="3">
        <v>6232.19</v>
      </c>
      <c r="H42" s="3">
        <v>5927.48</v>
      </c>
      <c r="I42" s="3">
        <v>0</v>
      </c>
      <c r="J42" s="3">
        <v>0</v>
      </c>
      <c r="K42" s="3">
        <v>0</v>
      </c>
      <c r="L42" s="3">
        <v>0</v>
      </c>
      <c r="M42" s="3"/>
      <c r="N42" s="3">
        <v>0</v>
      </c>
      <c r="O42" s="3">
        <v>0</v>
      </c>
      <c r="P42" s="3">
        <v>0</v>
      </c>
      <c r="Q42" s="3">
        <f t="shared" si="0"/>
        <v>12159.669999999998</v>
      </c>
    </row>
    <row r="43" spans="1:17" x14ac:dyDescent="0.2">
      <c r="A43" s="3">
        <v>42</v>
      </c>
      <c r="B43" s="3">
        <v>400091</v>
      </c>
      <c r="C43" s="3" t="str">
        <f>VLOOKUP(B43,[1]ورقة5!$B:$C,2,0)</f>
        <v>إعارة</v>
      </c>
      <c r="D43" s="3" t="s">
        <v>26</v>
      </c>
      <c r="E43" s="3" t="s">
        <v>39</v>
      </c>
      <c r="F43" s="3" t="s">
        <v>19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/>
      <c r="N43" s="3">
        <v>814.84</v>
      </c>
      <c r="O43" s="3">
        <v>6357.9</v>
      </c>
      <c r="P43" s="3">
        <v>6619.52</v>
      </c>
      <c r="Q43" s="3">
        <f t="shared" si="0"/>
        <v>13792.26</v>
      </c>
    </row>
    <row r="44" spans="1:17" x14ac:dyDescent="0.2">
      <c r="A44" s="3">
        <v>43</v>
      </c>
      <c r="B44" s="3">
        <v>400092</v>
      </c>
      <c r="C44" s="3" t="str">
        <f>VLOOKUP(B44,[1]ورقة5!$B:$C,2,0)</f>
        <v>إعارة</v>
      </c>
      <c r="D44" s="3" t="s">
        <v>26</v>
      </c>
      <c r="E44" s="3" t="s">
        <v>39</v>
      </c>
      <c r="F44" s="3" t="s">
        <v>19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/>
      <c r="N44" s="3">
        <v>598.75</v>
      </c>
      <c r="O44" s="3">
        <v>4670.78</v>
      </c>
      <c r="P44" s="3">
        <v>4862.59</v>
      </c>
      <c r="Q44" s="3">
        <f t="shared" si="0"/>
        <v>10132.119999999999</v>
      </c>
    </row>
    <row r="45" spans="1:17" x14ac:dyDescent="0.2">
      <c r="A45" s="3">
        <v>44</v>
      </c>
      <c r="B45" s="3">
        <v>400096</v>
      </c>
      <c r="C45" s="3" t="str">
        <f>VLOOKUP(B45,[1]ورقة5!$B:$C,2,0)</f>
        <v>إعارة</v>
      </c>
      <c r="D45" s="3" t="s">
        <v>26</v>
      </c>
      <c r="E45" s="3" t="s">
        <v>39</v>
      </c>
      <c r="F45" s="3" t="s">
        <v>19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/>
      <c r="N45" s="3">
        <v>637.07000000000005</v>
      </c>
      <c r="O45" s="3">
        <v>4970.9799999999996</v>
      </c>
      <c r="P45" s="3">
        <v>5175.5600000000004</v>
      </c>
      <c r="Q45" s="3">
        <f t="shared" si="0"/>
        <v>10783.61</v>
      </c>
    </row>
    <row r="46" spans="1:17" x14ac:dyDescent="0.2">
      <c r="A46" s="3">
        <v>45</v>
      </c>
      <c r="B46" s="3">
        <v>400097</v>
      </c>
      <c r="C46" s="3" t="str">
        <f>VLOOKUP(B46,[1]ورقة5!$B:$C,2,0)</f>
        <v>إعارة</v>
      </c>
      <c r="D46" s="3" t="s">
        <v>26</v>
      </c>
      <c r="E46" s="3" t="s">
        <v>39</v>
      </c>
      <c r="F46" s="3" t="s">
        <v>19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/>
      <c r="N46" s="3">
        <v>491.52</v>
      </c>
      <c r="O46" s="3">
        <v>3830.85</v>
      </c>
      <c r="P46" s="3">
        <v>0</v>
      </c>
      <c r="Q46" s="3">
        <f t="shared" si="0"/>
        <v>4322.37</v>
      </c>
    </row>
    <row r="47" spans="1:17" x14ac:dyDescent="0.2">
      <c r="A47" s="3">
        <v>46</v>
      </c>
      <c r="B47" s="3">
        <v>400100</v>
      </c>
      <c r="C47" s="3" t="str">
        <f>VLOOKUP(B47,[1]ورقة5!$B:$C,2,0)</f>
        <v>إعارة</v>
      </c>
      <c r="D47" s="3" t="s">
        <v>26</v>
      </c>
      <c r="E47" s="3" t="s">
        <v>27</v>
      </c>
      <c r="F47" s="3" t="s">
        <v>43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/>
      <c r="N47" s="3">
        <v>507.2</v>
      </c>
      <c r="O47" s="3">
        <v>3953.65</v>
      </c>
      <c r="P47" s="3">
        <v>3957.58</v>
      </c>
      <c r="Q47" s="3">
        <f t="shared" si="0"/>
        <v>8418.43</v>
      </c>
    </row>
    <row r="48" spans="1:17" x14ac:dyDescent="0.2">
      <c r="A48" s="3">
        <v>47</v>
      </c>
      <c r="B48" s="3">
        <v>400112</v>
      </c>
      <c r="C48" s="3" t="str">
        <f>VLOOKUP(B48,[1]ورقة5!$B:$C,2,0)</f>
        <v>إعارة</v>
      </c>
      <c r="D48" s="3" t="s">
        <v>36</v>
      </c>
      <c r="E48" s="3" t="s">
        <v>37</v>
      </c>
      <c r="F48" s="3" t="s">
        <v>19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/>
      <c r="N48" s="3">
        <v>0</v>
      </c>
      <c r="O48" s="3">
        <v>5167.74</v>
      </c>
      <c r="P48" s="3">
        <v>5378.71</v>
      </c>
      <c r="Q48" s="3">
        <f t="shared" si="0"/>
        <v>10546.45</v>
      </c>
    </row>
    <row r="49" spans="1:17" x14ac:dyDescent="0.2">
      <c r="A49" s="3">
        <v>48</v>
      </c>
      <c r="B49" s="3">
        <v>400133</v>
      </c>
      <c r="C49" s="3" t="str">
        <f>VLOOKUP(B49,[1]ورقة5!$B:$C,2,0)</f>
        <v>إعارة</v>
      </c>
      <c r="D49" s="3" t="s">
        <v>26</v>
      </c>
      <c r="E49" s="3" t="s">
        <v>27</v>
      </c>
      <c r="F49" s="3" t="s">
        <v>28</v>
      </c>
      <c r="G49" s="3">
        <v>15494.65</v>
      </c>
      <c r="H49" s="3">
        <v>9223.2199999999993</v>
      </c>
      <c r="I49" s="3">
        <v>0</v>
      </c>
      <c r="J49" s="3">
        <v>0</v>
      </c>
      <c r="K49" s="3">
        <v>0</v>
      </c>
      <c r="L49" s="3">
        <v>0</v>
      </c>
      <c r="M49" s="3"/>
      <c r="N49" s="3">
        <v>0</v>
      </c>
      <c r="O49" s="3">
        <v>4685.9399999999996</v>
      </c>
      <c r="P49" s="3">
        <v>0</v>
      </c>
      <c r="Q49" s="3">
        <f t="shared" si="0"/>
        <v>29403.809999999998</v>
      </c>
    </row>
    <row r="50" spans="1:17" x14ac:dyDescent="0.2">
      <c r="A50" s="3">
        <v>49</v>
      </c>
      <c r="B50" s="3">
        <v>400139</v>
      </c>
      <c r="C50" s="3" t="str">
        <f>VLOOKUP(B50,[1]ورقة5!$B:$C,2,0)</f>
        <v>إعارة</v>
      </c>
      <c r="D50" s="3" t="s">
        <v>26</v>
      </c>
      <c r="E50" s="3" t="s">
        <v>39</v>
      </c>
      <c r="F50" s="3" t="s">
        <v>19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/>
      <c r="N50" s="3">
        <v>491.52</v>
      </c>
      <c r="O50" s="3">
        <v>3830.85</v>
      </c>
      <c r="P50" s="3">
        <v>0</v>
      </c>
      <c r="Q50" s="3">
        <f t="shared" si="0"/>
        <v>4322.37</v>
      </c>
    </row>
    <row r="51" spans="1:17" x14ac:dyDescent="0.2">
      <c r="A51" s="3">
        <v>50</v>
      </c>
      <c r="B51" s="3">
        <v>400144</v>
      </c>
      <c r="C51" s="3" t="str">
        <f>VLOOKUP(B51,[1]ورقة5!$B:$C,2,0)</f>
        <v>إعارة</v>
      </c>
      <c r="D51" s="3" t="s">
        <v>26</v>
      </c>
      <c r="E51" s="3" t="s">
        <v>27</v>
      </c>
      <c r="F51" s="3" t="s">
        <v>46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/>
      <c r="N51" s="3">
        <v>0</v>
      </c>
      <c r="O51" s="3">
        <v>3236.38</v>
      </c>
      <c r="P51" s="3">
        <v>8753.23</v>
      </c>
      <c r="Q51" s="3">
        <f t="shared" si="0"/>
        <v>11989.61</v>
      </c>
    </row>
    <row r="52" spans="1:17" x14ac:dyDescent="0.2">
      <c r="A52" s="3">
        <v>51</v>
      </c>
      <c r="B52" s="3">
        <v>400151</v>
      </c>
      <c r="C52" s="3" t="str">
        <f>VLOOKUP(B52,[1]ورقة5!$B:$C,2,0)</f>
        <v>إعارة</v>
      </c>
      <c r="D52" s="3" t="s">
        <v>45</v>
      </c>
      <c r="E52" s="3" t="s">
        <v>45</v>
      </c>
      <c r="F52" s="3" t="s">
        <v>19</v>
      </c>
      <c r="G52" s="3">
        <v>1653.31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/>
      <c r="N52" s="3">
        <v>0</v>
      </c>
      <c r="O52" s="3">
        <v>0</v>
      </c>
      <c r="P52" s="3">
        <v>0</v>
      </c>
      <c r="Q52" s="3">
        <f t="shared" si="0"/>
        <v>1653.31</v>
      </c>
    </row>
    <row r="53" spans="1:17" x14ac:dyDescent="0.2">
      <c r="A53" s="3">
        <v>52</v>
      </c>
      <c r="B53" s="3">
        <v>400162</v>
      </c>
      <c r="C53" s="3" t="str">
        <f>VLOOKUP(B53,[1]ورقة5!$B:$C,2,0)</f>
        <v>إعارة</v>
      </c>
      <c r="D53" s="3" t="s">
        <v>36</v>
      </c>
      <c r="E53" s="3" t="s">
        <v>41</v>
      </c>
      <c r="F53" s="3" t="s">
        <v>47</v>
      </c>
      <c r="G53" s="3">
        <v>0</v>
      </c>
      <c r="H53" s="3">
        <v>0</v>
      </c>
      <c r="I53" s="3">
        <v>0</v>
      </c>
      <c r="J53" s="3">
        <v>0</v>
      </c>
      <c r="K53" s="3">
        <v>1210.1300000000001</v>
      </c>
      <c r="L53" s="3">
        <v>0</v>
      </c>
      <c r="M53" s="3"/>
      <c r="N53" s="3">
        <v>0</v>
      </c>
      <c r="O53" s="3">
        <v>0</v>
      </c>
      <c r="P53" s="3">
        <v>0</v>
      </c>
      <c r="Q53" s="3">
        <f t="shared" si="0"/>
        <v>1210.1300000000001</v>
      </c>
    </row>
    <row r="54" spans="1:17" x14ac:dyDescent="0.2">
      <c r="A54" s="3">
        <v>53</v>
      </c>
      <c r="B54" s="3">
        <v>400169</v>
      </c>
      <c r="C54" s="3" t="str">
        <f>VLOOKUP(B54,[1]ورقة5!$B:$C,2,0)</f>
        <v>إعارة</v>
      </c>
      <c r="D54" s="3" t="s">
        <v>26</v>
      </c>
      <c r="E54" s="3" t="s">
        <v>27</v>
      </c>
      <c r="F54" s="3" t="s">
        <v>28</v>
      </c>
      <c r="G54" s="3">
        <v>15020.65</v>
      </c>
      <c r="H54" s="3">
        <v>15020.65</v>
      </c>
      <c r="I54" s="3">
        <v>0</v>
      </c>
      <c r="J54" s="3">
        <v>0</v>
      </c>
      <c r="K54" s="3">
        <v>0</v>
      </c>
      <c r="L54" s="3">
        <v>0</v>
      </c>
      <c r="M54" s="3"/>
      <c r="N54" s="3">
        <v>637.07000000000005</v>
      </c>
      <c r="O54" s="3">
        <v>4970.9799999999996</v>
      </c>
      <c r="P54" s="3">
        <v>5175.5600000000004</v>
      </c>
      <c r="Q54" s="3">
        <f t="shared" si="0"/>
        <v>40824.909999999996</v>
      </c>
    </row>
    <row r="55" spans="1:17" x14ac:dyDescent="0.2">
      <c r="A55" s="3">
        <v>54</v>
      </c>
      <c r="B55" s="3">
        <v>400191</v>
      </c>
      <c r="C55" s="3" t="str">
        <f>VLOOKUP(B55,[1]ورقة5!$B:$C,2,0)</f>
        <v>إعارة</v>
      </c>
      <c r="D55" s="3" t="s">
        <v>36</v>
      </c>
      <c r="E55" s="3" t="s">
        <v>37</v>
      </c>
      <c r="F55" s="3" t="s">
        <v>19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/>
      <c r="N55" s="3">
        <v>0</v>
      </c>
      <c r="O55" s="3">
        <v>0</v>
      </c>
      <c r="P55" s="3">
        <v>3745.07</v>
      </c>
      <c r="Q55" s="3">
        <f t="shared" si="0"/>
        <v>3745.07</v>
      </c>
    </row>
    <row r="56" spans="1:17" x14ac:dyDescent="0.2">
      <c r="A56" s="3">
        <v>55</v>
      </c>
      <c r="B56" s="3">
        <v>400198</v>
      </c>
      <c r="C56" s="3" t="str">
        <f>VLOOKUP(B56,[1]ورقة5!$B:$C,2,0)</f>
        <v>إعارة</v>
      </c>
      <c r="D56" s="3" t="s">
        <v>36</v>
      </c>
      <c r="E56" s="3" t="s">
        <v>41</v>
      </c>
      <c r="F56" s="3" t="s">
        <v>42</v>
      </c>
      <c r="G56" s="3">
        <v>3487.88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/>
      <c r="N56" s="3">
        <v>0</v>
      </c>
      <c r="O56" s="3">
        <v>0</v>
      </c>
      <c r="P56" s="3">
        <v>0</v>
      </c>
      <c r="Q56" s="3">
        <f t="shared" si="0"/>
        <v>3487.88</v>
      </c>
    </row>
    <row r="57" spans="1:17" x14ac:dyDescent="0.2">
      <c r="A57" s="3">
        <v>56</v>
      </c>
      <c r="B57" s="3">
        <v>400206</v>
      </c>
      <c r="C57" s="3" t="str">
        <f>VLOOKUP(B57,[1]ورقة5!$B:$C,2,0)</f>
        <v>إعارة</v>
      </c>
      <c r="D57" s="3" t="s">
        <v>26</v>
      </c>
      <c r="E57" s="3" t="s">
        <v>27</v>
      </c>
      <c r="F57" s="3" t="s">
        <v>48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/>
      <c r="N57" s="3">
        <v>0</v>
      </c>
      <c r="O57" s="3">
        <v>2372.33</v>
      </c>
      <c r="P57" s="3">
        <v>1227.1500000000001</v>
      </c>
      <c r="Q57" s="3">
        <f t="shared" si="0"/>
        <v>3599.48</v>
      </c>
    </row>
    <row r="58" spans="1:17" x14ac:dyDescent="0.2">
      <c r="A58" s="3">
        <v>57</v>
      </c>
      <c r="B58" s="3">
        <v>400216</v>
      </c>
      <c r="C58" s="3" t="str">
        <f>VLOOKUP(B58,[1]ورقة5!$B:$C,2,0)</f>
        <v>إعارة</v>
      </c>
      <c r="D58" s="3" t="s">
        <v>36</v>
      </c>
      <c r="E58" s="3" t="s">
        <v>41</v>
      </c>
      <c r="F58" s="3" t="s">
        <v>49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/>
      <c r="N58" s="3">
        <v>0</v>
      </c>
      <c r="O58" s="3">
        <v>0</v>
      </c>
      <c r="P58" s="3">
        <v>3920</v>
      </c>
      <c r="Q58" s="3">
        <f t="shared" si="0"/>
        <v>3920</v>
      </c>
    </row>
    <row r="59" spans="1:17" x14ac:dyDescent="0.2">
      <c r="A59" s="3">
        <v>58</v>
      </c>
      <c r="B59" s="3">
        <v>400220</v>
      </c>
      <c r="C59" s="3" t="str">
        <f>VLOOKUP(B59,[1]ورقة5!$B:$C,2,0)</f>
        <v>إعارة</v>
      </c>
      <c r="D59" s="3" t="s">
        <v>36</v>
      </c>
      <c r="E59" s="3" t="s">
        <v>41</v>
      </c>
      <c r="F59" s="3" t="s">
        <v>42</v>
      </c>
      <c r="G59" s="3">
        <v>2174.27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/>
      <c r="N59" s="3">
        <v>0</v>
      </c>
      <c r="O59" s="3">
        <v>0</v>
      </c>
      <c r="P59" s="3">
        <v>0</v>
      </c>
      <c r="Q59" s="3">
        <f t="shared" si="0"/>
        <v>2174.27</v>
      </c>
    </row>
    <row r="60" spans="1:17" x14ac:dyDescent="0.2">
      <c r="A60" s="3">
        <v>59</v>
      </c>
      <c r="B60" s="3">
        <v>400221</v>
      </c>
      <c r="C60" s="3" t="str">
        <f>VLOOKUP(B60,[1]ورقة5!$B:$C,2,0)</f>
        <v>إعارة</v>
      </c>
      <c r="D60" s="3" t="s">
        <v>36</v>
      </c>
      <c r="E60" s="3" t="s">
        <v>41</v>
      </c>
      <c r="F60" s="3" t="s">
        <v>50</v>
      </c>
      <c r="G60" s="3">
        <v>1128.3599999999999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/>
      <c r="N60" s="3">
        <v>0</v>
      </c>
      <c r="O60" s="3">
        <v>0</v>
      </c>
      <c r="P60" s="3">
        <v>0</v>
      </c>
      <c r="Q60" s="3">
        <f t="shared" si="0"/>
        <v>1128.3599999999999</v>
      </c>
    </row>
    <row r="61" spans="1:17" x14ac:dyDescent="0.2">
      <c r="A61" s="3">
        <v>60</v>
      </c>
      <c r="B61" s="3">
        <v>400223</v>
      </c>
      <c r="C61" s="3" t="str">
        <f>VLOOKUP(B61,[1]ورقة5!$B:$C,2,0)</f>
        <v>إعارة</v>
      </c>
      <c r="D61" s="3" t="s">
        <v>26</v>
      </c>
      <c r="E61" s="3" t="s">
        <v>27</v>
      </c>
      <c r="F61" s="3" t="s">
        <v>40</v>
      </c>
      <c r="G61" s="3">
        <v>3584.01</v>
      </c>
      <c r="H61" s="3">
        <v>1878.36</v>
      </c>
      <c r="I61" s="3">
        <v>3756.71</v>
      </c>
      <c r="J61" s="3">
        <v>809.77</v>
      </c>
      <c r="K61" s="3">
        <v>1878.36</v>
      </c>
      <c r="L61" s="3">
        <v>757.98</v>
      </c>
      <c r="M61" s="3"/>
      <c r="N61" s="3">
        <v>404.89</v>
      </c>
      <c r="O61" s="3">
        <v>3157.72</v>
      </c>
      <c r="P61" s="3">
        <v>2962.14</v>
      </c>
      <c r="Q61" s="3">
        <f t="shared" si="0"/>
        <v>19189.939999999999</v>
      </c>
    </row>
    <row r="62" spans="1:17" x14ac:dyDescent="0.2">
      <c r="A62" s="3">
        <v>61</v>
      </c>
      <c r="B62" s="3">
        <v>400229</v>
      </c>
      <c r="C62" s="3" t="str">
        <f>VLOOKUP(B62,[1]ورقة5!$B:$C,2,0)</f>
        <v>إعارة</v>
      </c>
      <c r="D62" s="3" t="s">
        <v>36</v>
      </c>
      <c r="E62" s="3" t="s">
        <v>41</v>
      </c>
      <c r="F62" s="3" t="s">
        <v>51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/>
      <c r="N62" s="3">
        <v>0</v>
      </c>
      <c r="O62" s="3">
        <v>0</v>
      </c>
      <c r="P62" s="3">
        <v>3165.1</v>
      </c>
      <c r="Q62" s="3">
        <f t="shared" si="0"/>
        <v>3165.1</v>
      </c>
    </row>
    <row r="63" spans="1:17" x14ac:dyDescent="0.2">
      <c r="A63" s="3">
        <v>62</v>
      </c>
      <c r="B63" s="3">
        <v>400258</v>
      </c>
      <c r="C63" s="3" t="str">
        <f>VLOOKUP(B63,[1]ورقة5!$B:$C,2,0)</f>
        <v>إعارة</v>
      </c>
      <c r="D63" s="3" t="s">
        <v>26</v>
      </c>
      <c r="E63" s="3" t="s">
        <v>27</v>
      </c>
      <c r="F63" s="3" t="s">
        <v>52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/>
      <c r="N63" s="3">
        <v>637.07000000000005</v>
      </c>
      <c r="O63" s="3">
        <v>4970.9799999999996</v>
      </c>
      <c r="P63" s="3">
        <v>5082.2299999999996</v>
      </c>
      <c r="Q63" s="3">
        <f t="shared" si="0"/>
        <v>10690.279999999999</v>
      </c>
    </row>
    <row r="64" spans="1:17" x14ac:dyDescent="0.2">
      <c r="A64" s="3">
        <v>63</v>
      </c>
      <c r="B64" s="3">
        <v>400259</v>
      </c>
      <c r="C64" s="3" t="str">
        <f>VLOOKUP(B64,[1]ورقة5!$B:$C,2,0)</f>
        <v>إعارة</v>
      </c>
      <c r="D64" s="3" t="s">
        <v>26</v>
      </c>
      <c r="E64" s="3" t="s">
        <v>27</v>
      </c>
      <c r="F64" s="3" t="s">
        <v>53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/>
      <c r="N64" s="3">
        <v>379.46</v>
      </c>
      <c r="O64" s="3">
        <v>0</v>
      </c>
      <c r="P64" s="3">
        <v>3048.39</v>
      </c>
      <c r="Q64" s="3">
        <f t="shared" si="0"/>
        <v>3427.85</v>
      </c>
    </row>
    <row r="65" spans="1:17" x14ac:dyDescent="0.2">
      <c r="A65" s="3">
        <v>64</v>
      </c>
      <c r="B65" s="3">
        <v>400260</v>
      </c>
      <c r="C65" s="3" t="str">
        <f>VLOOKUP(B65,[1]ورقة5!$B:$C,2,0)</f>
        <v>إعارة</v>
      </c>
      <c r="D65" s="3" t="s">
        <v>26</v>
      </c>
      <c r="E65" s="3" t="s">
        <v>27</v>
      </c>
      <c r="F65" s="3" t="s">
        <v>54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/>
      <c r="N65" s="3">
        <v>558.29999999999995</v>
      </c>
      <c r="O65" s="3">
        <v>4353.91</v>
      </c>
      <c r="P65" s="3">
        <v>6474.62</v>
      </c>
      <c r="Q65" s="3">
        <f t="shared" si="0"/>
        <v>11386.83</v>
      </c>
    </row>
    <row r="66" spans="1:17" x14ac:dyDescent="0.2">
      <c r="A66" s="3">
        <v>65</v>
      </c>
      <c r="B66" s="3">
        <v>400261</v>
      </c>
      <c r="C66" s="3" t="str">
        <f>VLOOKUP(B66,[1]ورقة5!$B:$C,2,0)</f>
        <v>إعارة</v>
      </c>
      <c r="D66" s="3" t="s">
        <v>26</v>
      </c>
      <c r="E66" s="3" t="s">
        <v>27</v>
      </c>
      <c r="F66" s="3" t="s">
        <v>55</v>
      </c>
      <c r="G66" s="3">
        <v>2594.36</v>
      </c>
      <c r="H66" s="3">
        <v>4243.16</v>
      </c>
      <c r="I66" s="3">
        <v>2029.68</v>
      </c>
      <c r="J66" s="3">
        <v>1831.35</v>
      </c>
      <c r="K66" s="3">
        <v>2828.77</v>
      </c>
      <c r="L66" s="3">
        <v>737.18</v>
      </c>
      <c r="M66" s="3"/>
      <c r="N66" s="3">
        <v>0</v>
      </c>
      <c r="O66" s="3">
        <v>2796.53</v>
      </c>
      <c r="P66" s="3">
        <v>0</v>
      </c>
      <c r="Q66" s="3">
        <f t="shared" si="0"/>
        <v>17061.030000000002</v>
      </c>
    </row>
    <row r="67" spans="1:17" x14ac:dyDescent="0.2">
      <c r="A67" s="3">
        <v>66</v>
      </c>
      <c r="B67" s="3">
        <v>400262</v>
      </c>
      <c r="C67" s="3" t="str">
        <f>VLOOKUP(B67,[1]ورقة5!$B:$C,2,0)</f>
        <v>إعارة</v>
      </c>
      <c r="D67" s="3" t="s">
        <v>26</v>
      </c>
      <c r="E67" s="3" t="s">
        <v>27</v>
      </c>
      <c r="F67" s="3" t="s">
        <v>56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/>
      <c r="N67" s="3">
        <v>697.46</v>
      </c>
      <c r="O67" s="3">
        <v>5444.01</v>
      </c>
      <c r="P67" s="3">
        <v>5668.72</v>
      </c>
      <c r="Q67" s="3">
        <f t="shared" ref="Q67:Q130" si="1">SUM(G67:P67)</f>
        <v>11810.19</v>
      </c>
    </row>
    <row r="68" spans="1:17" x14ac:dyDescent="0.2">
      <c r="A68" s="3">
        <v>67</v>
      </c>
      <c r="B68" s="3">
        <v>400263</v>
      </c>
      <c r="C68" s="3" t="str">
        <f>VLOOKUP(B68,[1]ورقة5!$B:$C,2,0)</f>
        <v>إعارة</v>
      </c>
      <c r="D68" s="3" t="s">
        <v>26</v>
      </c>
      <c r="E68" s="3" t="s">
        <v>27</v>
      </c>
      <c r="F68" s="3" t="s">
        <v>57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/>
      <c r="N68" s="3">
        <v>0</v>
      </c>
      <c r="O68" s="3">
        <v>4825.43</v>
      </c>
      <c r="P68" s="3">
        <v>0</v>
      </c>
      <c r="Q68" s="3">
        <f t="shared" si="1"/>
        <v>4825.43</v>
      </c>
    </row>
    <row r="69" spans="1:17" x14ac:dyDescent="0.2">
      <c r="A69" s="3">
        <v>68</v>
      </c>
      <c r="B69" s="3">
        <v>400266</v>
      </c>
      <c r="C69" s="3" t="str">
        <f>VLOOKUP(B69,[1]ورقة5!$B:$C,2,0)</f>
        <v>إعارة</v>
      </c>
      <c r="D69" s="3" t="s">
        <v>26</v>
      </c>
      <c r="E69" s="3" t="s">
        <v>27</v>
      </c>
      <c r="F69" s="3" t="s">
        <v>58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/>
      <c r="N69" s="3">
        <v>546.1</v>
      </c>
      <c r="O69" s="3">
        <v>4258.3900000000003</v>
      </c>
      <c r="P69" s="3">
        <v>4362.6499999999996</v>
      </c>
      <c r="Q69" s="3">
        <f t="shared" si="1"/>
        <v>9167.14</v>
      </c>
    </row>
    <row r="70" spans="1:17" x14ac:dyDescent="0.2">
      <c r="A70" s="3">
        <v>69</v>
      </c>
      <c r="B70" s="3">
        <v>400267</v>
      </c>
      <c r="C70" s="3" t="str">
        <f>VLOOKUP(B70,[1]ورقة5!$B:$C,2,0)</f>
        <v>إعارة</v>
      </c>
      <c r="D70" s="3" t="s">
        <v>26</v>
      </c>
      <c r="E70" s="3" t="s">
        <v>27</v>
      </c>
      <c r="F70" s="3" t="s">
        <v>59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/>
      <c r="N70" s="3">
        <v>651.48</v>
      </c>
      <c r="O70" s="3">
        <v>5078.29</v>
      </c>
      <c r="P70" s="3">
        <v>5285.45</v>
      </c>
      <c r="Q70" s="3">
        <f t="shared" si="1"/>
        <v>11015.220000000001</v>
      </c>
    </row>
    <row r="71" spans="1:17" x14ac:dyDescent="0.2">
      <c r="A71" s="3">
        <v>70</v>
      </c>
      <c r="B71" s="3">
        <v>400270</v>
      </c>
      <c r="C71" s="3" t="str">
        <f>VLOOKUP(B71,[1]ورقة5!$B:$C,2,0)</f>
        <v>إعارة</v>
      </c>
      <c r="D71" s="3" t="s">
        <v>26</v>
      </c>
      <c r="E71" s="3" t="s">
        <v>27</v>
      </c>
      <c r="F71" s="3" t="s">
        <v>60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/>
      <c r="N71" s="3">
        <v>672</v>
      </c>
      <c r="O71" s="3">
        <v>5239</v>
      </c>
      <c r="P71" s="3">
        <v>5453</v>
      </c>
      <c r="Q71" s="3">
        <f t="shared" si="1"/>
        <v>11364</v>
      </c>
    </row>
    <row r="72" spans="1:17" x14ac:dyDescent="0.2">
      <c r="A72" s="3">
        <v>71</v>
      </c>
      <c r="B72" s="3">
        <v>400271</v>
      </c>
      <c r="C72" s="3" t="str">
        <f>VLOOKUP(B72,[1]ورقة5!$B:$C,2,0)</f>
        <v>إعارة</v>
      </c>
      <c r="D72" s="3" t="s">
        <v>26</v>
      </c>
      <c r="E72" s="3" t="s">
        <v>27</v>
      </c>
      <c r="F72" s="3" t="s">
        <v>61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/>
      <c r="N72" s="3">
        <v>558.29999999999995</v>
      </c>
      <c r="O72" s="3">
        <v>4353.91</v>
      </c>
      <c r="P72" s="3">
        <v>4532.2299999999996</v>
      </c>
      <c r="Q72" s="3">
        <f t="shared" si="1"/>
        <v>9444.4399999999987</v>
      </c>
    </row>
    <row r="73" spans="1:17" x14ac:dyDescent="0.2">
      <c r="A73" s="3">
        <v>72</v>
      </c>
      <c r="B73" s="3">
        <v>400273</v>
      </c>
      <c r="C73" s="3" t="str">
        <f>VLOOKUP(B73,[1]ورقة5!$B:$C,2,0)</f>
        <v>إعارة</v>
      </c>
      <c r="D73" s="3" t="s">
        <v>26</v>
      </c>
      <c r="E73" s="3" t="s">
        <v>27</v>
      </c>
      <c r="F73" s="3" t="s">
        <v>62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/>
      <c r="N73" s="3">
        <v>726.58</v>
      </c>
      <c r="O73" s="3">
        <v>5666.55</v>
      </c>
      <c r="P73" s="3">
        <v>12640.16</v>
      </c>
      <c r="Q73" s="3">
        <f t="shared" si="1"/>
        <v>19033.29</v>
      </c>
    </row>
    <row r="74" spans="1:17" x14ac:dyDescent="0.2">
      <c r="A74" s="3">
        <v>73</v>
      </c>
      <c r="B74" s="3">
        <v>400274</v>
      </c>
      <c r="C74" s="3" t="str">
        <f>VLOOKUP(B74,[1]ورقة5!$B:$C,2,0)</f>
        <v>إعارة</v>
      </c>
      <c r="D74" s="3" t="s">
        <v>26</v>
      </c>
      <c r="E74" s="3" t="s">
        <v>27</v>
      </c>
      <c r="F74" s="3" t="s">
        <v>63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/>
      <c r="N74" s="3">
        <v>733.55</v>
      </c>
      <c r="O74" s="3">
        <v>5721.13</v>
      </c>
      <c r="P74" s="3">
        <v>12732.1</v>
      </c>
      <c r="Q74" s="3">
        <f t="shared" si="1"/>
        <v>19186.78</v>
      </c>
    </row>
    <row r="75" spans="1:17" x14ac:dyDescent="0.2">
      <c r="A75" s="3">
        <v>74</v>
      </c>
      <c r="B75" s="3">
        <v>400275</v>
      </c>
      <c r="C75" s="3" t="str">
        <f>VLOOKUP(B75,[1]ورقة5!$B:$C,2,0)</f>
        <v>إعارة</v>
      </c>
      <c r="D75" s="3" t="s">
        <v>26</v>
      </c>
      <c r="E75" s="3" t="s">
        <v>27</v>
      </c>
      <c r="F75" s="3" t="s">
        <v>46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/>
      <c r="N75" s="3">
        <v>0</v>
      </c>
      <c r="O75" s="3">
        <v>5078.29</v>
      </c>
      <c r="P75" s="3">
        <v>5225.45</v>
      </c>
      <c r="Q75" s="3">
        <f t="shared" si="1"/>
        <v>10303.74</v>
      </c>
    </row>
    <row r="76" spans="1:17" x14ac:dyDescent="0.2">
      <c r="A76" s="3">
        <v>75</v>
      </c>
      <c r="B76" s="3">
        <v>400276</v>
      </c>
      <c r="C76" s="3" t="str">
        <f>VLOOKUP(B76,[1]ورقة5!$B:$C,2,0)</f>
        <v>إعارة</v>
      </c>
      <c r="D76" s="3" t="s">
        <v>26</v>
      </c>
      <c r="E76" s="3" t="s">
        <v>27</v>
      </c>
      <c r="F76" s="3" t="s">
        <v>64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/>
      <c r="N76" s="3">
        <v>781.55</v>
      </c>
      <c r="O76" s="3">
        <v>6097.13</v>
      </c>
      <c r="P76" s="3">
        <v>15415.71</v>
      </c>
      <c r="Q76" s="3">
        <f t="shared" si="1"/>
        <v>22294.39</v>
      </c>
    </row>
    <row r="77" spans="1:17" x14ac:dyDescent="0.2">
      <c r="A77" s="3">
        <v>76</v>
      </c>
      <c r="B77" s="3">
        <v>400277</v>
      </c>
      <c r="C77" s="3" t="str">
        <f>VLOOKUP(B77,[1]ورقة5!$B:$C,2,0)</f>
        <v>إعارة</v>
      </c>
      <c r="D77" s="3" t="s">
        <v>26</v>
      </c>
      <c r="E77" s="3" t="s">
        <v>27</v>
      </c>
      <c r="F77" s="3" t="s">
        <v>65</v>
      </c>
      <c r="G77" s="3">
        <v>3498.97</v>
      </c>
      <c r="H77" s="3">
        <v>6997.94</v>
      </c>
      <c r="I77" s="3">
        <v>5248.45</v>
      </c>
      <c r="J77" s="3">
        <v>3016.26</v>
      </c>
      <c r="K77" s="3">
        <v>5248.45</v>
      </c>
      <c r="L77" s="3">
        <v>3499.04</v>
      </c>
      <c r="M77" s="3"/>
      <c r="N77" s="3">
        <v>754.06</v>
      </c>
      <c r="O77" s="3">
        <v>5881.84</v>
      </c>
      <c r="P77" s="3">
        <v>6123.19</v>
      </c>
      <c r="Q77" s="3">
        <f t="shared" si="1"/>
        <v>40268.200000000012</v>
      </c>
    </row>
    <row r="78" spans="1:17" x14ac:dyDescent="0.2">
      <c r="A78" s="3">
        <v>77</v>
      </c>
      <c r="B78" s="3">
        <v>400278</v>
      </c>
      <c r="C78" s="3" t="str">
        <f>VLOOKUP(B78,[1]ورقة5!$B:$C,2,0)</f>
        <v>إعارة</v>
      </c>
      <c r="D78" s="3" t="s">
        <v>26</v>
      </c>
      <c r="E78" s="3" t="s">
        <v>27</v>
      </c>
      <c r="F78" s="3" t="s">
        <v>66</v>
      </c>
      <c r="G78" s="3">
        <v>5925.77</v>
      </c>
      <c r="H78" s="3">
        <v>6110.02</v>
      </c>
      <c r="I78" s="3">
        <v>5027.18</v>
      </c>
      <c r="J78" s="3">
        <v>2631.91</v>
      </c>
      <c r="K78" s="3">
        <v>4582.5200000000004</v>
      </c>
      <c r="L78" s="3">
        <v>1180.58</v>
      </c>
      <c r="M78" s="3"/>
      <c r="N78" s="3">
        <v>657.98</v>
      </c>
      <c r="O78" s="3">
        <v>5134.72</v>
      </c>
      <c r="P78" s="3">
        <v>5346.27</v>
      </c>
      <c r="Q78" s="3">
        <f t="shared" si="1"/>
        <v>36596.950000000004</v>
      </c>
    </row>
    <row r="79" spans="1:17" x14ac:dyDescent="0.2">
      <c r="A79" s="3">
        <v>78</v>
      </c>
      <c r="B79" s="3">
        <v>400279</v>
      </c>
      <c r="C79" s="3" t="str">
        <f>VLOOKUP(B79,[1]ورقة5!$B:$C,2,0)</f>
        <v>إعارة</v>
      </c>
      <c r="D79" s="3" t="s">
        <v>26</v>
      </c>
      <c r="E79" s="3" t="s">
        <v>27</v>
      </c>
      <c r="F79" s="3" t="s">
        <v>59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/>
      <c r="N79" s="3">
        <v>249.28</v>
      </c>
      <c r="O79" s="3">
        <v>1938.75</v>
      </c>
      <c r="P79" s="3">
        <v>2016.29</v>
      </c>
      <c r="Q79" s="3">
        <f t="shared" si="1"/>
        <v>4204.32</v>
      </c>
    </row>
    <row r="80" spans="1:17" x14ac:dyDescent="0.2">
      <c r="A80" s="3">
        <v>79</v>
      </c>
      <c r="B80" s="3">
        <v>400281</v>
      </c>
      <c r="C80" s="3" t="str">
        <f>VLOOKUP(B80,[1]ورقة5!$B:$C,2,0)</f>
        <v>إعارة</v>
      </c>
      <c r="D80" s="3" t="s">
        <v>26</v>
      </c>
      <c r="E80" s="3" t="s">
        <v>27</v>
      </c>
      <c r="F80" s="3" t="s">
        <v>59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/>
      <c r="N80" s="3">
        <v>0</v>
      </c>
      <c r="O80" s="3">
        <v>0</v>
      </c>
      <c r="P80" s="3">
        <v>2092.16</v>
      </c>
      <c r="Q80" s="3">
        <f t="shared" si="1"/>
        <v>2092.16</v>
      </c>
    </row>
    <row r="81" spans="1:17" x14ac:dyDescent="0.2">
      <c r="A81" s="3">
        <v>80</v>
      </c>
      <c r="B81" s="3">
        <v>400283</v>
      </c>
      <c r="C81" s="3" t="str">
        <f>VLOOKUP(B81,[1]ورقة5!$B:$C,2,0)</f>
        <v>إعارة</v>
      </c>
      <c r="D81" s="3" t="s">
        <v>26</v>
      </c>
      <c r="E81" s="3" t="s">
        <v>27</v>
      </c>
      <c r="F81" s="3" t="s">
        <v>59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/>
      <c r="N81" s="3">
        <v>0</v>
      </c>
      <c r="O81" s="3">
        <v>3963.51</v>
      </c>
      <c r="P81" s="3">
        <v>3988.2</v>
      </c>
      <c r="Q81" s="3">
        <f t="shared" si="1"/>
        <v>7951.71</v>
      </c>
    </row>
    <row r="82" spans="1:17" x14ac:dyDescent="0.2">
      <c r="A82" s="3">
        <v>81</v>
      </c>
      <c r="B82" s="3">
        <v>400284</v>
      </c>
      <c r="C82" s="3" t="str">
        <f>VLOOKUP(B82,[1]ورقة5!$B:$C,2,0)</f>
        <v>إعارة</v>
      </c>
      <c r="D82" s="3" t="s">
        <v>26</v>
      </c>
      <c r="E82" s="3" t="s">
        <v>27</v>
      </c>
      <c r="F82" s="3" t="s">
        <v>61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/>
      <c r="N82" s="3">
        <v>510.1</v>
      </c>
      <c r="O82" s="3">
        <v>0</v>
      </c>
      <c r="P82" s="3">
        <v>0</v>
      </c>
      <c r="Q82" s="3">
        <f t="shared" si="1"/>
        <v>510.1</v>
      </c>
    </row>
    <row r="83" spans="1:17" x14ac:dyDescent="0.2">
      <c r="A83" s="3">
        <v>82</v>
      </c>
      <c r="B83" s="3">
        <v>400286</v>
      </c>
      <c r="C83" s="3" t="str">
        <f>VLOOKUP(B83,[1]ورقة5!$B:$C,2,0)</f>
        <v>إعارة</v>
      </c>
      <c r="D83" s="3" t="s">
        <v>26</v>
      </c>
      <c r="E83" s="3" t="s">
        <v>27</v>
      </c>
      <c r="F83" s="3" t="s">
        <v>59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/>
      <c r="N83" s="3">
        <v>600.67999999999995</v>
      </c>
      <c r="O83" s="3">
        <v>0</v>
      </c>
      <c r="P83" s="3">
        <v>0</v>
      </c>
      <c r="Q83" s="3">
        <f t="shared" si="1"/>
        <v>600.67999999999995</v>
      </c>
    </row>
    <row r="84" spans="1:17" x14ac:dyDescent="0.2">
      <c r="A84" s="3">
        <v>83</v>
      </c>
      <c r="B84" s="3">
        <v>400287</v>
      </c>
      <c r="C84" s="3" t="str">
        <f>VLOOKUP(B84,[1]ورقة5!$B:$C,2,0)</f>
        <v>إعارة</v>
      </c>
      <c r="D84" s="3" t="s">
        <v>26</v>
      </c>
      <c r="E84" s="3" t="s">
        <v>27</v>
      </c>
      <c r="F84" s="3" t="s">
        <v>59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/>
      <c r="N84" s="3">
        <v>510.1</v>
      </c>
      <c r="O84" s="3">
        <v>0</v>
      </c>
      <c r="P84" s="3">
        <v>0</v>
      </c>
      <c r="Q84" s="3">
        <f t="shared" si="1"/>
        <v>510.1</v>
      </c>
    </row>
    <row r="85" spans="1:17" x14ac:dyDescent="0.2">
      <c r="A85" s="3">
        <v>84</v>
      </c>
      <c r="B85" s="3">
        <v>400289</v>
      </c>
      <c r="C85" s="3" t="str">
        <f>VLOOKUP(B85,[1]ورقة5!$B:$C,2,0)</f>
        <v>إعارة</v>
      </c>
      <c r="D85" s="3" t="s">
        <v>26</v>
      </c>
      <c r="E85" s="3" t="s">
        <v>27</v>
      </c>
      <c r="F85" s="3" t="s">
        <v>59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/>
      <c r="N85" s="3">
        <v>0</v>
      </c>
      <c r="O85" s="3">
        <v>4543.43</v>
      </c>
      <c r="P85" s="3">
        <v>0</v>
      </c>
      <c r="Q85" s="3">
        <f t="shared" si="1"/>
        <v>4543.43</v>
      </c>
    </row>
    <row r="86" spans="1:17" x14ac:dyDescent="0.2">
      <c r="A86" s="3">
        <v>85</v>
      </c>
      <c r="B86" s="3">
        <v>400290</v>
      </c>
      <c r="C86" s="3" t="str">
        <f>VLOOKUP(B86,[1]ورقة5!$B:$C,2,0)</f>
        <v>إعارة</v>
      </c>
      <c r="D86" s="3" t="s">
        <v>26</v>
      </c>
      <c r="E86" s="3" t="s">
        <v>27</v>
      </c>
      <c r="F86" s="3" t="s">
        <v>59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/>
      <c r="N86" s="3">
        <v>618.49</v>
      </c>
      <c r="O86" s="3">
        <v>4825.43</v>
      </c>
      <c r="P86" s="3">
        <v>5023.8100000000004</v>
      </c>
      <c r="Q86" s="3">
        <f t="shared" si="1"/>
        <v>10467.73</v>
      </c>
    </row>
    <row r="87" spans="1:17" x14ac:dyDescent="0.2">
      <c r="A87" s="3">
        <v>86</v>
      </c>
      <c r="B87" s="3">
        <v>400291</v>
      </c>
      <c r="C87" s="3" t="str">
        <f>VLOOKUP(B87,[1]ورقة5!$B:$C,2,0)</f>
        <v>إعارة</v>
      </c>
      <c r="D87" s="3" t="s">
        <v>26</v>
      </c>
      <c r="E87" s="3" t="s">
        <v>27</v>
      </c>
      <c r="F87" s="3" t="s">
        <v>59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/>
      <c r="N87" s="3">
        <v>393.59</v>
      </c>
      <c r="O87" s="3">
        <v>3063.68</v>
      </c>
      <c r="P87" s="3">
        <v>3187.1</v>
      </c>
      <c r="Q87" s="3">
        <f t="shared" si="1"/>
        <v>6644.37</v>
      </c>
    </row>
    <row r="88" spans="1:17" x14ac:dyDescent="0.2">
      <c r="A88" s="3">
        <v>87</v>
      </c>
      <c r="B88" s="3">
        <v>400293</v>
      </c>
      <c r="C88" s="3" t="str">
        <f>VLOOKUP(B88,[1]ورقة5!$B:$C,2,0)</f>
        <v>إعارة</v>
      </c>
      <c r="D88" s="3" t="s">
        <v>26</v>
      </c>
      <c r="E88" s="3" t="s">
        <v>27</v>
      </c>
      <c r="F88" s="3" t="s">
        <v>61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/>
      <c r="N88" s="3">
        <v>637.07000000000005</v>
      </c>
      <c r="O88" s="3">
        <v>1500.9</v>
      </c>
      <c r="P88" s="3">
        <v>5175.5600000000004</v>
      </c>
      <c r="Q88" s="3">
        <f t="shared" si="1"/>
        <v>7313.5300000000007</v>
      </c>
    </row>
    <row r="89" spans="1:17" x14ac:dyDescent="0.2">
      <c r="A89" s="3">
        <v>88</v>
      </c>
      <c r="B89" s="3">
        <v>400294</v>
      </c>
      <c r="C89" s="3" t="str">
        <f>VLOOKUP(B89,[1]ورقة5!$B:$C,2,0)</f>
        <v>إعارة</v>
      </c>
      <c r="D89" s="3" t="s">
        <v>26</v>
      </c>
      <c r="E89" s="3" t="s">
        <v>27</v>
      </c>
      <c r="F89" s="3" t="s">
        <v>61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/>
      <c r="N89" s="3">
        <v>697.46</v>
      </c>
      <c r="O89" s="3">
        <v>2895.72</v>
      </c>
      <c r="P89" s="3">
        <v>5668.72</v>
      </c>
      <c r="Q89" s="3">
        <f t="shared" si="1"/>
        <v>9261.9</v>
      </c>
    </row>
    <row r="90" spans="1:17" x14ac:dyDescent="0.2">
      <c r="A90" s="3">
        <v>89</v>
      </c>
      <c r="B90" s="3">
        <v>400295</v>
      </c>
      <c r="C90" s="3" t="str">
        <f>VLOOKUP(B90,[1]ورقة5!$B:$C,2,0)</f>
        <v>إعارة</v>
      </c>
      <c r="D90" s="3" t="s">
        <v>26</v>
      </c>
      <c r="E90" s="3" t="s">
        <v>27</v>
      </c>
      <c r="F90" s="3" t="s">
        <v>61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/>
      <c r="N90" s="3">
        <v>814.84</v>
      </c>
      <c r="O90" s="3">
        <v>0</v>
      </c>
      <c r="P90" s="3">
        <v>0</v>
      </c>
      <c r="Q90" s="3">
        <f t="shared" si="1"/>
        <v>814.84</v>
      </c>
    </row>
    <row r="91" spans="1:17" x14ac:dyDescent="0.2">
      <c r="A91" s="3">
        <v>90</v>
      </c>
      <c r="B91" s="3">
        <v>400296</v>
      </c>
      <c r="C91" s="3" t="str">
        <f>VLOOKUP(B91,[1]ورقة5!$B:$C,2,0)</f>
        <v>إعارة</v>
      </c>
      <c r="D91" s="3" t="s">
        <v>26</v>
      </c>
      <c r="E91" s="3" t="s">
        <v>27</v>
      </c>
      <c r="F91" s="3" t="s">
        <v>61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/>
      <c r="N91" s="3">
        <v>542.23</v>
      </c>
      <c r="O91" s="3">
        <v>0</v>
      </c>
      <c r="P91" s="3">
        <v>0</v>
      </c>
      <c r="Q91" s="3">
        <f t="shared" si="1"/>
        <v>542.23</v>
      </c>
    </row>
    <row r="92" spans="1:17" x14ac:dyDescent="0.2">
      <c r="A92" s="3">
        <v>91</v>
      </c>
      <c r="B92" s="3">
        <v>400298</v>
      </c>
      <c r="C92" s="3" t="str">
        <f>VLOOKUP(B92,[1]ورقة5!$B:$C,2,0)</f>
        <v>إعارة</v>
      </c>
      <c r="D92" s="3" t="s">
        <v>26</v>
      </c>
      <c r="E92" s="3" t="s">
        <v>27</v>
      </c>
      <c r="F92" s="3" t="s">
        <v>61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/>
      <c r="N92" s="3">
        <v>713.03</v>
      </c>
      <c r="O92" s="3">
        <v>0</v>
      </c>
      <c r="P92" s="3">
        <v>0</v>
      </c>
      <c r="Q92" s="3">
        <f t="shared" si="1"/>
        <v>713.03</v>
      </c>
    </row>
    <row r="93" spans="1:17" x14ac:dyDescent="0.2">
      <c r="A93" s="3">
        <v>92</v>
      </c>
      <c r="B93" s="3">
        <v>400300</v>
      </c>
      <c r="C93" s="3" t="str">
        <f>VLOOKUP(B93,[1]ورقة5!$B:$C,2,0)</f>
        <v>إعارة</v>
      </c>
      <c r="D93" s="3" t="s">
        <v>26</v>
      </c>
      <c r="E93" s="3" t="s">
        <v>27</v>
      </c>
      <c r="F93" s="3" t="s">
        <v>48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/>
      <c r="N93" s="3">
        <v>0</v>
      </c>
      <c r="O93" s="3">
        <v>3973.36</v>
      </c>
      <c r="P93" s="3">
        <v>4042.16</v>
      </c>
      <c r="Q93" s="3">
        <f t="shared" si="1"/>
        <v>8015.52</v>
      </c>
    </row>
    <row r="94" spans="1:17" x14ac:dyDescent="0.2">
      <c r="A94" s="3">
        <v>93</v>
      </c>
      <c r="B94" s="3">
        <v>400301</v>
      </c>
      <c r="C94" s="3" t="str">
        <f>VLOOKUP(B94,[1]ورقة5!$B:$C,2,0)</f>
        <v>إعارة</v>
      </c>
      <c r="D94" s="3" t="s">
        <v>26</v>
      </c>
      <c r="E94" s="3" t="s">
        <v>27</v>
      </c>
      <c r="F94" s="3" t="s">
        <v>60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/>
      <c r="N94" s="3">
        <v>754.06</v>
      </c>
      <c r="O94" s="3">
        <v>5881.84</v>
      </c>
      <c r="P94" s="3">
        <v>6123.19</v>
      </c>
      <c r="Q94" s="3">
        <f t="shared" si="1"/>
        <v>12759.09</v>
      </c>
    </row>
    <row r="95" spans="1:17" x14ac:dyDescent="0.2">
      <c r="A95" s="3">
        <v>94</v>
      </c>
      <c r="B95" s="3">
        <v>400302</v>
      </c>
      <c r="C95" s="3" t="str">
        <f>VLOOKUP(B95,[1]ورقة5!$B:$C,2,0)</f>
        <v>إعارة</v>
      </c>
      <c r="D95" s="3" t="s">
        <v>26</v>
      </c>
      <c r="E95" s="3" t="s">
        <v>27</v>
      </c>
      <c r="F95" s="3" t="s">
        <v>60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/>
      <c r="N95" s="3">
        <v>697.46</v>
      </c>
      <c r="O95" s="3">
        <v>5444.01</v>
      </c>
      <c r="P95" s="3">
        <v>0</v>
      </c>
      <c r="Q95" s="3">
        <f t="shared" si="1"/>
        <v>6141.47</v>
      </c>
    </row>
    <row r="96" spans="1:17" x14ac:dyDescent="0.2">
      <c r="A96" s="3">
        <v>95</v>
      </c>
      <c r="B96" s="3">
        <v>400303</v>
      </c>
      <c r="C96" s="3" t="str">
        <f>VLOOKUP(B96,[1]ورقة5!$B:$C,2,0)</f>
        <v>إعارة</v>
      </c>
      <c r="D96" s="3" t="s">
        <v>26</v>
      </c>
      <c r="E96" s="3" t="s">
        <v>27</v>
      </c>
      <c r="F96" s="3" t="s">
        <v>60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/>
      <c r="N96" s="3">
        <v>637.07000000000005</v>
      </c>
      <c r="O96" s="3">
        <v>0</v>
      </c>
      <c r="P96" s="3">
        <v>5175.5600000000004</v>
      </c>
      <c r="Q96" s="3">
        <f t="shared" si="1"/>
        <v>5812.63</v>
      </c>
    </row>
    <row r="97" spans="1:17" x14ac:dyDescent="0.2">
      <c r="A97" s="3">
        <v>96</v>
      </c>
      <c r="B97" s="3">
        <v>400304</v>
      </c>
      <c r="C97" s="3" t="str">
        <f>VLOOKUP(B97,[1]ورقة5!$B:$C,2,0)</f>
        <v>إعارة</v>
      </c>
      <c r="D97" s="3" t="s">
        <v>26</v>
      </c>
      <c r="E97" s="3" t="s">
        <v>27</v>
      </c>
      <c r="F97" s="3" t="s">
        <v>60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/>
      <c r="N97" s="3">
        <v>0</v>
      </c>
      <c r="O97" s="3">
        <v>5444.01</v>
      </c>
      <c r="P97" s="3">
        <v>5668.72</v>
      </c>
      <c r="Q97" s="3">
        <f t="shared" si="1"/>
        <v>11112.73</v>
      </c>
    </row>
    <row r="98" spans="1:17" x14ac:dyDescent="0.2">
      <c r="A98" s="3">
        <v>97</v>
      </c>
      <c r="B98" s="3">
        <v>400305</v>
      </c>
      <c r="C98" s="3" t="str">
        <f>VLOOKUP(B98,[1]ورقة5!$B:$C,2,0)</f>
        <v>إعارة</v>
      </c>
      <c r="D98" s="3" t="s">
        <v>26</v>
      </c>
      <c r="E98" s="3" t="s">
        <v>27</v>
      </c>
      <c r="F98" s="3" t="s">
        <v>60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/>
      <c r="N98" s="3">
        <v>697.46</v>
      </c>
      <c r="O98" s="3">
        <v>5444.01</v>
      </c>
      <c r="P98" s="3">
        <v>5668.72</v>
      </c>
      <c r="Q98" s="3">
        <f t="shared" si="1"/>
        <v>11810.19</v>
      </c>
    </row>
    <row r="99" spans="1:17" x14ac:dyDescent="0.2">
      <c r="A99" s="3">
        <v>98</v>
      </c>
      <c r="B99" s="3">
        <v>400306</v>
      </c>
      <c r="C99" s="3" t="str">
        <f>VLOOKUP(B99,[1]ورقة5!$B:$C,2,0)</f>
        <v>إعارة</v>
      </c>
      <c r="D99" s="3" t="s">
        <v>26</v>
      </c>
      <c r="E99" s="3" t="s">
        <v>27</v>
      </c>
      <c r="F99" s="3" t="s">
        <v>60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/>
      <c r="N99" s="3">
        <v>618.88</v>
      </c>
      <c r="O99" s="3">
        <v>0</v>
      </c>
      <c r="P99" s="3">
        <v>5026.9799999999996</v>
      </c>
      <c r="Q99" s="3">
        <f t="shared" si="1"/>
        <v>5645.86</v>
      </c>
    </row>
    <row r="100" spans="1:17" x14ac:dyDescent="0.2">
      <c r="A100" s="3">
        <v>99</v>
      </c>
      <c r="B100" s="3">
        <v>400307</v>
      </c>
      <c r="C100" s="3" t="str">
        <f>VLOOKUP(B100,[1]ورقة5!$B:$C,2,0)</f>
        <v>إعارة</v>
      </c>
      <c r="D100" s="3" t="s">
        <v>26</v>
      </c>
      <c r="E100" s="3" t="s">
        <v>27</v>
      </c>
      <c r="F100" s="3" t="s">
        <v>60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/>
      <c r="N100" s="3">
        <v>637.07000000000005</v>
      </c>
      <c r="O100" s="3">
        <v>4970.9799999999996</v>
      </c>
      <c r="P100" s="3">
        <v>0</v>
      </c>
      <c r="Q100" s="3">
        <f t="shared" si="1"/>
        <v>5608.0499999999993</v>
      </c>
    </row>
    <row r="101" spans="1:17" x14ac:dyDescent="0.2">
      <c r="A101" s="3">
        <v>100</v>
      </c>
      <c r="B101" s="3">
        <v>400308</v>
      </c>
      <c r="C101" s="3" t="str">
        <f>VLOOKUP(B101,[1]ورقة5!$B:$C,2,0)</f>
        <v>إعارة</v>
      </c>
      <c r="D101" s="3" t="s">
        <v>26</v>
      </c>
      <c r="E101" s="3" t="s">
        <v>27</v>
      </c>
      <c r="F101" s="3" t="s">
        <v>60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/>
      <c r="N101" s="3">
        <v>421.85</v>
      </c>
      <c r="O101" s="3">
        <v>0</v>
      </c>
      <c r="P101" s="3">
        <v>0</v>
      </c>
      <c r="Q101" s="3">
        <f t="shared" si="1"/>
        <v>421.85</v>
      </c>
    </row>
    <row r="102" spans="1:17" x14ac:dyDescent="0.2">
      <c r="A102" s="3">
        <v>101</v>
      </c>
      <c r="B102" s="3">
        <v>400309</v>
      </c>
      <c r="C102" s="3" t="str">
        <f>VLOOKUP(B102,[1]ورقة5!$B:$C,2,0)</f>
        <v>إعارة</v>
      </c>
      <c r="D102" s="3" t="s">
        <v>26</v>
      </c>
      <c r="E102" s="3" t="s">
        <v>27</v>
      </c>
      <c r="F102" s="3" t="s">
        <v>60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/>
      <c r="N102" s="3">
        <v>600.67999999999995</v>
      </c>
      <c r="O102" s="3">
        <v>0</v>
      </c>
      <c r="P102" s="3">
        <v>0</v>
      </c>
      <c r="Q102" s="3">
        <f t="shared" si="1"/>
        <v>600.67999999999995</v>
      </c>
    </row>
    <row r="103" spans="1:17" x14ac:dyDescent="0.2">
      <c r="A103" s="3">
        <v>102</v>
      </c>
      <c r="B103" s="3">
        <v>400310</v>
      </c>
      <c r="C103" s="3" t="str">
        <f>VLOOKUP(B103,[1]ورقة5!$B:$C,2,0)</f>
        <v>إعارة</v>
      </c>
      <c r="D103" s="3" t="s">
        <v>26</v>
      </c>
      <c r="E103" s="3" t="s">
        <v>27</v>
      </c>
      <c r="F103" s="3" t="s">
        <v>60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/>
      <c r="N103" s="3">
        <v>0</v>
      </c>
      <c r="O103" s="3">
        <v>5167.74</v>
      </c>
      <c r="P103" s="3">
        <v>0</v>
      </c>
      <c r="Q103" s="3">
        <f t="shared" si="1"/>
        <v>5167.74</v>
      </c>
    </row>
    <row r="104" spans="1:17" x14ac:dyDescent="0.2">
      <c r="A104" s="3">
        <v>103</v>
      </c>
      <c r="B104" s="3">
        <v>400311</v>
      </c>
      <c r="C104" s="3" t="str">
        <f>VLOOKUP(B104,[1]ورقة5!$B:$C,2,0)</f>
        <v>إعارة</v>
      </c>
      <c r="D104" s="3" t="s">
        <v>26</v>
      </c>
      <c r="E104" s="3" t="s">
        <v>27</v>
      </c>
      <c r="F104" s="3" t="s">
        <v>60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/>
      <c r="N104" s="3">
        <v>600.67999999999995</v>
      </c>
      <c r="O104" s="3">
        <v>0</v>
      </c>
      <c r="P104" s="3">
        <v>4878.3900000000003</v>
      </c>
      <c r="Q104" s="3">
        <f t="shared" si="1"/>
        <v>5479.0700000000006</v>
      </c>
    </row>
    <row r="105" spans="1:17" x14ac:dyDescent="0.2">
      <c r="A105" s="3">
        <v>104</v>
      </c>
      <c r="B105" s="3">
        <v>400312</v>
      </c>
      <c r="C105" s="3" t="str">
        <f>VLOOKUP(B105,[1]ورقة5!$B:$C,2,0)</f>
        <v>إعارة</v>
      </c>
      <c r="D105" s="3" t="s">
        <v>26</v>
      </c>
      <c r="E105" s="3" t="s">
        <v>27</v>
      </c>
      <c r="F105" s="3" t="s">
        <v>48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/>
      <c r="N105" s="3">
        <v>0</v>
      </c>
      <c r="O105" s="3">
        <v>0</v>
      </c>
      <c r="P105" s="3">
        <v>4785.0600000000004</v>
      </c>
      <c r="Q105" s="3">
        <f t="shared" si="1"/>
        <v>4785.0600000000004</v>
      </c>
    </row>
    <row r="106" spans="1:17" x14ac:dyDescent="0.2">
      <c r="A106" s="3">
        <v>105</v>
      </c>
      <c r="B106" s="3">
        <v>400313</v>
      </c>
      <c r="C106" s="3" t="str">
        <f>VLOOKUP(B106,[1]ورقة5!$B:$C,2,0)</f>
        <v>إعارة</v>
      </c>
      <c r="D106" s="3" t="s">
        <v>26</v>
      </c>
      <c r="E106" s="3" t="s">
        <v>27</v>
      </c>
      <c r="F106" s="3" t="s">
        <v>48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/>
      <c r="N106" s="3">
        <v>0</v>
      </c>
      <c r="O106" s="3">
        <v>2510.3000000000002</v>
      </c>
      <c r="P106" s="3">
        <v>2516.84</v>
      </c>
      <c r="Q106" s="3">
        <f t="shared" si="1"/>
        <v>5027.1400000000003</v>
      </c>
    </row>
    <row r="107" spans="1:17" x14ac:dyDescent="0.2">
      <c r="A107" s="3">
        <v>106</v>
      </c>
      <c r="B107" s="3">
        <v>400314</v>
      </c>
      <c r="C107" s="3" t="str">
        <f>VLOOKUP(B107,[1]ورقة5!$B:$C,2,0)</f>
        <v>إعارة</v>
      </c>
      <c r="D107" s="3" t="s">
        <v>26</v>
      </c>
      <c r="E107" s="3" t="s">
        <v>27</v>
      </c>
      <c r="F107" s="3" t="s">
        <v>48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/>
      <c r="N107" s="3">
        <v>337.07</v>
      </c>
      <c r="O107" s="3">
        <v>2620.98</v>
      </c>
      <c r="P107" s="3">
        <v>0</v>
      </c>
      <c r="Q107" s="3">
        <f t="shared" si="1"/>
        <v>2958.05</v>
      </c>
    </row>
    <row r="108" spans="1:17" x14ac:dyDescent="0.2">
      <c r="A108" s="3">
        <v>107</v>
      </c>
      <c r="B108" s="3">
        <v>400315</v>
      </c>
      <c r="C108" s="3" t="str">
        <f>VLOOKUP(B108,[1]ورقة5!$B:$C,2,0)</f>
        <v>إعارة</v>
      </c>
      <c r="D108" s="3" t="s">
        <v>26</v>
      </c>
      <c r="E108" s="3" t="s">
        <v>27</v>
      </c>
      <c r="F108" s="3" t="s">
        <v>48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/>
      <c r="N108" s="3">
        <v>228.9</v>
      </c>
      <c r="O108" s="3">
        <v>1781.99</v>
      </c>
      <c r="P108" s="3">
        <v>0</v>
      </c>
      <c r="Q108" s="3">
        <f t="shared" si="1"/>
        <v>2010.89</v>
      </c>
    </row>
    <row r="109" spans="1:17" x14ac:dyDescent="0.2">
      <c r="A109" s="3">
        <v>108</v>
      </c>
      <c r="B109" s="3">
        <v>400318</v>
      </c>
      <c r="C109" s="3" t="str">
        <f>VLOOKUP(B109,[1]ورقة5!$B:$C,2,0)</f>
        <v>إعارة</v>
      </c>
      <c r="D109" s="3" t="s">
        <v>26</v>
      </c>
      <c r="E109" s="3" t="s">
        <v>27</v>
      </c>
      <c r="F109" s="3" t="s">
        <v>57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/>
      <c r="N109" s="3">
        <v>509.72</v>
      </c>
      <c r="O109" s="3">
        <v>3973.36</v>
      </c>
      <c r="P109" s="3">
        <v>4065.49</v>
      </c>
      <c r="Q109" s="3">
        <f t="shared" si="1"/>
        <v>8548.57</v>
      </c>
    </row>
    <row r="110" spans="1:17" x14ac:dyDescent="0.2">
      <c r="A110" s="3">
        <v>109</v>
      </c>
      <c r="B110" s="3">
        <v>400319</v>
      </c>
      <c r="C110" s="3" t="str">
        <f>VLOOKUP(B110,[1]ورقة5!$B:$C,2,0)</f>
        <v>إعارة</v>
      </c>
      <c r="D110" s="3" t="s">
        <v>26</v>
      </c>
      <c r="E110" s="3" t="s">
        <v>27</v>
      </c>
      <c r="F110" s="3" t="s">
        <v>48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/>
      <c r="N110" s="3">
        <v>526.16999999999996</v>
      </c>
      <c r="O110" s="3">
        <v>4102.2299999999996</v>
      </c>
      <c r="P110" s="3">
        <v>0</v>
      </c>
      <c r="Q110" s="3">
        <f t="shared" si="1"/>
        <v>4628.3999999999996</v>
      </c>
    </row>
    <row r="111" spans="1:17" x14ac:dyDescent="0.2">
      <c r="A111" s="3">
        <v>110</v>
      </c>
      <c r="B111" s="3">
        <v>400320</v>
      </c>
      <c r="C111" s="3" t="str">
        <f>VLOOKUP(B111,[1]ورقة5!$B:$C,2,0)</f>
        <v>إعارة</v>
      </c>
      <c r="D111" s="3" t="s">
        <v>26</v>
      </c>
      <c r="E111" s="3" t="s">
        <v>27</v>
      </c>
      <c r="F111" s="3" t="s">
        <v>57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/>
      <c r="N111" s="3">
        <v>697.46</v>
      </c>
      <c r="O111" s="3">
        <v>5444.01</v>
      </c>
      <c r="P111" s="3">
        <v>5598.72</v>
      </c>
      <c r="Q111" s="3">
        <f t="shared" si="1"/>
        <v>11740.19</v>
      </c>
    </row>
    <row r="112" spans="1:17" x14ac:dyDescent="0.2">
      <c r="A112" s="3">
        <v>111</v>
      </c>
      <c r="B112" s="3">
        <v>400321</v>
      </c>
      <c r="C112" s="3" t="str">
        <f>VLOOKUP(B112,[1]ورقة5!$B:$C,2,0)</f>
        <v>إعارة</v>
      </c>
      <c r="D112" s="3" t="s">
        <v>26</v>
      </c>
      <c r="E112" s="3" t="s">
        <v>27</v>
      </c>
      <c r="F112" s="3" t="s">
        <v>57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/>
      <c r="N112" s="3">
        <v>637.07000000000005</v>
      </c>
      <c r="O112" s="3">
        <v>4970.9799999999996</v>
      </c>
      <c r="P112" s="3">
        <v>5082.2299999999996</v>
      </c>
      <c r="Q112" s="3">
        <f t="shared" si="1"/>
        <v>10690.279999999999</v>
      </c>
    </row>
    <row r="113" spans="1:17" x14ac:dyDescent="0.2">
      <c r="A113" s="3">
        <v>112</v>
      </c>
      <c r="B113" s="3">
        <v>400322</v>
      </c>
      <c r="C113" s="3" t="str">
        <f>VLOOKUP(B113,[1]ورقة5!$B:$C,2,0)</f>
        <v>إعارة</v>
      </c>
      <c r="D113" s="3" t="s">
        <v>26</v>
      </c>
      <c r="E113" s="3" t="s">
        <v>27</v>
      </c>
      <c r="F113" s="3" t="s">
        <v>57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/>
      <c r="N113" s="3">
        <v>510.1</v>
      </c>
      <c r="O113" s="3">
        <v>3976.39</v>
      </c>
      <c r="P113" s="3">
        <v>0</v>
      </c>
      <c r="Q113" s="3">
        <f t="shared" si="1"/>
        <v>4486.49</v>
      </c>
    </row>
    <row r="114" spans="1:17" x14ac:dyDescent="0.2">
      <c r="A114" s="3">
        <v>113</v>
      </c>
      <c r="B114" s="3">
        <v>400325</v>
      </c>
      <c r="C114" s="3" t="str">
        <f>VLOOKUP(B114,[1]ورقة5!$B:$C,2,0)</f>
        <v>إعارة</v>
      </c>
      <c r="D114" s="3" t="s">
        <v>26</v>
      </c>
      <c r="E114" s="3" t="s">
        <v>27</v>
      </c>
      <c r="F114" s="3" t="s">
        <v>57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/>
      <c r="N114" s="3">
        <v>407.72</v>
      </c>
      <c r="O114" s="3">
        <v>3174.36</v>
      </c>
      <c r="P114" s="3">
        <v>3209.16</v>
      </c>
      <c r="Q114" s="3">
        <f t="shared" si="1"/>
        <v>6791.24</v>
      </c>
    </row>
    <row r="115" spans="1:17" x14ac:dyDescent="0.2">
      <c r="A115" s="3">
        <v>114</v>
      </c>
      <c r="B115" s="3">
        <v>400328</v>
      </c>
      <c r="C115" s="3" t="str">
        <f>VLOOKUP(B115,[1]ورقة5!$B:$C,2,0)</f>
        <v>إعارة</v>
      </c>
      <c r="D115" s="3" t="s">
        <v>26</v>
      </c>
      <c r="E115" s="3" t="s">
        <v>27</v>
      </c>
      <c r="F115" s="3" t="s">
        <v>58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/>
      <c r="N115" s="3">
        <v>393.59</v>
      </c>
      <c r="O115" s="3">
        <v>3063.68</v>
      </c>
      <c r="P115" s="3">
        <v>3095.19</v>
      </c>
      <c r="Q115" s="3">
        <f t="shared" si="1"/>
        <v>6552.46</v>
      </c>
    </row>
    <row r="116" spans="1:17" x14ac:dyDescent="0.2">
      <c r="A116" s="3">
        <v>115</v>
      </c>
      <c r="B116" s="3">
        <v>400330</v>
      </c>
      <c r="C116" s="3" t="str">
        <f>VLOOKUP(B116,[1]ورقة5!$B:$C,2,0)</f>
        <v>إعارة</v>
      </c>
      <c r="D116" s="3" t="s">
        <v>26</v>
      </c>
      <c r="E116" s="3" t="s">
        <v>27</v>
      </c>
      <c r="F116" s="3" t="s">
        <v>58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/>
      <c r="N116" s="3">
        <v>0</v>
      </c>
      <c r="O116" s="3">
        <v>2372.33</v>
      </c>
      <c r="P116" s="3">
        <v>0</v>
      </c>
      <c r="Q116" s="3">
        <f t="shared" si="1"/>
        <v>2372.33</v>
      </c>
    </row>
    <row r="117" spans="1:17" x14ac:dyDescent="0.2">
      <c r="A117" s="3">
        <v>116</v>
      </c>
      <c r="B117" s="3">
        <v>400331</v>
      </c>
      <c r="C117" s="3" t="str">
        <f>VLOOKUP(B117,[1]ورقة5!$B:$C,2,0)</f>
        <v>إعارة</v>
      </c>
      <c r="D117" s="3" t="s">
        <v>26</v>
      </c>
      <c r="E117" s="3" t="s">
        <v>27</v>
      </c>
      <c r="F117" s="3" t="s">
        <v>58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/>
      <c r="N117" s="3">
        <v>0</v>
      </c>
      <c r="O117" s="3">
        <v>2901.5</v>
      </c>
      <c r="P117" s="3">
        <v>0</v>
      </c>
      <c r="Q117" s="3">
        <f t="shared" si="1"/>
        <v>2901.5</v>
      </c>
    </row>
    <row r="118" spans="1:17" x14ac:dyDescent="0.2">
      <c r="A118" s="3">
        <v>117</v>
      </c>
      <c r="B118" s="3">
        <v>400332</v>
      </c>
      <c r="C118" s="3" t="str">
        <f>VLOOKUP(B118,[1]ورقة5!$B:$C,2,0)</f>
        <v>إعارة</v>
      </c>
      <c r="D118" s="3" t="s">
        <v>26</v>
      </c>
      <c r="E118" s="3" t="s">
        <v>27</v>
      </c>
      <c r="F118" s="3" t="s">
        <v>67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/>
      <c r="N118" s="3">
        <v>0</v>
      </c>
      <c r="O118" s="3">
        <v>0</v>
      </c>
      <c r="P118" s="3">
        <v>5435.96</v>
      </c>
      <c r="Q118" s="3">
        <f t="shared" si="1"/>
        <v>5435.96</v>
      </c>
    </row>
    <row r="119" spans="1:17" x14ac:dyDescent="0.2">
      <c r="A119" s="3">
        <v>118</v>
      </c>
      <c r="B119" s="3">
        <v>400333</v>
      </c>
      <c r="C119" s="3" t="str">
        <f>VLOOKUP(B119,[1]ورقة5!$B:$C,2,0)</f>
        <v>إعارة</v>
      </c>
      <c r="D119" s="3" t="s">
        <v>26</v>
      </c>
      <c r="E119" s="3" t="s">
        <v>27</v>
      </c>
      <c r="F119" s="3" t="s">
        <v>67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/>
      <c r="N119" s="3">
        <v>0</v>
      </c>
      <c r="O119" s="3">
        <v>0</v>
      </c>
      <c r="P119" s="3">
        <v>1889.01</v>
      </c>
      <c r="Q119" s="3">
        <f t="shared" si="1"/>
        <v>1889.01</v>
      </c>
    </row>
    <row r="120" spans="1:17" x14ac:dyDescent="0.2">
      <c r="A120" s="3">
        <v>119</v>
      </c>
      <c r="B120" s="3">
        <v>400334</v>
      </c>
      <c r="C120" s="3" t="str">
        <f>VLOOKUP(B120,[1]ورقة5!$B:$C,2,0)</f>
        <v>إعارة</v>
      </c>
      <c r="D120" s="3" t="s">
        <v>26</v>
      </c>
      <c r="E120" s="3" t="s">
        <v>27</v>
      </c>
      <c r="F120" s="3" t="s">
        <v>67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/>
      <c r="N120" s="3">
        <v>0</v>
      </c>
      <c r="O120" s="3">
        <v>1920.86</v>
      </c>
      <c r="P120" s="3">
        <v>0</v>
      </c>
      <c r="Q120" s="3">
        <f t="shared" si="1"/>
        <v>1920.86</v>
      </c>
    </row>
    <row r="121" spans="1:17" x14ac:dyDescent="0.2">
      <c r="A121" s="3">
        <v>120</v>
      </c>
      <c r="B121" s="3">
        <v>400335</v>
      </c>
      <c r="C121" s="3" t="str">
        <f>VLOOKUP(B121,[1]ورقة5!$B:$C,2,0)</f>
        <v>إعارة</v>
      </c>
      <c r="D121" s="3" t="s">
        <v>26</v>
      </c>
      <c r="E121" s="3" t="s">
        <v>27</v>
      </c>
      <c r="F121" s="3" t="s">
        <v>67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/>
      <c r="N121" s="3">
        <v>0</v>
      </c>
      <c r="O121" s="3">
        <v>0</v>
      </c>
      <c r="P121" s="3">
        <v>1964.3</v>
      </c>
      <c r="Q121" s="3">
        <f t="shared" si="1"/>
        <v>1964.3</v>
      </c>
    </row>
    <row r="122" spans="1:17" x14ac:dyDescent="0.2">
      <c r="A122" s="3">
        <v>121</v>
      </c>
      <c r="B122" s="3">
        <v>400336</v>
      </c>
      <c r="C122" s="3" t="str">
        <f>VLOOKUP(B122,[1]ورقة5!$B:$C,2,0)</f>
        <v>إعارة</v>
      </c>
      <c r="D122" s="3" t="s">
        <v>26</v>
      </c>
      <c r="E122" s="3" t="s">
        <v>27</v>
      </c>
      <c r="F122" s="3" t="s">
        <v>67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/>
      <c r="N122" s="3">
        <v>246.99</v>
      </c>
      <c r="O122" s="3">
        <v>1920.86</v>
      </c>
      <c r="P122" s="3">
        <v>0</v>
      </c>
      <c r="Q122" s="3">
        <f t="shared" si="1"/>
        <v>2167.85</v>
      </c>
    </row>
    <row r="123" spans="1:17" x14ac:dyDescent="0.2">
      <c r="A123" s="3">
        <v>122</v>
      </c>
      <c r="B123" s="3">
        <v>400338</v>
      </c>
      <c r="C123" s="3" t="str">
        <f>VLOOKUP(B123,[1]ورقة5!$B:$C,2,0)</f>
        <v>إعارة</v>
      </c>
      <c r="D123" s="3" t="s">
        <v>26</v>
      </c>
      <c r="E123" s="3" t="s">
        <v>27</v>
      </c>
      <c r="F123" s="3" t="s">
        <v>67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/>
      <c r="N123" s="3">
        <v>0</v>
      </c>
      <c r="O123" s="3">
        <v>0</v>
      </c>
      <c r="P123" s="3">
        <v>2998.45</v>
      </c>
      <c r="Q123" s="3">
        <f t="shared" si="1"/>
        <v>2998.45</v>
      </c>
    </row>
    <row r="124" spans="1:17" x14ac:dyDescent="0.2">
      <c r="A124" s="3">
        <v>123</v>
      </c>
      <c r="B124" s="3">
        <v>400339</v>
      </c>
      <c r="C124" s="3" t="str">
        <f>VLOOKUP(B124,[1]ورقة5!$B:$C,2,0)</f>
        <v>إعارة</v>
      </c>
      <c r="D124" s="3" t="s">
        <v>26</v>
      </c>
      <c r="E124" s="3" t="s">
        <v>27</v>
      </c>
      <c r="F124" s="3" t="s">
        <v>67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/>
      <c r="N124" s="3">
        <v>372.18</v>
      </c>
      <c r="O124" s="3">
        <v>2901.5</v>
      </c>
      <c r="P124" s="3">
        <v>0</v>
      </c>
      <c r="Q124" s="3">
        <f t="shared" si="1"/>
        <v>3273.68</v>
      </c>
    </row>
    <row r="125" spans="1:17" x14ac:dyDescent="0.2">
      <c r="A125" s="3">
        <v>124</v>
      </c>
      <c r="B125" s="3">
        <v>400340</v>
      </c>
      <c r="C125" s="3" t="str">
        <f>VLOOKUP(B125,[1]ورقة5!$B:$C,2,0)</f>
        <v>إعارة</v>
      </c>
      <c r="D125" s="3" t="s">
        <v>26</v>
      </c>
      <c r="E125" s="3" t="s">
        <v>27</v>
      </c>
      <c r="F125" s="3" t="s">
        <v>67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/>
      <c r="N125" s="3">
        <v>0</v>
      </c>
      <c r="O125" s="3">
        <v>2928.79</v>
      </c>
      <c r="P125" s="3">
        <v>0</v>
      </c>
      <c r="Q125" s="3">
        <f t="shared" si="1"/>
        <v>2928.79</v>
      </c>
    </row>
    <row r="126" spans="1:17" x14ac:dyDescent="0.2">
      <c r="A126" s="3">
        <v>125</v>
      </c>
      <c r="B126" s="3">
        <v>400343</v>
      </c>
      <c r="C126" s="3" t="str">
        <f>VLOOKUP(B126,[1]ورقة5!$B:$C,2,0)</f>
        <v>إعارة</v>
      </c>
      <c r="D126" s="3" t="s">
        <v>26</v>
      </c>
      <c r="E126" s="3" t="s">
        <v>27</v>
      </c>
      <c r="F126" s="3" t="s">
        <v>68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/>
      <c r="N126" s="3">
        <v>0</v>
      </c>
      <c r="O126" s="3">
        <v>4400.91</v>
      </c>
      <c r="P126" s="3">
        <v>2379.63</v>
      </c>
      <c r="Q126" s="3">
        <f t="shared" si="1"/>
        <v>6780.54</v>
      </c>
    </row>
    <row r="127" spans="1:17" x14ac:dyDescent="0.2">
      <c r="A127" s="3">
        <v>126</v>
      </c>
      <c r="B127" s="3">
        <v>400344</v>
      </c>
      <c r="C127" s="3" t="str">
        <f>VLOOKUP(B127,[1]ورقة5!$B:$C,2,0)</f>
        <v>إعارة</v>
      </c>
      <c r="D127" s="3" t="s">
        <v>26</v>
      </c>
      <c r="E127" s="3" t="s">
        <v>27</v>
      </c>
      <c r="F127" s="3" t="s">
        <v>68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/>
      <c r="N127" s="3">
        <v>754.06</v>
      </c>
      <c r="O127" s="3">
        <v>5881.84</v>
      </c>
      <c r="P127" s="3">
        <v>6003.19</v>
      </c>
      <c r="Q127" s="3">
        <f t="shared" si="1"/>
        <v>12639.09</v>
      </c>
    </row>
    <row r="128" spans="1:17" x14ac:dyDescent="0.2">
      <c r="A128" s="3">
        <v>127</v>
      </c>
      <c r="B128" s="3">
        <v>400345</v>
      </c>
      <c r="C128" s="3" t="str">
        <f>VLOOKUP(B128,[1]ورقة5!$B:$C,2,0)</f>
        <v>إعارة</v>
      </c>
      <c r="D128" s="3" t="s">
        <v>26</v>
      </c>
      <c r="E128" s="3" t="s">
        <v>27</v>
      </c>
      <c r="F128" s="3" t="s">
        <v>68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/>
      <c r="N128" s="3">
        <v>450.1</v>
      </c>
      <c r="O128" s="3">
        <v>0</v>
      </c>
      <c r="P128" s="3">
        <v>0</v>
      </c>
      <c r="Q128" s="3">
        <f t="shared" si="1"/>
        <v>450.1</v>
      </c>
    </row>
    <row r="129" spans="1:17" x14ac:dyDescent="0.2">
      <c r="A129" s="3">
        <v>128</v>
      </c>
      <c r="B129" s="3">
        <v>400346</v>
      </c>
      <c r="C129" s="3" t="str">
        <f>VLOOKUP(B129,[1]ورقة5!$B:$C,2,0)</f>
        <v>إعارة</v>
      </c>
      <c r="D129" s="3" t="s">
        <v>26</v>
      </c>
      <c r="E129" s="3" t="s">
        <v>27</v>
      </c>
      <c r="F129" s="3" t="s">
        <v>68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/>
      <c r="N129" s="3">
        <v>713.03</v>
      </c>
      <c r="O129" s="3">
        <v>5560.42</v>
      </c>
      <c r="P129" s="3">
        <v>5668.1</v>
      </c>
      <c r="Q129" s="3">
        <f t="shared" si="1"/>
        <v>11941.55</v>
      </c>
    </row>
    <row r="130" spans="1:17" x14ac:dyDescent="0.2">
      <c r="A130" s="3">
        <v>129</v>
      </c>
      <c r="B130" s="3">
        <v>400347</v>
      </c>
      <c r="C130" s="3" t="str">
        <f>VLOOKUP(B130,[1]ورقة5!$B:$C,2,0)</f>
        <v>إعارة</v>
      </c>
      <c r="D130" s="3" t="s">
        <v>26</v>
      </c>
      <c r="E130" s="3" t="s">
        <v>27</v>
      </c>
      <c r="F130" s="3" t="s">
        <v>68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/>
      <c r="N130" s="3">
        <v>0</v>
      </c>
      <c r="O130" s="3">
        <v>4258.3900000000003</v>
      </c>
      <c r="P130" s="3">
        <v>4362.6499999999996</v>
      </c>
      <c r="Q130" s="3">
        <f t="shared" si="1"/>
        <v>8621.0400000000009</v>
      </c>
    </row>
    <row r="131" spans="1:17" x14ac:dyDescent="0.2">
      <c r="A131" s="3">
        <v>130</v>
      </c>
      <c r="B131" s="3">
        <v>400348</v>
      </c>
      <c r="C131" s="3" t="str">
        <f>VLOOKUP(B131,[1]ورقة5!$B:$C,2,0)</f>
        <v>إعارة</v>
      </c>
      <c r="D131" s="3" t="s">
        <v>26</v>
      </c>
      <c r="E131" s="3" t="s">
        <v>27</v>
      </c>
      <c r="F131" s="3" t="s">
        <v>68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/>
      <c r="N131" s="3">
        <v>600.67999999999995</v>
      </c>
      <c r="O131" s="3">
        <v>1513.23</v>
      </c>
      <c r="P131" s="3">
        <v>4808.3900000000003</v>
      </c>
      <c r="Q131" s="3">
        <f t="shared" ref="Q131:Q194" si="2">SUM(G131:P131)</f>
        <v>6922.3</v>
      </c>
    </row>
    <row r="132" spans="1:17" x14ac:dyDescent="0.2">
      <c r="A132" s="3">
        <v>131</v>
      </c>
      <c r="B132" s="3">
        <v>400349</v>
      </c>
      <c r="C132" s="3" t="str">
        <f>VLOOKUP(B132,[1]ورقة5!$B:$C,2,0)</f>
        <v>إعارة</v>
      </c>
      <c r="D132" s="3" t="s">
        <v>26</v>
      </c>
      <c r="E132" s="3" t="s">
        <v>27</v>
      </c>
      <c r="F132" s="3" t="s">
        <v>68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/>
      <c r="N132" s="3">
        <v>0</v>
      </c>
      <c r="O132" s="3">
        <v>3598.88</v>
      </c>
      <c r="P132" s="3">
        <v>3675.07</v>
      </c>
      <c r="Q132" s="3">
        <f t="shared" si="2"/>
        <v>7273.9500000000007</v>
      </c>
    </row>
    <row r="133" spans="1:17" x14ac:dyDescent="0.2">
      <c r="A133" s="3">
        <v>132</v>
      </c>
      <c r="B133" s="3">
        <v>400350</v>
      </c>
      <c r="C133" s="3" t="str">
        <f>VLOOKUP(B133,[1]ورقة5!$B:$C,2,0)</f>
        <v>إعارة</v>
      </c>
      <c r="D133" s="3" t="s">
        <v>26</v>
      </c>
      <c r="E133" s="3" t="s">
        <v>27</v>
      </c>
      <c r="F133" s="3" t="s">
        <v>68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/>
      <c r="N133" s="3">
        <v>0</v>
      </c>
      <c r="O133" s="3">
        <v>4258.3900000000003</v>
      </c>
      <c r="P133" s="3">
        <v>4362.6499999999996</v>
      </c>
      <c r="Q133" s="3">
        <f t="shared" si="2"/>
        <v>8621.0400000000009</v>
      </c>
    </row>
    <row r="134" spans="1:17" x14ac:dyDescent="0.2">
      <c r="A134" s="3">
        <v>133</v>
      </c>
      <c r="B134" s="3">
        <v>400352</v>
      </c>
      <c r="C134" s="3" t="str">
        <f>VLOOKUP(B134,[1]ورقة5!$B:$C,2,0)</f>
        <v>إعارة</v>
      </c>
      <c r="D134" s="3" t="s">
        <v>26</v>
      </c>
      <c r="E134" s="3" t="s">
        <v>27</v>
      </c>
      <c r="F134" s="3" t="s">
        <v>68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/>
      <c r="N134" s="3">
        <v>0</v>
      </c>
      <c r="O134" s="3">
        <v>4400.91</v>
      </c>
      <c r="P134" s="3">
        <v>4487.8999999999996</v>
      </c>
      <c r="Q134" s="3">
        <f t="shared" si="2"/>
        <v>8888.81</v>
      </c>
    </row>
    <row r="135" spans="1:17" x14ac:dyDescent="0.2">
      <c r="A135" s="3">
        <v>134</v>
      </c>
      <c r="B135" s="3">
        <v>400353</v>
      </c>
      <c r="C135" s="3" t="str">
        <f>VLOOKUP(B135,[1]ورقة5!$B:$C,2,0)</f>
        <v>إعارة</v>
      </c>
      <c r="D135" s="3" t="s">
        <v>26</v>
      </c>
      <c r="E135" s="3" t="s">
        <v>27</v>
      </c>
      <c r="F135" s="3" t="s">
        <v>68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/>
      <c r="N135" s="3">
        <v>598.75</v>
      </c>
      <c r="O135" s="3">
        <v>4670.78</v>
      </c>
      <c r="P135" s="3">
        <v>4769.26</v>
      </c>
      <c r="Q135" s="3">
        <f t="shared" si="2"/>
        <v>10038.790000000001</v>
      </c>
    </row>
    <row r="136" spans="1:17" x14ac:dyDescent="0.2">
      <c r="A136" s="3">
        <v>135</v>
      </c>
      <c r="B136" s="3">
        <v>400354</v>
      </c>
      <c r="C136" s="3" t="str">
        <f>VLOOKUP(B136,[1]ورقة5!$B:$C,2,0)</f>
        <v>إعارة</v>
      </c>
      <c r="D136" s="3" t="s">
        <v>26</v>
      </c>
      <c r="E136" s="3" t="s">
        <v>27</v>
      </c>
      <c r="F136" s="3" t="s">
        <v>68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/>
      <c r="N136" s="3">
        <v>461.91</v>
      </c>
      <c r="O136" s="3">
        <v>3598.88</v>
      </c>
      <c r="P136" s="3">
        <v>3651.74</v>
      </c>
      <c r="Q136" s="3">
        <f t="shared" si="2"/>
        <v>7712.53</v>
      </c>
    </row>
    <row r="137" spans="1:17" x14ac:dyDescent="0.2">
      <c r="A137" s="3">
        <v>136</v>
      </c>
      <c r="B137" s="3">
        <v>400355</v>
      </c>
      <c r="C137" s="3" t="str">
        <f>VLOOKUP(B137,[1]ورقة5!$B:$C,2,0)</f>
        <v>إعارة</v>
      </c>
      <c r="D137" s="3" t="s">
        <v>26</v>
      </c>
      <c r="E137" s="3" t="s">
        <v>27</v>
      </c>
      <c r="F137" s="3" t="s">
        <v>68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/>
      <c r="N137" s="3">
        <v>0</v>
      </c>
      <c r="O137" s="3">
        <v>3617.07</v>
      </c>
      <c r="P137" s="3">
        <v>3694.04</v>
      </c>
      <c r="Q137" s="3">
        <f t="shared" si="2"/>
        <v>7311.1100000000006</v>
      </c>
    </row>
    <row r="138" spans="1:17" x14ac:dyDescent="0.2">
      <c r="A138" s="3">
        <v>137</v>
      </c>
      <c r="B138" s="3">
        <v>400356</v>
      </c>
      <c r="C138" s="3" t="str">
        <f>VLOOKUP(B138,[1]ورقة5!$B:$C,2,0)</f>
        <v>إعارة</v>
      </c>
      <c r="D138" s="3" t="s">
        <v>26</v>
      </c>
      <c r="E138" s="3" t="s">
        <v>27</v>
      </c>
      <c r="F138" s="3" t="s">
        <v>68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/>
      <c r="N138" s="3">
        <v>379.46</v>
      </c>
      <c r="O138" s="3">
        <v>2953.01</v>
      </c>
      <c r="P138" s="3">
        <v>0</v>
      </c>
      <c r="Q138" s="3">
        <f t="shared" si="2"/>
        <v>3332.4700000000003</v>
      </c>
    </row>
    <row r="139" spans="1:17" x14ac:dyDescent="0.2">
      <c r="A139" s="3">
        <v>138</v>
      </c>
      <c r="B139" s="3">
        <v>400357</v>
      </c>
      <c r="C139" s="3" t="str">
        <f>VLOOKUP(B139,[1]ورقة5!$B:$C,2,0)</f>
        <v>إعارة</v>
      </c>
      <c r="D139" s="3" t="s">
        <v>26</v>
      </c>
      <c r="E139" s="3" t="s">
        <v>27</v>
      </c>
      <c r="F139" s="3" t="s">
        <v>68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/>
      <c r="N139" s="3">
        <v>546.1</v>
      </c>
      <c r="O139" s="3">
        <v>4258.3900000000003</v>
      </c>
      <c r="P139" s="3">
        <v>4339.32</v>
      </c>
      <c r="Q139" s="3">
        <f t="shared" si="2"/>
        <v>9143.8100000000013</v>
      </c>
    </row>
    <row r="140" spans="1:17" x14ac:dyDescent="0.2">
      <c r="A140" s="3">
        <v>139</v>
      </c>
      <c r="B140" s="3">
        <v>400358</v>
      </c>
      <c r="C140" s="3" t="str">
        <f>VLOOKUP(B140,[1]ورقة5!$B:$C,2,0)</f>
        <v>إعارة</v>
      </c>
      <c r="D140" s="3" t="s">
        <v>26</v>
      </c>
      <c r="E140" s="3" t="s">
        <v>27</v>
      </c>
      <c r="F140" s="3" t="s">
        <v>68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/>
      <c r="N140" s="3">
        <v>546.1</v>
      </c>
      <c r="O140" s="3">
        <v>0</v>
      </c>
      <c r="P140" s="3">
        <v>4339.32</v>
      </c>
      <c r="Q140" s="3">
        <f t="shared" si="2"/>
        <v>4885.42</v>
      </c>
    </row>
    <row r="141" spans="1:17" x14ac:dyDescent="0.2">
      <c r="A141" s="3">
        <v>140</v>
      </c>
      <c r="B141" s="3">
        <v>400359</v>
      </c>
      <c r="C141" s="3" t="str">
        <f>VLOOKUP(B141,[1]ورقة5!$B:$C,2,0)</f>
        <v>إعارة</v>
      </c>
      <c r="D141" s="3" t="s">
        <v>26</v>
      </c>
      <c r="E141" s="3" t="s">
        <v>27</v>
      </c>
      <c r="F141" s="3" t="s">
        <v>68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/>
      <c r="N141" s="3">
        <v>0</v>
      </c>
      <c r="O141" s="3">
        <v>0</v>
      </c>
      <c r="P141" s="3">
        <v>1589.09</v>
      </c>
      <c r="Q141" s="3">
        <f t="shared" si="2"/>
        <v>1589.09</v>
      </c>
    </row>
    <row r="142" spans="1:17" x14ac:dyDescent="0.2">
      <c r="A142" s="3">
        <v>141</v>
      </c>
      <c r="B142" s="3">
        <v>400361</v>
      </c>
      <c r="C142" s="3" t="str">
        <f>VLOOKUP(B142,[1]ورقة5!$B:$C,2,0)</f>
        <v>إعارة</v>
      </c>
      <c r="D142" s="3" t="s">
        <v>26</v>
      </c>
      <c r="E142" s="3" t="s">
        <v>27</v>
      </c>
      <c r="F142" s="3" t="s">
        <v>68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/>
      <c r="N142" s="3">
        <v>204.99</v>
      </c>
      <c r="O142" s="3">
        <v>5144.7</v>
      </c>
      <c r="P142" s="3">
        <v>0</v>
      </c>
      <c r="Q142" s="3">
        <f t="shared" si="2"/>
        <v>5349.69</v>
      </c>
    </row>
    <row r="143" spans="1:17" x14ac:dyDescent="0.2">
      <c r="A143" s="3">
        <v>142</v>
      </c>
      <c r="B143" s="3">
        <v>400362</v>
      </c>
      <c r="C143" s="3" t="str">
        <f>VLOOKUP(B143,[1]ورقة5!$B:$C,2,0)</f>
        <v>إعارة</v>
      </c>
      <c r="D143" s="3" t="s">
        <v>26</v>
      </c>
      <c r="E143" s="3" t="s">
        <v>27</v>
      </c>
      <c r="F143" s="3" t="s">
        <v>56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/>
      <c r="N143" s="3">
        <v>546.1</v>
      </c>
      <c r="O143" s="3">
        <v>4258.3900000000003</v>
      </c>
      <c r="P143" s="3">
        <v>4432.6499999999996</v>
      </c>
      <c r="Q143" s="3">
        <f t="shared" si="2"/>
        <v>9237.14</v>
      </c>
    </row>
    <row r="144" spans="1:17" x14ac:dyDescent="0.2">
      <c r="A144" s="3">
        <v>143</v>
      </c>
      <c r="B144" s="3">
        <v>400363</v>
      </c>
      <c r="C144" s="3" t="str">
        <f>VLOOKUP(B144,[1]ورقة5!$B:$C,2,0)</f>
        <v>إعارة</v>
      </c>
      <c r="D144" s="3" t="s">
        <v>26</v>
      </c>
      <c r="E144" s="3" t="s">
        <v>27</v>
      </c>
      <c r="F144" s="3" t="s">
        <v>56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/>
      <c r="N144" s="3">
        <v>692.52</v>
      </c>
      <c r="O144" s="3">
        <v>5399.71</v>
      </c>
      <c r="P144" s="3">
        <v>5620.55</v>
      </c>
      <c r="Q144" s="3">
        <f t="shared" si="2"/>
        <v>11712.779999999999</v>
      </c>
    </row>
    <row r="145" spans="1:17" x14ac:dyDescent="0.2">
      <c r="A145" s="3">
        <v>144</v>
      </c>
      <c r="B145" s="3">
        <v>400364</v>
      </c>
      <c r="C145" s="3" t="str">
        <f>VLOOKUP(B145,[1]ورقة5!$B:$C,2,0)</f>
        <v>إعارة</v>
      </c>
      <c r="D145" s="3" t="s">
        <v>26</v>
      </c>
      <c r="E145" s="3" t="s">
        <v>27</v>
      </c>
      <c r="F145" s="3" t="s">
        <v>56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/>
      <c r="N145" s="3">
        <v>196.19</v>
      </c>
      <c r="O145" s="3">
        <v>1525.77</v>
      </c>
      <c r="P145" s="3">
        <v>1586.72</v>
      </c>
      <c r="Q145" s="3">
        <f t="shared" si="2"/>
        <v>3308.6800000000003</v>
      </c>
    </row>
    <row r="146" spans="1:17" x14ac:dyDescent="0.2">
      <c r="A146" s="3">
        <v>145</v>
      </c>
      <c r="B146" s="3">
        <v>400365</v>
      </c>
      <c r="C146" s="3" t="str">
        <f>VLOOKUP(B146,[1]ورقة5!$B:$C,2,0)</f>
        <v>إعارة</v>
      </c>
      <c r="D146" s="3" t="s">
        <v>26</v>
      </c>
      <c r="E146" s="3" t="s">
        <v>27</v>
      </c>
      <c r="F146" s="3" t="s">
        <v>55</v>
      </c>
      <c r="G146" s="3">
        <v>2778.62</v>
      </c>
      <c r="H146" s="3">
        <v>2870.75</v>
      </c>
      <c r="I146" s="3">
        <v>3348.73</v>
      </c>
      <c r="J146" s="3">
        <v>1855.48</v>
      </c>
      <c r="K146" s="3">
        <v>2870.75</v>
      </c>
      <c r="L146" s="3">
        <v>740.99</v>
      </c>
      <c r="M146" s="3"/>
      <c r="N146" s="3">
        <v>618.49</v>
      </c>
      <c r="O146" s="3">
        <v>2194.4</v>
      </c>
      <c r="P146" s="3">
        <v>5023.8100000000004</v>
      </c>
      <c r="Q146" s="3">
        <f t="shared" si="2"/>
        <v>22302.02</v>
      </c>
    </row>
    <row r="147" spans="1:17" x14ac:dyDescent="0.2">
      <c r="A147" s="3">
        <v>146</v>
      </c>
      <c r="B147" s="3">
        <v>400367</v>
      </c>
      <c r="C147" s="3" t="str">
        <f>VLOOKUP(B147,[1]ورقة5!$B:$C,2,0)</f>
        <v>إعارة</v>
      </c>
      <c r="D147" s="3" t="s">
        <v>26</v>
      </c>
      <c r="E147" s="3" t="s">
        <v>27</v>
      </c>
      <c r="F147" s="3" t="s">
        <v>54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/>
      <c r="N147" s="3">
        <v>754.06</v>
      </c>
      <c r="O147" s="3">
        <v>5881.84</v>
      </c>
      <c r="P147" s="3">
        <v>14870.61</v>
      </c>
      <c r="Q147" s="3">
        <f t="shared" si="2"/>
        <v>21506.510000000002</v>
      </c>
    </row>
    <row r="148" spans="1:17" x14ac:dyDescent="0.2">
      <c r="A148" s="3">
        <v>147</v>
      </c>
      <c r="B148" s="3">
        <v>400368</v>
      </c>
      <c r="C148" s="3" t="str">
        <f>VLOOKUP(B148,[1]ورقة5!$B:$C,2,0)</f>
        <v>إعارة</v>
      </c>
      <c r="D148" s="3" t="s">
        <v>26</v>
      </c>
      <c r="E148" s="3" t="s">
        <v>27</v>
      </c>
      <c r="F148" s="3" t="s">
        <v>54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/>
      <c r="N148" s="3">
        <v>558.29999999999995</v>
      </c>
      <c r="O148" s="3">
        <v>4353.91</v>
      </c>
      <c r="P148" s="3">
        <v>9711.93</v>
      </c>
      <c r="Q148" s="3">
        <f t="shared" si="2"/>
        <v>14624.14</v>
      </c>
    </row>
    <row r="149" spans="1:17" x14ac:dyDescent="0.2">
      <c r="A149" s="3">
        <v>148</v>
      </c>
      <c r="B149" s="3">
        <v>400369</v>
      </c>
      <c r="C149" s="3" t="str">
        <f>VLOOKUP(B149,[1]ورقة5!$B:$C,2,0)</f>
        <v>إعارة</v>
      </c>
      <c r="D149" s="3" t="s">
        <v>26</v>
      </c>
      <c r="E149" s="3" t="s">
        <v>27</v>
      </c>
      <c r="F149" s="3" t="s">
        <v>54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/>
      <c r="N149" s="3">
        <v>461.91</v>
      </c>
      <c r="O149" s="3">
        <v>3598.88</v>
      </c>
      <c r="P149" s="3">
        <v>9095.17</v>
      </c>
      <c r="Q149" s="3">
        <f t="shared" si="2"/>
        <v>13155.96</v>
      </c>
    </row>
    <row r="150" spans="1:17" x14ac:dyDescent="0.2">
      <c r="A150" s="3">
        <v>149</v>
      </c>
      <c r="B150" s="3">
        <v>400370</v>
      </c>
      <c r="C150" s="3" t="str">
        <f>VLOOKUP(B150,[1]ورقة5!$B:$C,2,0)</f>
        <v>إعارة</v>
      </c>
      <c r="D150" s="3" t="s">
        <v>26</v>
      </c>
      <c r="E150" s="3" t="s">
        <v>27</v>
      </c>
      <c r="F150" s="3" t="s">
        <v>53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/>
      <c r="N150" s="3">
        <v>0</v>
      </c>
      <c r="O150" s="3">
        <v>0</v>
      </c>
      <c r="P150" s="3">
        <v>2768.13</v>
      </c>
      <c r="Q150" s="3">
        <f t="shared" si="2"/>
        <v>2768.13</v>
      </c>
    </row>
    <row r="151" spans="1:17" x14ac:dyDescent="0.2">
      <c r="A151" s="3">
        <v>150</v>
      </c>
      <c r="B151" s="3">
        <v>400371</v>
      </c>
      <c r="C151" s="3" t="str">
        <f>VLOOKUP(B151,[1]ورقة5!$B:$C,2,0)</f>
        <v>إعارة</v>
      </c>
      <c r="D151" s="3" t="s">
        <v>26</v>
      </c>
      <c r="E151" s="3" t="s">
        <v>27</v>
      </c>
      <c r="F151" s="3" t="s">
        <v>54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/>
      <c r="N151" s="3">
        <v>346.52</v>
      </c>
      <c r="O151" s="3">
        <v>2700.46</v>
      </c>
      <c r="P151" s="3">
        <v>4014.86</v>
      </c>
      <c r="Q151" s="3">
        <f t="shared" si="2"/>
        <v>7061.84</v>
      </c>
    </row>
    <row r="152" spans="1:17" x14ac:dyDescent="0.2">
      <c r="A152" s="3">
        <v>151</v>
      </c>
      <c r="B152" s="3">
        <v>400372</v>
      </c>
      <c r="C152" s="3" t="str">
        <f>VLOOKUP(B152,[1]ورقة5!$B:$C,2,0)</f>
        <v>إعارة</v>
      </c>
      <c r="D152" s="3" t="s">
        <v>26</v>
      </c>
      <c r="E152" s="3" t="s">
        <v>27</v>
      </c>
      <c r="F152" s="3" t="s">
        <v>53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/>
      <c r="N152" s="3">
        <v>407.72</v>
      </c>
      <c r="O152" s="3">
        <v>3174.36</v>
      </c>
      <c r="P152" s="3">
        <v>3302.49</v>
      </c>
      <c r="Q152" s="3">
        <f t="shared" si="2"/>
        <v>6884.57</v>
      </c>
    </row>
    <row r="153" spans="1:17" x14ac:dyDescent="0.2">
      <c r="A153" s="3">
        <v>152</v>
      </c>
      <c r="B153" s="3">
        <v>400373</v>
      </c>
      <c r="C153" s="3" t="str">
        <f>VLOOKUP(B153,[1]ورقة5!$B:$C,2,0)</f>
        <v>إعارة</v>
      </c>
      <c r="D153" s="3" t="s">
        <v>26</v>
      </c>
      <c r="E153" s="3" t="s">
        <v>27</v>
      </c>
      <c r="F153" s="3" t="s">
        <v>53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/>
      <c r="N153" s="3">
        <v>429.78</v>
      </c>
      <c r="O153" s="3">
        <v>3347.2</v>
      </c>
      <c r="P153" s="3">
        <v>3482.68</v>
      </c>
      <c r="Q153" s="3">
        <f t="shared" si="2"/>
        <v>7259.66</v>
      </c>
    </row>
    <row r="154" spans="1:17" x14ac:dyDescent="0.2">
      <c r="A154" s="3">
        <v>153</v>
      </c>
      <c r="B154" s="3">
        <v>400374</v>
      </c>
      <c r="C154" s="3" t="str">
        <f>VLOOKUP(B154,[1]ورقة5!$B:$C,2,0)</f>
        <v>إعارة</v>
      </c>
      <c r="D154" s="3" t="s">
        <v>26</v>
      </c>
      <c r="E154" s="3" t="s">
        <v>27</v>
      </c>
      <c r="F154" s="3" t="s">
        <v>48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/>
      <c r="N154" s="3">
        <v>0</v>
      </c>
      <c r="O154" s="3">
        <v>1868.41</v>
      </c>
      <c r="P154" s="3">
        <v>1876.28</v>
      </c>
      <c r="Q154" s="3">
        <f t="shared" si="2"/>
        <v>3744.69</v>
      </c>
    </row>
    <row r="155" spans="1:17" x14ac:dyDescent="0.2">
      <c r="A155" s="3">
        <v>154</v>
      </c>
      <c r="B155" s="3">
        <v>400375</v>
      </c>
      <c r="C155" s="3" t="str">
        <f>VLOOKUP(B155,[1]ورقة5!$B:$C,2,0)</f>
        <v>إعارة</v>
      </c>
      <c r="D155" s="3" t="s">
        <v>26</v>
      </c>
      <c r="E155" s="3" t="s">
        <v>27</v>
      </c>
      <c r="F155" s="3" t="s">
        <v>69</v>
      </c>
      <c r="G155" s="3">
        <v>4858.8999999999996</v>
      </c>
      <c r="H155" s="3">
        <v>5248.45</v>
      </c>
      <c r="I155" s="3">
        <v>3028.33</v>
      </c>
      <c r="J155" s="3">
        <v>1508.13</v>
      </c>
      <c r="K155" s="3">
        <v>3498.97</v>
      </c>
      <c r="L155" s="3">
        <v>1749.52</v>
      </c>
      <c r="M155" s="3"/>
      <c r="N155" s="3">
        <v>0</v>
      </c>
      <c r="O155" s="3">
        <v>5881.84</v>
      </c>
      <c r="P155" s="3">
        <v>0</v>
      </c>
      <c r="Q155" s="3">
        <f t="shared" si="2"/>
        <v>25774.14</v>
      </c>
    </row>
    <row r="156" spans="1:17" x14ac:dyDescent="0.2">
      <c r="A156" s="3">
        <v>155</v>
      </c>
      <c r="B156" s="3">
        <v>400376</v>
      </c>
      <c r="C156" s="3" t="str">
        <f>VLOOKUP(B156,[1]ورقة5!$B:$C,2,0)</f>
        <v>إعارة</v>
      </c>
      <c r="D156" s="3" t="s">
        <v>26</v>
      </c>
      <c r="E156" s="3" t="s">
        <v>27</v>
      </c>
      <c r="F156" s="3" t="s">
        <v>69</v>
      </c>
      <c r="G156" s="3">
        <v>1492.58</v>
      </c>
      <c r="H156" s="3">
        <v>4130.1499999999996</v>
      </c>
      <c r="I156" s="3">
        <v>2065.0700000000002</v>
      </c>
      <c r="J156" s="3">
        <v>1783.39</v>
      </c>
      <c r="K156" s="3">
        <v>2065.0700000000002</v>
      </c>
      <c r="L156" s="3">
        <v>0</v>
      </c>
      <c r="M156" s="3"/>
      <c r="N156" s="3">
        <v>445.85</v>
      </c>
      <c r="O156" s="3">
        <v>0</v>
      </c>
      <c r="P156" s="3">
        <v>3315.91</v>
      </c>
      <c r="Q156" s="3">
        <f t="shared" si="2"/>
        <v>15298.019999999999</v>
      </c>
    </row>
    <row r="157" spans="1:17" x14ac:dyDescent="0.2">
      <c r="A157" s="3">
        <v>156</v>
      </c>
      <c r="B157" s="3">
        <v>400378</v>
      </c>
      <c r="C157" s="3" t="str">
        <f>VLOOKUP(B157,[1]ورقة5!$B:$C,2,0)</f>
        <v>إعارة</v>
      </c>
      <c r="D157" s="3" t="s">
        <v>26</v>
      </c>
      <c r="E157" s="3" t="s">
        <v>27</v>
      </c>
      <c r="F157" s="3" t="s">
        <v>70</v>
      </c>
      <c r="G157" s="3">
        <v>0</v>
      </c>
      <c r="H157" s="3">
        <v>2364.94</v>
      </c>
      <c r="I157" s="3">
        <v>1182.48</v>
      </c>
      <c r="J157" s="3">
        <v>0</v>
      </c>
      <c r="K157" s="3">
        <v>0</v>
      </c>
      <c r="L157" s="3">
        <v>0</v>
      </c>
      <c r="M157" s="3"/>
      <c r="N157" s="3">
        <v>0</v>
      </c>
      <c r="O157" s="3">
        <v>3976.39</v>
      </c>
      <c r="P157" s="3">
        <v>4068.65</v>
      </c>
      <c r="Q157" s="3">
        <f t="shared" si="2"/>
        <v>11592.46</v>
      </c>
    </row>
    <row r="158" spans="1:17" x14ac:dyDescent="0.2">
      <c r="A158" s="3">
        <v>157</v>
      </c>
      <c r="B158" s="3">
        <v>400379</v>
      </c>
      <c r="C158" s="3" t="str">
        <f>VLOOKUP(B158,[1]ورقة5!$B:$C,2,0)</f>
        <v>إعارة</v>
      </c>
      <c r="D158" s="3" t="s">
        <v>26</v>
      </c>
      <c r="E158" s="3" t="s">
        <v>27</v>
      </c>
      <c r="F158" s="3" t="s">
        <v>70</v>
      </c>
      <c r="G158" s="3">
        <v>2888.17</v>
      </c>
      <c r="H158" s="3">
        <v>2237.94</v>
      </c>
      <c r="I158" s="3">
        <v>1864.94</v>
      </c>
      <c r="J158" s="3">
        <v>0</v>
      </c>
      <c r="K158" s="3">
        <v>2983.91</v>
      </c>
      <c r="L158" s="3">
        <v>194.82</v>
      </c>
      <c r="M158" s="3"/>
      <c r="N158" s="3">
        <v>322.08999999999997</v>
      </c>
      <c r="O158" s="3">
        <v>0</v>
      </c>
      <c r="P158" s="3">
        <v>0</v>
      </c>
      <c r="Q158" s="3">
        <f t="shared" si="2"/>
        <v>10491.87</v>
      </c>
    </row>
    <row r="159" spans="1:17" x14ac:dyDescent="0.2">
      <c r="A159" s="3">
        <v>158</v>
      </c>
      <c r="B159" s="3">
        <v>400380</v>
      </c>
      <c r="C159" s="3" t="str">
        <f>VLOOKUP(B159,[1]ورقة5!$B:$C,2,0)</f>
        <v>إعارة</v>
      </c>
      <c r="D159" s="3" t="s">
        <v>26</v>
      </c>
      <c r="E159" s="3" t="s">
        <v>27</v>
      </c>
      <c r="F159" s="3" t="s">
        <v>66</v>
      </c>
      <c r="G159" s="3">
        <v>5248.45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/>
      <c r="N159" s="3">
        <v>0</v>
      </c>
      <c r="O159" s="3">
        <v>0</v>
      </c>
      <c r="P159" s="3">
        <v>0</v>
      </c>
      <c r="Q159" s="3">
        <f t="shared" si="2"/>
        <v>5248.45</v>
      </c>
    </row>
    <row r="160" spans="1:17" x14ac:dyDescent="0.2">
      <c r="A160" s="3">
        <v>159</v>
      </c>
      <c r="B160" s="3">
        <v>400381</v>
      </c>
      <c r="C160" s="3" t="str">
        <f>VLOOKUP(B160,[1]ورقة5!$B:$C,2,0)</f>
        <v>إعارة</v>
      </c>
      <c r="D160" s="3" t="s">
        <v>26</v>
      </c>
      <c r="E160" s="3" t="s">
        <v>27</v>
      </c>
      <c r="F160" s="3" t="s">
        <v>65</v>
      </c>
      <c r="G160" s="3">
        <v>3419.63</v>
      </c>
      <c r="H160" s="3">
        <v>896</v>
      </c>
      <c r="I160" s="3">
        <v>2688.01</v>
      </c>
      <c r="J160" s="3">
        <v>1545.53</v>
      </c>
      <c r="K160" s="3">
        <v>1792.01</v>
      </c>
      <c r="L160" s="3">
        <v>0</v>
      </c>
      <c r="M160" s="3"/>
      <c r="N160" s="3">
        <v>386.39</v>
      </c>
      <c r="O160" s="3">
        <v>0</v>
      </c>
      <c r="P160" s="3">
        <v>0</v>
      </c>
      <c r="Q160" s="3">
        <f t="shared" si="2"/>
        <v>10727.57</v>
      </c>
    </row>
    <row r="161" spans="1:17" x14ac:dyDescent="0.2">
      <c r="A161" s="3">
        <v>160</v>
      </c>
      <c r="B161" s="3">
        <v>400382</v>
      </c>
      <c r="C161" s="3" t="str">
        <f>VLOOKUP(B161,[1]ورقة5!$B:$C,2,0)</f>
        <v>إعارة</v>
      </c>
      <c r="D161" s="3" t="s">
        <v>26</v>
      </c>
      <c r="E161" s="3" t="s">
        <v>27</v>
      </c>
      <c r="F161" s="3" t="s">
        <v>64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/>
      <c r="N161" s="3">
        <v>579.01</v>
      </c>
      <c r="O161" s="3">
        <v>4516.1400000000003</v>
      </c>
      <c r="P161" s="3">
        <v>11417.59</v>
      </c>
      <c r="Q161" s="3">
        <f t="shared" si="2"/>
        <v>16512.740000000002</v>
      </c>
    </row>
    <row r="162" spans="1:17" x14ac:dyDescent="0.2">
      <c r="A162" s="3">
        <v>161</v>
      </c>
      <c r="B162" s="3">
        <v>400383</v>
      </c>
      <c r="C162" s="3" t="str">
        <f>VLOOKUP(B162,[1]ورقة5!$B:$C,2,0)</f>
        <v>إعارة</v>
      </c>
      <c r="D162" s="3" t="s">
        <v>26</v>
      </c>
      <c r="E162" s="3" t="s">
        <v>27</v>
      </c>
      <c r="F162" s="3" t="s">
        <v>64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/>
      <c r="N162" s="3">
        <v>618.49</v>
      </c>
      <c r="O162" s="3">
        <v>4825.43</v>
      </c>
      <c r="P162" s="3">
        <v>12130.69</v>
      </c>
      <c r="Q162" s="3">
        <f t="shared" si="2"/>
        <v>17574.61</v>
      </c>
    </row>
    <row r="163" spans="1:17" x14ac:dyDescent="0.2">
      <c r="A163" s="3">
        <v>162</v>
      </c>
      <c r="B163" s="3">
        <v>400384</v>
      </c>
      <c r="C163" s="3" t="str">
        <f>VLOOKUP(B163,[1]ورقة5!$B:$C,2,0)</f>
        <v>إعارة</v>
      </c>
      <c r="D163" s="3" t="s">
        <v>26</v>
      </c>
      <c r="E163" s="3" t="s">
        <v>27</v>
      </c>
      <c r="F163" s="3" t="s">
        <v>64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/>
      <c r="N163" s="3">
        <v>600.67999999999995</v>
      </c>
      <c r="O163" s="3">
        <v>4685.9399999999996</v>
      </c>
      <c r="P163" s="3">
        <v>11847.53</v>
      </c>
      <c r="Q163" s="3">
        <f t="shared" si="2"/>
        <v>17134.150000000001</v>
      </c>
    </row>
    <row r="164" spans="1:17" x14ac:dyDescent="0.2">
      <c r="A164" s="3">
        <v>163</v>
      </c>
      <c r="B164" s="3">
        <v>400385</v>
      </c>
      <c r="C164" s="3" t="str">
        <f>VLOOKUP(B164,[1]ورقة5!$B:$C,2,0)</f>
        <v>إعارة</v>
      </c>
      <c r="D164" s="3" t="s">
        <v>26</v>
      </c>
      <c r="E164" s="3" t="s">
        <v>27</v>
      </c>
      <c r="F164" s="3" t="s">
        <v>64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/>
      <c r="N164" s="3">
        <v>546.1</v>
      </c>
      <c r="O164" s="3">
        <v>0</v>
      </c>
      <c r="P164" s="3">
        <v>10765.01</v>
      </c>
      <c r="Q164" s="3">
        <f t="shared" si="2"/>
        <v>11311.11</v>
      </c>
    </row>
    <row r="165" spans="1:17" x14ac:dyDescent="0.2">
      <c r="A165" s="3">
        <v>164</v>
      </c>
      <c r="B165" s="3">
        <v>400386</v>
      </c>
      <c r="C165" s="3" t="str">
        <f>VLOOKUP(B165,[1]ورقة5!$B:$C,2,0)</f>
        <v>إعارة</v>
      </c>
      <c r="D165" s="3" t="s">
        <v>26</v>
      </c>
      <c r="E165" s="3" t="s">
        <v>27</v>
      </c>
      <c r="F165" s="3" t="s">
        <v>64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/>
      <c r="N165" s="3">
        <v>579.01</v>
      </c>
      <c r="O165" s="3">
        <v>4516.1400000000003</v>
      </c>
      <c r="P165" s="3">
        <v>10074.35</v>
      </c>
      <c r="Q165" s="3">
        <f t="shared" si="2"/>
        <v>15169.5</v>
      </c>
    </row>
    <row r="166" spans="1:17" x14ac:dyDescent="0.2">
      <c r="A166" s="3">
        <v>165</v>
      </c>
      <c r="B166" s="3">
        <v>400387</v>
      </c>
      <c r="C166" s="3" t="str">
        <f>VLOOKUP(B166,[1]ورقة5!$B:$C,2,0)</f>
        <v>إعارة</v>
      </c>
      <c r="D166" s="3" t="s">
        <v>26</v>
      </c>
      <c r="E166" s="3" t="s">
        <v>27</v>
      </c>
      <c r="F166" s="3" t="s">
        <v>64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/>
      <c r="N166" s="3">
        <v>546.1</v>
      </c>
      <c r="O166" s="3">
        <v>4258.3900000000003</v>
      </c>
      <c r="P166" s="3">
        <v>10765.01</v>
      </c>
      <c r="Q166" s="3">
        <f t="shared" si="2"/>
        <v>15569.5</v>
      </c>
    </row>
    <row r="167" spans="1:17" x14ac:dyDescent="0.2">
      <c r="A167" s="3">
        <v>166</v>
      </c>
      <c r="B167" s="3">
        <v>400388</v>
      </c>
      <c r="C167" s="3" t="str">
        <f>VLOOKUP(B167,[1]ورقة5!$B:$C,2,0)</f>
        <v>إعارة</v>
      </c>
      <c r="D167" s="3" t="s">
        <v>26</v>
      </c>
      <c r="E167" s="3" t="s">
        <v>27</v>
      </c>
      <c r="F167" s="3" t="s">
        <v>64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/>
      <c r="N167" s="3">
        <v>0</v>
      </c>
      <c r="O167" s="3">
        <v>0</v>
      </c>
      <c r="P167" s="3">
        <v>10765.01</v>
      </c>
      <c r="Q167" s="3">
        <f t="shared" si="2"/>
        <v>10765.01</v>
      </c>
    </row>
    <row r="168" spans="1:17" x14ac:dyDescent="0.2">
      <c r="A168" s="3">
        <v>167</v>
      </c>
      <c r="B168" s="3">
        <v>400389</v>
      </c>
      <c r="C168" s="3" t="str">
        <f>VLOOKUP(B168,[1]ورقة5!$B:$C,2,0)</f>
        <v>إعارة</v>
      </c>
      <c r="D168" s="3" t="s">
        <v>26</v>
      </c>
      <c r="E168" s="3" t="s">
        <v>27</v>
      </c>
      <c r="F168" s="3" t="s">
        <v>64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/>
      <c r="N168" s="3">
        <v>375.82</v>
      </c>
      <c r="O168" s="3">
        <v>2930</v>
      </c>
      <c r="P168" s="3">
        <v>4356.7299999999996</v>
      </c>
      <c r="Q168" s="3">
        <f t="shared" si="2"/>
        <v>7662.5499999999993</v>
      </c>
    </row>
    <row r="169" spans="1:17" x14ac:dyDescent="0.2">
      <c r="A169" s="3">
        <v>168</v>
      </c>
      <c r="B169" s="3">
        <v>400390</v>
      </c>
      <c r="C169" s="3" t="str">
        <f>VLOOKUP(B169,[1]ورقة5!$B:$C,2,0)</f>
        <v>إعارة</v>
      </c>
      <c r="D169" s="3" t="s">
        <v>26</v>
      </c>
      <c r="E169" s="3" t="s">
        <v>27</v>
      </c>
      <c r="F169" s="3" t="s">
        <v>64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/>
      <c r="N169" s="3">
        <v>491.52</v>
      </c>
      <c r="O169" s="3">
        <v>3830.85</v>
      </c>
      <c r="P169" s="3">
        <v>9682.5</v>
      </c>
      <c r="Q169" s="3">
        <f t="shared" si="2"/>
        <v>14004.869999999999</v>
      </c>
    </row>
    <row r="170" spans="1:17" x14ac:dyDescent="0.2">
      <c r="A170" s="3">
        <v>169</v>
      </c>
      <c r="B170" s="3">
        <v>400391</v>
      </c>
      <c r="C170" s="3" t="str">
        <f>VLOOKUP(B170,[1]ورقة5!$B:$C,2,0)</f>
        <v>إعارة</v>
      </c>
      <c r="D170" s="3" t="s">
        <v>26</v>
      </c>
      <c r="E170" s="3" t="s">
        <v>27</v>
      </c>
      <c r="F170" s="3" t="s">
        <v>64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/>
      <c r="N170" s="3">
        <v>491.52</v>
      </c>
      <c r="O170" s="3">
        <v>3830.85</v>
      </c>
      <c r="P170" s="3">
        <v>9682.5</v>
      </c>
      <c r="Q170" s="3">
        <f t="shared" si="2"/>
        <v>14004.869999999999</v>
      </c>
    </row>
    <row r="171" spans="1:17" x14ac:dyDescent="0.2">
      <c r="A171" s="3">
        <v>170</v>
      </c>
      <c r="B171" s="3">
        <v>400392</v>
      </c>
      <c r="C171" s="3" t="str">
        <f>VLOOKUP(B171,[1]ورقة5!$B:$C,2,0)</f>
        <v>إعارة</v>
      </c>
      <c r="D171" s="3" t="s">
        <v>26</v>
      </c>
      <c r="E171" s="3" t="s">
        <v>27</v>
      </c>
      <c r="F171" s="3" t="s">
        <v>64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/>
      <c r="N171" s="3">
        <v>343.38</v>
      </c>
      <c r="O171" s="3">
        <v>2675.9</v>
      </c>
      <c r="P171" s="3">
        <v>6763.08</v>
      </c>
      <c r="Q171" s="3">
        <f t="shared" si="2"/>
        <v>9782.36</v>
      </c>
    </row>
    <row r="172" spans="1:17" x14ac:dyDescent="0.2">
      <c r="A172" s="3">
        <v>171</v>
      </c>
      <c r="B172" s="3">
        <v>400393</v>
      </c>
      <c r="C172" s="3" t="str">
        <f>VLOOKUP(B172,[1]ورقة5!$B:$C,2,0)</f>
        <v>إعارة</v>
      </c>
      <c r="D172" s="3" t="s">
        <v>26</v>
      </c>
      <c r="E172" s="3" t="s">
        <v>27</v>
      </c>
      <c r="F172" s="3" t="s">
        <v>64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/>
      <c r="N172" s="3">
        <v>327.82</v>
      </c>
      <c r="O172" s="3">
        <v>0</v>
      </c>
      <c r="P172" s="3">
        <v>5695.1</v>
      </c>
      <c r="Q172" s="3">
        <f t="shared" si="2"/>
        <v>6022.92</v>
      </c>
    </row>
    <row r="173" spans="1:17" x14ac:dyDescent="0.2">
      <c r="A173" s="3">
        <v>172</v>
      </c>
      <c r="B173" s="3">
        <v>400394</v>
      </c>
      <c r="C173" s="3" t="str">
        <f>VLOOKUP(B173,[1]ورقة5!$B:$C,2,0)</f>
        <v>إعارة</v>
      </c>
      <c r="D173" s="3" t="s">
        <v>26</v>
      </c>
      <c r="E173" s="3" t="s">
        <v>27</v>
      </c>
      <c r="F173" s="3" t="s">
        <v>64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/>
      <c r="N173" s="3">
        <v>657.98</v>
      </c>
      <c r="O173" s="3">
        <v>5134.72</v>
      </c>
      <c r="P173" s="3">
        <v>12983.79</v>
      </c>
      <c r="Q173" s="3">
        <f t="shared" si="2"/>
        <v>18776.490000000002</v>
      </c>
    </row>
    <row r="174" spans="1:17" x14ac:dyDescent="0.2">
      <c r="A174" s="3">
        <v>173</v>
      </c>
      <c r="B174" s="3">
        <v>400395</v>
      </c>
      <c r="C174" s="3" t="str">
        <f>VLOOKUP(B174,[1]ورقة5!$B:$C,2,0)</f>
        <v>إعارة</v>
      </c>
      <c r="D174" s="3" t="s">
        <v>26</v>
      </c>
      <c r="E174" s="3" t="s">
        <v>27</v>
      </c>
      <c r="F174" s="3" t="s">
        <v>64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/>
      <c r="N174" s="3">
        <v>564.29999999999995</v>
      </c>
      <c r="O174" s="3">
        <v>4400.91</v>
      </c>
      <c r="P174" s="3">
        <v>7322.31</v>
      </c>
      <c r="Q174" s="3">
        <f t="shared" si="2"/>
        <v>12287.52</v>
      </c>
    </row>
    <row r="175" spans="1:17" x14ac:dyDescent="0.2">
      <c r="A175" s="3">
        <v>174</v>
      </c>
      <c r="B175" s="3">
        <v>400396</v>
      </c>
      <c r="C175" s="3" t="str">
        <f>VLOOKUP(B175,[1]ورقة5!$B:$C,2,0)</f>
        <v>إعارة</v>
      </c>
      <c r="D175" s="3" t="s">
        <v>26</v>
      </c>
      <c r="E175" s="3" t="s">
        <v>27</v>
      </c>
      <c r="F175" s="3" t="s">
        <v>46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/>
      <c r="N175" s="3">
        <v>618.88</v>
      </c>
      <c r="O175" s="3">
        <v>4828.46</v>
      </c>
      <c r="P175" s="3">
        <v>12185.04</v>
      </c>
      <c r="Q175" s="3">
        <f t="shared" si="2"/>
        <v>17632.38</v>
      </c>
    </row>
    <row r="176" spans="1:17" x14ac:dyDescent="0.2">
      <c r="A176" s="3">
        <v>175</v>
      </c>
      <c r="B176" s="3">
        <v>400397</v>
      </c>
      <c r="C176" s="3" t="str">
        <f>VLOOKUP(B176,[1]ورقة5!$B:$C,2,0)</f>
        <v>إعارة</v>
      </c>
      <c r="D176" s="3" t="s">
        <v>26</v>
      </c>
      <c r="E176" s="3" t="s">
        <v>27</v>
      </c>
      <c r="F176" s="3" t="s">
        <v>46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/>
      <c r="N176" s="3">
        <v>445.85</v>
      </c>
      <c r="O176" s="3">
        <v>3473.04</v>
      </c>
      <c r="P176" s="3">
        <v>2818.43</v>
      </c>
      <c r="Q176" s="3">
        <f t="shared" si="2"/>
        <v>6737.32</v>
      </c>
    </row>
    <row r="177" spans="1:17" x14ac:dyDescent="0.2">
      <c r="A177" s="3">
        <v>176</v>
      </c>
      <c r="B177" s="3">
        <v>400398</v>
      </c>
      <c r="C177" s="3" t="str">
        <f>VLOOKUP(B177,[1]ورقة5!$B:$C,2,0)</f>
        <v>إعارة</v>
      </c>
      <c r="D177" s="3" t="s">
        <v>26</v>
      </c>
      <c r="E177" s="3" t="s">
        <v>27</v>
      </c>
      <c r="F177" s="3" t="s">
        <v>46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/>
      <c r="N177" s="3">
        <v>379.34</v>
      </c>
      <c r="O177" s="3">
        <v>2957.59</v>
      </c>
      <c r="P177" s="3">
        <v>7459.64</v>
      </c>
      <c r="Q177" s="3">
        <f t="shared" si="2"/>
        <v>10796.57</v>
      </c>
    </row>
    <row r="178" spans="1:17" x14ac:dyDescent="0.2">
      <c r="A178" s="3">
        <v>177</v>
      </c>
      <c r="B178" s="3">
        <v>400399</v>
      </c>
      <c r="C178" s="3" t="str">
        <f>VLOOKUP(B178,[1]ورقة5!$B:$C,2,0)</f>
        <v>إعارة</v>
      </c>
      <c r="D178" s="3" t="s">
        <v>26</v>
      </c>
      <c r="E178" s="3" t="s">
        <v>27</v>
      </c>
      <c r="F178" s="3" t="s">
        <v>63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/>
      <c r="N178" s="3">
        <v>526.16999999999996</v>
      </c>
      <c r="O178" s="3">
        <v>0</v>
      </c>
      <c r="P178" s="3">
        <v>3659.87</v>
      </c>
      <c r="Q178" s="3">
        <f t="shared" si="2"/>
        <v>4186.04</v>
      </c>
    </row>
    <row r="179" spans="1:17" x14ac:dyDescent="0.2">
      <c r="A179" s="3">
        <v>178</v>
      </c>
      <c r="B179" s="3">
        <v>400400</v>
      </c>
      <c r="C179" s="3" t="str">
        <f>VLOOKUP(B179,[1]ورقة5!$B:$C,2,0)</f>
        <v>إعارة</v>
      </c>
      <c r="D179" s="3" t="s">
        <v>26</v>
      </c>
      <c r="E179" s="3" t="s">
        <v>27</v>
      </c>
      <c r="F179" s="3" t="s">
        <v>63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/>
      <c r="N179" s="3">
        <v>600.67999999999995</v>
      </c>
      <c r="O179" s="3">
        <v>4685.9399999999996</v>
      </c>
      <c r="P179" s="3">
        <v>10430.379999999999</v>
      </c>
      <c r="Q179" s="3">
        <f t="shared" si="2"/>
        <v>15717</v>
      </c>
    </row>
    <row r="180" spans="1:17" x14ac:dyDescent="0.2">
      <c r="A180" s="3">
        <v>179</v>
      </c>
      <c r="B180" s="3">
        <v>400401</v>
      </c>
      <c r="C180" s="3" t="str">
        <f>VLOOKUP(B180,[1]ورقة5!$B:$C,2,0)</f>
        <v>إعارة</v>
      </c>
      <c r="D180" s="3" t="s">
        <v>26</v>
      </c>
      <c r="E180" s="3" t="s">
        <v>27</v>
      </c>
      <c r="F180" s="3" t="s">
        <v>63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/>
      <c r="N180" s="3">
        <v>677.72</v>
      </c>
      <c r="O180" s="3">
        <v>5120.6099999999997</v>
      </c>
      <c r="P180" s="3">
        <v>13352.01</v>
      </c>
      <c r="Q180" s="3">
        <f t="shared" si="2"/>
        <v>19150.34</v>
      </c>
    </row>
    <row r="181" spans="1:17" x14ac:dyDescent="0.2">
      <c r="A181" s="3">
        <v>180</v>
      </c>
      <c r="B181" s="3">
        <v>400402</v>
      </c>
      <c r="C181" s="3" t="str">
        <f>VLOOKUP(B181,[1]ورقة5!$B:$C,2,0)</f>
        <v>إعارة</v>
      </c>
      <c r="D181" s="3" t="s">
        <v>26</v>
      </c>
      <c r="E181" s="3" t="s">
        <v>27</v>
      </c>
      <c r="F181" s="3" t="s">
        <v>63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/>
      <c r="N181" s="3">
        <v>564.29999999999995</v>
      </c>
      <c r="O181" s="3">
        <v>4400.91</v>
      </c>
      <c r="P181" s="3">
        <v>9793.6</v>
      </c>
      <c r="Q181" s="3">
        <f t="shared" si="2"/>
        <v>14758.810000000001</v>
      </c>
    </row>
    <row r="182" spans="1:17" x14ac:dyDescent="0.2">
      <c r="A182" s="3">
        <v>181</v>
      </c>
      <c r="B182" s="3">
        <v>400403</v>
      </c>
      <c r="C182" s="3" t="str">
        <f>VLOOKUP(B182,[1]ورقة5!$B:$C,2,0)</f>
        <v>إعارة</v>
      </c>
      <c r="D182" s="3" t="s">
        <v>26</v>
      </c>
      <c r="E182" s="3" t="s">
        <v>27</v>
      </c>
      <c r="F182" s="3" t="s">
        <v>62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/>
      <c r="N182" s="3">
        <v>564.29999999999995</v>
      </c>
      <c r="O182" s="3">
        <v>4400.91</v>
      </c>
      <c r="P182" s="3">
        <v>10471.39</v>
      </c>
      <c r="Q182" s="3">
        <f t="shared" si="2"/>
        <v>15436.599999999999</v>
      </c>
    </row>
    <row r="183" spans="1:17" x14ac:dyDescent="0.2">
      <c r="A183" s="3">
        <v>182</v>
      </c>
      <c r="B183" s="3">
        <v>400404</v>
      </c>
      <c r="C183" s="3" t="str">
        <f>VLOOKUP(B183,[1]ورقة5!$B:$C,2,0)</f>
        <v>إعارة</v>
      </c>
      <c r="D183" s="3" t="s">
        <v>26</v>
      </c>
      <c r="E183" s="3" t="s">
        <v>27</v>
      </c>
      <c r="F183" s="3" t="s">
        <v>63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/>
      <c r="N183" s="3">
        <v>477.98</v>
      </c>
      <c r="O183" s="3">
        <v>3724.72</v>
      </c>
      <c r="P183" s="3">
        <v>9343.7900000000009</v>
      </c>
      <c r="Q183" s="3">
        <f t="shared" si="2"/>
        <v>13546.490000000002</v>
      </c>
    </row>
    <row r="184" spans="1:17" x14ac:dyDescent="0.2">
      <c r="A184" s="3">
        <v>183</v>
      </c>
      <c r="B184" s="3">
        <v>400405</v>
      </c>
      <c r="C184" s="3" t="str">
        <f>VLOOKUP(B184,[1]ورقة5!$B:$C,2,0)</f>
        <v>إعارة</v>
      </c>
      <c r="D184" s="3" t="s">
        <v>26</v>
      </c>
      <c r="E184" s="3" t="s">
        <v>27</v>
      </c>
      <c r="F184" s="3" t="s">
        <v>63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/>
      <c r="N184" s="3">
        <v>337.07</v>
      </c>
      <c r="O184" s="3">
        <v>2620.98</v>
      </c>
      <c r="P184" s="3">
        <v>5793.83</v>
      </c>
      <c r="Q184" s="3">
        <f t="shared" si="2"/>
        <v>8751.880000000001</v>
      </c>
    </row>
    <row r="185" spans="1:17" x14ac:dyDescent="0.2">
      <c r="A185" s="3">
        <v>184</v>
      </c>
      <c r="B185" s="3">
        <v>400407</v>
      </c>
      <c r="C185" s="3" t="str">
        <f>VLOOKUP(B185,[1]ورقة5!$B:$C,2,0)</f>
        <v>إعارة</v>
      </c>
      <c r="D185" s="3" t="s">
        <v>26</v>
      </c>
      <c r="E185" s="3" t="s">
        <v>27</v>
      </c>
      <c r="F185" s="3" t="s">
        <v>63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/>
      <c r="N185" s="3">
        <v>582.49</v>
      </c>
      <c r="O185" s="3">
        <v>4543.43</v>
      </c>
      <c r="P185" s="3">
        <v>10088.66</v>
      </c>
      <c r="Q185" s="3">
        <f t="shared" si="2"/>
        <v>15214.58</v>
      </c>
    </row>
    <row r="186" spans="1:17" x14ac:dyDescent="0.2">
      <c r="A186" s="3">
        <v>185</v>
      </c>
      <c r="B186" s="3">
        <v>400409</v>
      </c>
      <c r="C186" s="3" t="str">
        <f>VLOOKUP(B186,[1]ورقة5!$B:$C,2,0)</f>
        <v>إعارة</v>
      </c>
      <c r="D186" s="3" t="s">
        <v>26</v>
      </c>
      <c r="E186" s="3" t="s">
        <v>27</v>
      </c>
      <c r="F186" s="3" t="s">
        <v>63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/>
      <c r="N186" s="3">
        <v>270.8</v>
      </c>
      <c r="O186" s="3">
        <v>0</v>
      </c>
      <c r="P186" s="3">
        <v>4384.12</v>
      </c>
      <c r="Q186" s="3">
        <f t="shared" si="2"/>
        <v>4654.92</v>
      </c>
    </row>
    <row r="187" spans="1:17" x14ac:dyDescent="0.2">
      <c r="A187" s="3">
        <v>186</v>
      </c>
      <c r="B187" s="3">
        <v>400411</v>
      </c>
      <c r="C187" s="3" t="str">
        <f>VLOOKUP(B187,[1]ورقة5!$B:$C,2,0)</f>
        <v>إعارة</v>
      </c>
      <c r="D187" s="3" t="s">
        <v>26</v>
      </c>
      <c r="E187" s="3" t="s">
        <v>27</v>
      </c>
      <c r="F187" s="3" t="s">
        <v>63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/>
      <c r="N187" s="3">
        <v>445.85</v>
      </c>
      <c r="O187" s="3">
        <v>3473.04</v>
      </c>
      <c r="P187" s="3">
        <v>7227.76</v>
      </c>
      <c r="Q187" s="3">
        <f t="shared" si="2"/>
        <v>11146.65</v>
      </c>
    </row>
    <row r="188" spans="1:17" x14ac:dyDescent="0.2">
      <c r="A188" s="3">
        <v>187</v>
      </c>
      <c r="B188" s="3">
        <v>400412</v>
      </c>
      <c r="C188" s="3" t="str">
        <f>VLOOKUP(B188,[1]ورقة5!$B:$C,2,0)</f>
        <v>إعارة</v>
      </c>
      <c r="D188" s="3" t="s">
        <v>26</v>
      </c>
      <c r="E188" s="3" t="s">
        <v>27</v>
      </c>
      <c r="F188" s="3" t="s">
        <v>63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/>
      <c r="N188" s="3">
        <v>598.75</v>
      </c>
      <c r="O188" s="3">
        <v>4670.78</v>
      </c>
      <c r="P188" s="3">
        <v>11762.49</v>
      </c>
      <c r="Q188" s="3">
        <f t="shared" si="2"/>
        <v>17032.02</v>
      </c>
    </row>
    <row r="189" spans="1:17" x14ac:dyDescent="0.2">
      <c r="A189" s="3">
        <v>188</v>
      </c>
      <c r="B189" s="3">
        <v>400413</v>
      </c>
      <c r="C189" s="3" t="str">
        <f>VLOOKUP(B189,[1]ورقة5!$B:$C,2,0)</f>
        <v>إعارة</v>
      </c>
      <c r="D189" s="3" t="s">
        <v>26</v>
      </c>
      <c r="E189" s="3" t="s">
        <v>27</v>
      </c>
      <c r="F189" s="3" t="s">
        <v>63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/>
      <c r="N189" s="3">
        <v>0</v>
      </c>
      <c r="O189" s="3">
        <v>3735.14</v>
      </c>
      <c r="P189" s="3">
        <v>10404.17</v>
      </c>
      <c r="Q189" s="3">
        <f t="shared" si="2"/>
        <v>14139.31</v>
      </c>
    </row>
    <row r="190" spans="1:17" x14ac:dyDescent="0.2">
      <c r="A190" s="3">
        <v>189</v>
      </c>
      <c r="B190" s="3">
        <v>400414</v>
      </c>
      <c r="C190" s="3" t="str">
        <f>VLOOKUP(B190,[1]ورقة5!$B:$C,2,0)</f>
        <v>إعارة</v>
      </c>
      <c r="D190" s="3" t="s">
        <v>26</v>
      </c>
      <c r="E190" s="3" t="s">
        <v>27</v>
      </c>
      <c r="F190" s="3" t="s">
        <v>63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/>
      <c r="N190" s="3">
        <v>598.75</v>
      </c>
      <c r="O190" s="3">
        <v>2461.83</v>
      </c>
      <c r="P190" s="3">
        <v>11091.16</v>
      </c>
      <c r="Q190" s="3">
        <f t="shared" si="2"/>
        <v>14151.74</v>
      </c>
    </row>
    <row r="191" spans="1:17" x14ac:dyDescent="0.2">
      <c r="A191" s="3">
        <v>190</v>
      </c>
      <c r="B191" s="3">
        <v>400415</v>
      </c>
      <c r="C191" s="3" t="str">
        <f>VLOOKUP(B191,[1]ورقة5!$B:$C,2,0)</f>
        <v>إعارة</v>
      </c>
      <c r="D191" s="3" t="s">
        <v>26</v>
      </c>
      <c r="E191" s="3" t="s">
        <v>27</v>
      </c>
      <c r="F191" s="3" t="s">
        <v>63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/>
      <c r="N191" s="3">
        <v>527.91</v>
      </c>
      <c r="O191" s="3">
        <v>2554.48</v>
      </c>
      <c r="P191" s="3">
        <v>9156.83</v>
      </c>
      <c r="Q191" s="3">
        <f t="shared" si="2"/>
        <v>12239.22</v>
      </c>
    </row>
    <row r="192" spans="1:17" x14ac:dyDescent="0.2">
      <c r="A192" s="3">
        <v>191</v>
      </c>
      <c r="B192" s="3">
        <v>400416</v>
      </c>
      <c r="C192" s="3" t="str">
        <f>VLOOKUP(B192,[1]ورقة5!$B:$C,2,0)</f>
        <v>إعارة</v>
      </c>
      <c r="D192" s="3" t="s">
        <v>26</v>
      </c>
      <c r="E192" s="3" t="s">
        <v>27</v>
      </c>
      <c r="F192" s="3" t="s">
        <v>63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/>
      <c r="N192" s="3">
        <v>509.72</v>
      </c>
      <c r="O192" s="3">
        <v>3973.36</v>
      </c>
      <c r="P192" s="3">
        <v>8067.97</v>
      </c>
      <c r="Q192" s="3">
        <f t="shared" si="2"/>
        <v>12551.05</v>
      </c>
    </row>
    <row r="193" spans="1:17" x14ac:dyDescent="0.2">
      <c r="A193" s="3">
        <v>192</v>
      </c>
      <c r="B193" s="3">
        <v>400417</v>
      </c>
      <c r="C193" s="3" t="str">
        <f>VLOOKUP(B193,[1]ورقة5!$B:$C,2,0)</f>
        <v>إعارة</v>
      </c>
      <c r="D193" s="3" t="s">
        <v>26</v>
      </c>
      <c r="E193" s="3" t="s">
        <v>39</v>
      </c>
      <c r="F193" s="3" t="s">
        <v>19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/>
      <c r="N193" s="3">
        <v>527.91</v>
      </c>
      <c r="O193" s="3">
        <v>4115.88</v>
      </c>
      <c r="P193" s="3">
        <v>4284.07</v>
      </c>
      <c r="Q193" s="3">
        <f t="shared" si="2"/>
        <v>8927.86</v>
      </c>
    </row>
    <row r="194" spans="1:17" x14ac:dyDescent="0.2">
      <c r="A194" s="3">
        <v>193</v>
      </c>
      <c r="B194" s="3">
        <v>400418</v>
      </c>
      <c r="C194" s="3" t="str">
        <f>VLOOKUP(B194,[1]ورقة5!$B:$C,2,0)</f>
        <v>إعارة</v>
      </c>
      <c r="D194" s="3" t="s">
        <v>26</v>
      </c>
      <c r="E194" s="3" t="s">
        <v>27</v>
      </c>
      <c r="F194" s="3" t="s">
        <v>63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/>
      <c r="N194" s="3">
        <v>372.65</v>
      </c>
      <c r="O194" s="3">
        <v>375.71</v>
      </c>
      <c r="P194" s="3">
        <v>6213.86</v>
      </c>
      <c r="Q194" s="3">
        <f t="shared" si="2"/>
        <v>6962.2199999999993</v>
      </c>
    </row>
    <row r="195" spans="1:17" x14ac:dyDescent="0.2">
      <c r="A195" s="3">
        <v>194</v>
      </c>
      <c r="B195" s="3">
        <v>400419</v>
      </c>
      <c r="C195" s="3" t="str">
        <f>VLOOKUP(B195,[1]ورقة5!$B:$C,2,0)</f>
        <v>إعارة</v>
      </c>
      <c r="D195" s="3" t="s">
        <v>26</v>
      </c>
      <c r="E195" s="3" t="s">
        <v>27</v>
      </c>
      <c r="F195" s="3" t="s">
        <v>63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/>
      <c r="N195" s="3">
        <v>477.98</v>
      </c>
      <c r="O195" s="3">
        <v>3724.72</v>
      </c>
      <c r="P195" s="3">
        <v>8306.2900000000009</v>
      </c>
      <c r="Q195" s="3">
        <f t="shared" ref="Q195:Q258" si="3">SUM(G195:P195)</f>
        <v>12508.990000000002</v>
      </c>
    </row>
    <row r="196" spans="1:17" x14ac:dyDescent="0.2">
      <c r="A196" s="3">
        <v>195</v>
      </c>
      <c r="B196" s="3">
        <v>400420</v>
      </c>
      <c r="C196" s="3" t="str">
        <f>VLOOKUP(B196,[1]ورقة5!$B:$C,2,0)</f>
        <v>إعارة</v>
      </c>
      <c r="D196" s="3" t="s">
        <v>26</v>
      </c>
      <c r="E196" s="3" t="s">
        <v>27</v>
      </c>
      <c r="F196" s="3" t="s">
        <v>62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/>
      <c r="N196" s="3">
        <v>558.29999999999995</v>
      </c>
      <c r="O196" s="3">
        <v>0</v>
      </c>
      <c r="P196" s="3">
        <v>9711.93</v>
      </c>
      <c r="Q196" s="3">
        <f t="shared" si="3"/>
        <v>10270.23</v>
      </c>
    </row>
    <row r="197" spans="1:17" x14ac:dyDescent="0.2">
      <c r="A197" s="3">
        <v>196</v>
      </c>
      <c r="B197" s="3">
        <v>400421</v>
      </c>
      <c r="C197" s="3" t="str">
        <f>VLOOKUP(B197,[1]ورقة5!$B:$C,2,0)</f>
        <v>إعارة</v>
      </c>
      <c r="D197" s="3" t="s">
        <v>26</v>
      </c>
      <c r="E197" s="3" t="s">
        <v>27</v>
      </c>
      <c r="F197" s="3" t="s">
        <v>62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/>
      <c r="N197" s="3">
        <v>526.16999999999996</v>
      </c>
      <c r="O197" s="3">
        <v>4102.2299999999996</v>
      </c>
      <c r="P197" s="3">
        <v>3659.87</v>
      </c>
      <c r="Q197" s="3">
        <f t="shared" si="3"/>
        <v>8288.27</v>
      </c>
    </row>
    <row r="198" spans="1:17" x14ac:dyDescent="0.2">
      <c r="A198" s="3">
        <v>197</v>
      </c>
      <c r="B198" s="3">
        <v>400422</v>
      </c>
      <c r="C198" s="3" t="str">
        <f>VLOOKUP(B198,[1]ورقة5!$B:$C,2,0)</f>
        <v>إعارة</v>
      </c>
      <c r="D198" s="3" t="s">
        <v>26</v>
      </c>
      <c r="E198" s="3" t="s">
        <v>27</v>
      </c>
      <c r="F198" s="3" t="s">
        <v>62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/>
      <c r="N198" s="3">
        <v>582.49</v>
      </c>
      <c r="O198" s="3">
        <v>4543.43</v>
      </c>
      <c r="P198" s="3">
        <v>10135.32</v>
      </c>
      <c r="Q198" s="3">
        <f t="shared" si="3"/>
        <v>15261.24</v>
      </c>
    </row>
    <row r="199" spans="1:17" x14ac:dyDescent="0.2">
      <c r="A199" s="3">
        <v>198</v>
      </c>
      <c r="B199" s="3">
        <v>400423</v>
      </c>
      <c r="C199" s="3" t="str">
        <f>VLOOKUP(B199,[1]ورقة5!$B:$C,2,0)</f>
        <v>إعارة</v>
      </c>
      <c r="D199" s="3" t="s">
        <v>26</v>
      </c>
      <c r="E199" s="3" t="s">
        <v>27</v>
      </c>
      <c r="F199" s="3" t="s">
        <v>62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/>
      <c r="N199" s="3">
        <v>399.78</v>
      </c>
      <c r="O199" s="3">
        <v>3112.2</v>
      </c>
      <c r="P199" s="3">
        <v>6937.9</v>
      </c>
      <c r="Q199" s="3">
        <f t="shared" si="3"/>
        <v>10449.879999999999</v>
      </c>
    </row>
    <row r="200" spans="1:17" x14ac:dyDescent="0.2">
      <c r="A200" s="3">
        <v>199</v>
      </c>
      <c r="B200" s="3">
        <v>400424</v>
      </c>
      <c r="C200" s="3" t="str">
        <f>VLOOKUP(B200,[1]ورقة5!$B:$C,2,0)</f>
        <v>إعارة</v>
      </c>
      <c r="D200" s="3" t="s">
        <v>26</v>
      </c>
      <c r="E200" s="3" t="s">
        <v>27</v>
      </c>
      <c r="F200" s="3" t="s">
        <v>62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/>
      <c r="N200" s="3">
        <v>464.23</v>
      </c>
      <c r="O200" s="3">
        <v>3617.07</v>
      </c>
      <c r="P200" s="3">
        <v>4301.7700000000004</v>
      </c>
      <c r="Q200" s="3">
        <f t="shared" si="3"/>
        <v>8383.07</v>
      </c>
    </row>
    <row r="201" spans="1:17" x14ac:dyDescent="0.2">
      <c r="A201" s="3">
        <v>200</v>
      </c>
      <c r="B201" s="3">
        <v>400425</v>
      </c>
      <c r="C201" s="3" t="str">
        <f>VLOOKUP(B201,[1]ورقة5!$B:$C,2,0)</f>
        <v>إعارة</v>
      </c>
      <c r="D201" s="3" t="s">
        <v>26</v>
      </c>
      <c r="E201" s="3" t="s">
        <v>27</v>
      </c>
      <c r="F201" s="3" t="s">
        <v>62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/>
      <c r="N201" s="3">
        <v>754.06</v>
      </c>
      <c r="O201" s="3">
        <v>5881.84</v>
      </c>
      <c r="P201" s="3">
        <v>14870.61</v>
      </c>
      <c r="Q201" s="3">
        <f t="shared" si="3"/>
        <v>21506.510000000002</v>
      </c>
    </row>
    <row r="202" spans="1:17" x14ac:dyDescent="0.2">
      <c r="A202" s="3">
        <v>201</v>
      </c>
      <c r="B202" s="3">
        <v>400426</v>
      </c>
      <c r="C202" s="3" t="str">
        <f>VLOOKUP(B202,[1]ورقة5!$B:$C,2,0)</f>
        <v>إعارة</v>
      </c>
      <c r="D202" s="3" t="s">
        <v>26</v>
      </c>
      <c r="E202" s="3" t="s">
        <v>27</v>
      </c>
      <c r="F202" s="3" t="s">
        <v>62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/>
      <c r="N202" s="3">
        <v>379.46</v>
      </c>
      <c r="O202" s="3">
        <v>0</v>
      </c>
      <c r="P202" s="3">
        <v>7021.07</v>
      </c>
      <c r="Q202" s="3">
        <f t="shared" si="3"/>
        <v>7400.53</v>
      </c>
    </row>
    <row r="203" spans="1:17" x14ac:dyDescent="0.2">
      <c r="A203" s="3">
        <v>202</v>
      </c>
      <c r="B203" s="3">
        <v>400427</v>
      </c>
      <c r="C203" s="3" t="str">
        <f>VLOOKUP(B203,[1]ورقة5!$B:$C,2,0)</f>
        <v>إعارة</v>
      </c>
      <c r="D203" s="3" t="s">
        <v>26</v>
      </c>
      <c r="E203" s="3" t="s">
        <v>27</v>
      </c>
      <c r="F203" s="3" t="s">
        <v>62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/>
      <c r="N203" s="3">
        <v>562.79999999999995</v>
      </c>
      <c r="O203" s="3">
        <v>4400.91</v>
      </c>
      <c r="P203" s="3">
        <v>7199.08</v>
      </c>
      <c r="Q203" s="3">
        <f t="shared" si="3"/>
        <v>12162.79</v>
      </c>
    </row>
    <row r="204" spans="1:17" x14ac:dyDescent="0.2">
      <c r="A204" s="3">
        <v>203</v>
      </c>
      <c r="B204" s="3">
        <v>400428</v>
      </c>
      <c r="C204" s="3" t="str">
        <f>VLOOKUP(B204,[1]ورقة5!$B:$C,2,0)</f>
        <v>إعارة</v>
      </c>
      <c r="D204" s="3" t="s">
        <v>26</v>
      </c>
      <c r="E204" s="3" t="s">
        <v>27</v>
      </c>
      <c r="F204" s="3" t="s">
        <v>62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/>
      <c r="N204" s="3">
        <v>509.72</v>
      </c>
      <c r="O204" s="3">
        <v>3973.36</v>
      </c>
      <c r="P204" s="3">
        <v>10043.34</v>
      </c>
      <c r="Q204" s="3">
        <f t="shared" si="3"/>
        <v>14526.42</v>
      </c>
    </row>
    <row r="205" spans="1:17" x14ac:dyDescent="0.2">
      <c r="A205" s="3">
        <v>204</v>
      </c>
      <c r="B205" s="3">
        <v>400429</v>
      </c>
      <c r="C205" s="3" t="str">
        <f>VLOOKUP(B205,[1]ورقة5!$B:$C,2,0)</f>
        <v>إعارة</v>
      </c>
      <c r="D205" s="3" t="s">
        <v>26</v>
      </c>
      <c r="E205" s="3" t="s">
        <v>27</v>
      </c>
      <c r="F205" s="3" t="s">
        <v>62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/>
      <c r="N205" s="3">
        <v>0</v>
      </c>
      <c r="O205" s="3">
        <v>0</v>
      </c>
      <c r="P205" s="3">
        <v>5185.04</v>
      </c>
      <c r="Q205" s="3">
        <f t="shared" si="3"/>
        <v>5185.04</v>
      </c>
    </row>
    <row r="206" spans="1:17" x14ac:dyDescent="0.2">
      <c r="A206" s="3">
        <v>205</v>
      </c>
      <c r="B206" s="3">
        <v>400430</v>
      </c>
      <c r="C206" s="3" t="str">
        <f>VLOOKUP(B206,[1]ورقة5!$B:$C,2,0)</f>
        <v>إعارة</v>
      </c>
      <c r="D206" s="3" t="s">
        <v>26</v>
      </c>
      <c r="E206" s="3" t="s">
        <v>27</v>
      </c>
      <c r="F206" s="3" t="s">
        <v>62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/>
      <c r="N206" s="3">
        <v>564.29999999999995</v>
      </c>
      <c r="O206" s="3">
        <v>4400.91</v>
      </c>
      <c r="P206" s="3">
        <v>11125.85</v>
      </c>
      <c r="Q206" s="3">
        <f t="shared" si="3"/>
        <v>16091.060000000001</v>
      </c>
    </row>
    <row r="207" spans="1:17" x14ac:dyDescent="0.2">
      <c r="A207" s="3">
        <v>206</v>
      </c>
      <c r="B207" s="3">
        <v>400432</v>
      </c>
      <c r="C207" s="3" t="str">
        <f>VLOOKUP(B207,[1]ورقة5!$B:$C,2,0)</f>
        <v>إعارة</v>
      </c>
      <c r="D207" s="3" t="s">
        <v>26</v>
      </c>
      <c r="E207" s="3" t="s">
        <v>27</v>
      </c>
      <c r="F207" s="3" t="s">
        <v>62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/>
      <c r="N207" s="3">
        <v>379.46</v>
      </c>
      <c r="O207" s="3">
        <v>2953.01</v>
      </c>
      <c r="P207" s="3">
        <v>3510.54</v>
      </c>
      <c r="Q207" s="3">
        <f t="shared" si="3"/>
        <v>6843.01</v>
      </c>
    </row>
    <row r="208" spans="1:17" x14ac:dyDescent="0.2">
      <c r="A208" s="3">
        <v>207</v>
      </c>
      <c r="B208" s="3">
        <v>400433</v>
      </c>
      <c r="C208" s="3" t="str">
        <f>VLOOKUP(B208,[1]ورقة5!$B:$C,2,0)</f>
        <v>إعارة</v>
      </c>
      <c r="D208" s="3" t="s">
        <v>26</v>
      </c>
      <c r="E208" s="3" t="s">
        <v>27</v>
      </c>
      <c r="F208" s="3" t="s">
        <v>71</v>
      </c>
      <c r="G208" s="3">
        <v>2957.46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/>
      <c r="N208" s="3">
        <v>637.07000000000005</v>
      </c>
      <c r="O208" s="3">
        <v>4970.9799999999996</v>
      </c>
      <c r="P208" s="3">
        <v>12569.21</v>
      </c>
      <c r="Q208" s="3">
        <f t="shared" si="3"/>
        <v>21134.720000000001</v>
      </c>
    </row>
    <row r="209" spans="1:17" x14ac:dyDescent="0.2">
      <c r="A209" s="3">
        <v>208</v>
      </c>
      <c r="B209" s="3">
        <v>400435</v>
      </c>
      <c r="C209" s="3" t="str">
        <f>VLOOKUP(B209,[1]ورقة5!$B:$C,2,0)</f>
        <v>إعارة</v>
      </c>
      <c r="D209" s="3" t="s">
        <v>26</v>
      </c>
      <c r="E209" s="3" t="s">
        <v>27</v>
      </c>
      <c r="F209" s="3" t="s">
        <v>71</v>
      </c>
      <c r="G209" s="3">
        <v>2023.52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/>
      <c r="N209" s="3">
        <v>455.14</v>
      </c>
      <c r="O209" s="3">
        <v>3545.81</v>
      </c>
      <c r="P209" s="3">
        <v>8960.82</v>
      </c>
      <c r="Q209" s="3">
        <f t="shared" si="3"/>
        <v>14985.289999999999</v>
      </c>
    </row>
    <row r="210" spans="1:17" x14ac:dyDescent="0.2">
      <c r="A210" s="3">
        <v>209</v>
      </c>
      <c r="B210" s="3">
        <v>400436</v>
      </c>
      <c r="C210" s="3" t="str">
        <f>VLOOKUP(B210,[1]ورقة5!$B:$C,2,0)</f>
        <v>إعارة</v>
      </c>
      <c r="D210" s="3" t="s">
        <v>26</v>
      </c>
      <c r="E210" s="3" t="s">
        <v>27</v>
      </c>
      <c r="F210" s="3" t="s">
        <v>48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/>
      <c r="N210" s="3">
        <v>393.82</v>
      </c>
      <c r="O210" s="3">
        <v>3071</v>
      </c>
      <c r="P210" s="3">
        <v>3130.05</v>
      </c>
      <c r="Q210" s="3">
        <f t="shared" si="3"/>
        <v>6594.8700000000008</v>
      </c>
    </row>
    <row r="211" spans="1:17" x14ac:dyDescent="0.2">
      <c r="A211" s="3">
        <v>210</v>
      </c>
      <c r="B211" s="3">
        <v>400437</v>
      </c>
      <c r="C211" s="3" t="str">
        <f>VLOOKUP(B211,[1]ورقة5!$B:$C,2,0)</f>
        <v>إعارة</v>
      </c>
      <c r="D211" s="3" t="s">
        <v>26</v>
      </c>
      <c r="E211" s="3" t="s">
        <v>27</v>
      </c>
      <c r="F211" s="3" t="s">
        <v>52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/>
      <c r="N211" s="3">
        <v>558.29999999999995</v>
      </c>
      <c r="O211" s="3">
        <v>4353.91</v>
      </c>
      <c r="P211" s="3">
        <v>0</v>
      </c>
      <c r="Q211" s="3">
        <f t="shared" si="3"/>
        <v>4912.21</v>
      </c>
    </row>
    <row r="212" spans="1:17" x14ac:dyDescent="0.2">
      <c r="A212" s="3">
        <v>211</v>
      </c>
      <c r="B212" s="3">
        <v>400438</v>
      </c>
      <c r="C212" s="3" t="str">
        <f>VLOOKUP(B212,[1]ورقة5!$B:$C,2,0)</f>
        <v>إعارة</v>
      </c>
      <c r="D212" s="3" t="s">
        <v>26</v>
      </c>
      <c r="E212" s="3" t="s">
        <v>27</v>
      </c>
      <c r="F212" s="3" t="s">
        <v>52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/>
      <c r="N212" s="3">
        <v>754.06</v>
      </c>
      <c r="O212" s="3">
        <v>5881.84</v>
      </c>
      <c r="P212" s="3">
        <v>6033.19</v>
      </c>
      <c r="Q212" s="3">
        <f t="shared" si="3"/>
        <v>12669.09</v>
      </c>
    </row>
    <row r="213" spans="1:17" x14ac:dyDescent="0.2">
      <c r="A213" s="3">
        <v>212</v>
      </c>
      <c r="B213" s="3">
        <v>400439</v>
      </c>
      <c r="C213" s="3" t="str">
        <f>VLOOKUP(B213,[1]ورقة5!$B:$C,2,0)</f>
        <v>إعارة</v>
      </c>
      <c r="D213" s="3" t="s">
        <v>26</v>
      </c>
      <c r="E213" s="3" t="s">
        <v>27</v>
      </c>
      <c r="F213" s="3" t="s">
        <v>52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/>
      <c r="N213" s="3">
        <v>697.46</v>
      </c>
      <c r="O213" s="3">
        <v>5444.01</v>
      </c>
      <c r="P213" s="3">
        <v>5598.72</v>
      </c>
      <c r="Q213" s="3">
        <f t="shared" si="3"/>
        <v>11740.19</v>
      </c>
    </row>
    <row r="214" spans="1:17" x14ac:dyDescent="0.2">
      <c r="A214" s="3">
        <v>213</v>
      </c>
      <c r="B214" s="3">
        <v>400440</v>
      </c>
      <c r="C214" s="3" t="str">
        <f>VLOOKUP(B214,[1]ورقة5!$B:$C,2,0)</f>
        <v>إعارة</v>
      </c>
      <c r="D214" s="3" t="s">
        <v>26</v>
      </c>
      <c r="E214" s="3" t="s">
        <v>27</v>
      </c>
      <c r="F214" s="3" t="s">
        <v>52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/>
      <c r="N214" s="3">
        <v>697.46</v>
      </c>
      <c r="O214" s="3">
        <v>5444.01</v>
      </c>
      <c r="P214" s="3">
        <v>5598.72</v>
      </c>
      <c r="Q214" s="3">
        <f t="shared" si="3"/>
        <v>11740.19</v>
      </c>
    </row>
    <row r="215" spans="1:17" x14ac:dyDescent="0.2">
      <c r="A215" s="3">
        <v>214</v>
      </c>
      <c r="B215" s="3">
        <v>400441</v>
      </c>
      <c r="C215" s="3" t="str">
        <f>VLOOKUP(B215,[1]ورقة5!$B:$C,2,0)</f>
        <v>إعارة</v>
      </c>
      <c r="D215" s="3" t="s">
        <v>26</v>
      </c>
      <c r="E215" s="3" t="s">
        <v>27</v>
      </c>
      <c r="F215" s="3" t="s">
        <v>52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/>
      <c r="N215" s="3">
        <v>509.72</v>
      </c>
      <c r="O215" s="3">
        <v>3973.36</v>
      </c>
      <c r="P215" s="3">
        <v>0</v>
      </c>
      <c r="Q215" s="3">
        <f t="shared" si="3"/>
        <v>4483.08</v>
      </c>
    </row>
    <row r="216" spans="1:17" x14ac:dyDescent="0.2">
      <c r="A216" s="3">
        <v>215</v>
      </c>
      <c r="B216" s="3">
        <v>400442</v>
      </c>
      <c r="C216" s="3" t="str">
        <f>VLOOKUP(B216,[1]ورقة5!$B:$C,2,0)</f>
        <v>إعارة</v>
      </c>
      <c r="D216" s="3" t="s">
        <v>26</v>
      </c>
      <c r="E216" s="3" t="s">
        <v>27</v>
      </c>
      <c r="F216" s="3" t="s">
        <v>52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/>
      <c r="N216" s="3">
        <v>637.07000000000005</v>
      </c>
      <c r="O216" s="3">
        <v>4970.9799999999996</v>
      </c>
      <c r="P216" s="3">
        <v>5105.5600000000004</v>
      </c>
      <c r="Q216" s="3">
        <f t="shared" si="3"/>
        <v>10713.61</v>
      </c>
    </row>
    <row r="217" spans="1:17" x14ac:dyDescent="0.2">
      <c r="A217" s="3">
        <v>216</v>
      </c>
      <c r="B217" s="3">
        <v>400443</v>
      </c>
      <c r="C217" s="3" t="str">
        <f>VLOOKUP(B217,[1]ورقة5!$B:$C,2,0)</f>
        <v>إعارة</v>
      </c>
      <c r="D217" s="3" t="s">
        <v>45</v>
      </c>
      <c r="E217" s="3" t="s">
        <v>45</v>
      </c>
      <c r="F217" s="3" t="s">
        <v>19</v>
      </c>
      <c r="G217" s="3">
        <v>2130.5500000000002</v>
      </c>
      <c r="H217" s="3">
        <v>3207.4900000000002</v>
      </c>
      <c r="I217" s="3">
        <v>0</v>
      </c>
      <c r="J217" s="3">
        <v>0</v>
      </c>
      <c r="K217" s="3">
        <v>0</v>
      </c>
      <c r="L217" s="3">
        <v>0</v>
      </c>
      <c r="M217" s="3"/>
      <c r="N217" s="3">
        <v>0</v>
      </c>
      <c r="O217" s="3">
        <v>0</v>
      </c>
      <c r="P217" s="3">
        <v>0</v>
      </c>
      <c r="Q217" s="3">
        <f t="shared" si="3"/>
        <v>5338.0400000000009</v>
      </c>
    </row>
    <row r="218" spans="1:17" x14ac:dyDescent="0.2">
      <c r="A218" s="3">
        <v>217</v>
      </c>
      <c r="B218" s="3">
        <v>400446</v>
      </c>
      <c r="C218" s="3" t="str">
        <f>VLOOKUP(B218,[1]ورقة5!$B:$C,2,0)</f>
        <v>إعارة</v>
      </c>
      <c r="D218" s="3" t="s">
        <v>26</v>
      </c>
      <c r="E218" s="3" t="s">
        <v>27</v>
      </c>
      <c r="F218" s="3" t="s">
        <v>71</v>
      </c>
      <c r="G218" s="3">
        <v>1808.63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/>
      <c r="N218" s="3">
        <v>408.61</v>
      </c>
      <c r="O218" s="3">
        <v>3186.83</v>
      </c>
      <c r="P218" s="3">
        <v>8056.73</v>
      </c>
      <c r="Q218" s="3">
        <f t="shared" si="3"/>
        <v>13460.8</v>
      </c>
    </row>
    <row r="219" spans="1:17" x14ac:dyDescent="0.2">
      <c r="A219" s="3">
        <v>218</v>
      </c>
      <c r="B219" s="3">
        <v>400447</v>
      </c>
      <c r="C219" s="3" t="str">
        <f>VLOOKUP(B219,[1]ورقة5!$B:$C,2,0)</f>
        <v>إعارة</v>
      </c>
      <c r="D219" s="3" t="s">
        <v>26</v>
      </c>
      <c r="E219" s="3" t="s">
        <v>27</v>
      </c>
      <c r="F219" s="3" t="s">
        <v>62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/>
      <c r="N219" s="3">
        <v>397.46</v>
      </c>
      <c r="O219" s="3">
        <v>0</v>
      </c>
      <c r="P219" s="3">
        <v>6913.77</v>
      </c>
      <c r="Q219" s="3">
        <f t="shared" si="3"/>
        <v>7311.2300000000005</v>
      </c>
    </row>
    <row r="220" spans="1:17" x14ac:dyDescent="0.2">
      <c r="A220" s="3">
        <v>219</v>
      </c>
      <c r="B220" s="3">
        <v>400448</v>
      </c>
      <c r="C220" s="3" t="str">
        <f>VLOOKUP(B220,[1]ورقة5!$B:$C,2,0)</f>
        <v>إعارة</v>
      </c>
      <c r="D220" s="3" t="s">
        <v>26</v>
      </c>
      <c r="E220" s="3" t="s">
        <v>27</v>
      </c>
      <c r="F220" s="3" t="s">
        <v>71</v>
      </c>
      <c r="G220" s="3">
        <v>1518.7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/>
      <c r="N220" s="3">
        <v>0</v>
      </c>
      <c r="O220" s="3">
        <v>2675.9</v>
      </c>
      <c r="P220" s="3">
        <v>6763.08</v>
      </c>
      <c r="Q220" s="3">
        <f t="shared" si="3"/>
        <v>10957.68</v>
      </c>
    </row>
    <row r="221" spans="1:17" x14ac:dyDescent="0.2">
      <c r="A221" s="3">
        <v>220</v>
      </c>
      <c r="B221" s="3">
        <v>400449</v>
      </c>
      <c r="C221" s="3" t="str">
        <f>VLOOKUP(B221,[1]ورقة5!$B:$C,2,0)</f>
        <v>إعارة</v>
      </c>
      <c r="D221" s="3" t="s">
        <v>26</v>
      </c>
      <c r="E221" s="3" t="s">
        <v>31</v>
      </c>
      <c r="F221" s="3" t="s">
        <v>19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/>
      <c r="N221" s="3">
        <v>657.98</v>
      </c>
      <c r="O221" s="3">
        <v>5134.72</v>
      </c>
      <c r="P221" s="3">
        <v>5346.27</v>
      </c>
      <c r="Q221" s="3">
        <f t="shared" si="3"/>
        <v>11138.970000000001</v>
      </c>
    </row>
    <row r="222" spans="1:17" x14ac:dyDescent="0.2">
      <c r="A222" s="3">
        <v>221</v>
      </c>
      <c r="B222" s="3">
        <v>400450</v>
      </c>
      <c r="C222" s="3" t="str">
        <f>VLOOKUP(B222,[1]ورقة5!$B:$C,2,0)</f>
        <v>إعارة</v>
      </c>
      <c r="D222" s="3" t="s">
        <v>26</v>
      </c>
      <c r="E222" s="3" t="s">
        <v>27</v>
      </c>
      <c r="F222" s="3" t="s">
        <v>58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/>
      <c r="N222" s="3">
        <v>461.91</v>
      </c>
      <c r="O222" s="3">
        <v>3598.88</v>
      </c>
      <c r="P222" s="3">
        <v>3675.07</v>
      </c>
      <c r="Q222" s="3">
        <f t="shared" si="3"/>
        <v>7735.8600000000006</v>
      </c>
    </row>
    <row r="223" spans="1:17" x14ac:dyDescent="0.2">
      <c r="A223" s="3">
        <v>222</v>
      </c>
      <c r="B223" s="3">
        <v>400451</v>
      </c>
      <c r="C223" s="3" t="str">
        <f>VLOOKUP(B223,[1]ورقة5!$B:$C,2,0)</f>
        <v>إعارة</v>
      </c>
      <c r="D223" s="3" t="s">
        <v>36</v>
      </c>
      <c r="E223" s="3" t="s">
        <v>72</v>
      </c>
      <c r="F223" s="3" t="s">
        <v>38</v>
      </c>
      <c r="G223" s="3">
        <v>0</v>
      </c>
      <c r="H223" s="3">
        <v>569.54</v>
      </c>
      <c r="I223" s="3">
        <v>0</v>
      </c>
      <c r="J223" s="3">
        <v>0</v>
      </c>
      <c r="K223" s="3">
        <v>0</v>
      </c>
      <c r="L223" s="3">
        <v>0</v>
      </c>
      <c r="M223" s="3"/>
      <c r="N223" s="3">
        <v>0</v>
      </c>
      <c r="O223" s="3">
        <v>0</v>
      </c>
      <c r="P223" s="3">
        <v>6142.91</v>
      </c>
      <c r="Q223" s="3">
        <f t="shared" si="3"/>
        <v>6712.45</v>
      </c>
    </row>
    <row r="224" spans="1:17" x14ac:dyDescent="0.2">
      <c r="A224" s="3">
        <v>223</v>
      </c>
      <c r="B224" s="3">
        <v>400453</v>
      </c>
      <c r="C224" s="3" t="str">
        <f>VLOOKUP(B224,[1]ورقة5!$B:$C,2,0)</f>
        <v>إعارة</v>
      </c>
      <c r="D224" s="3" t="s">
        <v>36</v>
      </c>
      <c r="E224" s="3" t="s">
        <v>72</v>
      </c>
      <c r="F224" s="3" t="s">
        <v>38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/>
      <c r="N224" s="3">
        <v>0</v>
      </c>
      <c r="O224" s="3">
        <v>0</v>
      </c>
      <c r="P224" s="3">
        <v>7386.49</v>
      </c>
      <c r="Q224" s="3">
        <f t="shared" si="3"/>
        <v>7386.49</v>
      </c>
    </row>
    <row r="225" spans="1:17" x14ac:dyDescent="0.2">
      <c r="A225" s="3">
        <v>224</v>
      </c>
      <c r="B225" s="3">
        <v>400454</v>
      </c>
      <c r="C225" s="3" t="str">
        <f>VLOOKUP(B225,[1]ورقة5!$B:$C,2,0)</f>
        <v>إعارة</v>
      </c>
      <c r="D225" s="3" t="s">
        <v>36</v>
      </c>
      <c r="E225" s="3" t="s">
        <v>72</v>
      </c>
      <c r="F225" s="3" t="s">
        <v>38</v>
      </c>
      <c r="G225" s="3">
        <v>4041.7700000000004</v>
      </c>
      <c r="H225" s="3">
        <v>926.51</v>
      </c>
      <c r="I225" s="3">
        <v>1649.37</v>
      </c>
      <c r="J225" s="3">
        <v>571.39</v>
      </c>
      <c r="K225" s="3">
        <v>948.26</v>
      </c>
      <c r="L225" s="3">
        <v>210.86</v>
      </c>
      <c r="M225" s="3"/>
      <c r="N225" s="3">
        <v>0</v>
      </c>
      <c r="O225" s="3">
        <v>0</v>
      </c>
      <c r="P225" s="3">
        <v>10588.06</v>
      </c>
      <c r="Q225" s="3">
        <f t="shared" si="3"/>
        <v>18936.22</v>
      </c>
    </row>
    <row r="226" spans="1:17" x14ac:dyDescent="0.2">
      <c r="A226" s="3">
        <v>225</v>
      </c>
      <c r="B226" s="3">
        <v>400455</v>
      </c>
      <c r="C226" s="3" t="str">
        <f>VLOOKUP(B226,[1]ورقة5!$B:$C,2,0)</f>
        <v>إعارة</v>
      </c>
      <c r="D226" s="3" t="s">
        <v>36</v>
      </c>
      <c r="E226" s="3" t="s">
        <v>72</v>
      </c>
      <c r="F226" s="3" t="s">
        <v>38</v>
      </c>
      <c r="G226" s="3">
        <v>0</v>
      </c>
      <c r="H226" s="3">
        <v>266.72000000000003</v>
      </c>
      <c r="I226" s="3">
        <v>0</v>
      </c>
      <c r="J226" s="3">
        <v>0</v>
      </c>
      <c r="K226" s="3">
        <v>533.44000000000005</v>
      </c>
      <c r="L226" s="3">
        <v>0</v>
      </c>
      <c r="M226" s="3"/>
      <c r="N226" s="3">
        <v>0</v>
      </c>
      <c r="O226" s="3">
        <v>3976.39</v>
      </c>
      <c r="P226" s="3">
        <v>9576.4500000000007</v>
      </c>
      <c r="Q226" s="3">
        <f t="shared" si="3"/>
        <v>14353</v>
      </c>
    </row>
    <row r="227" spans="1:17" x14ac:dyDescent="0.2">
      <c r="A227" s="3">
        <v>226</v>
      </c>
      <c r="B227" s="3">
        <v>400456</v>
      </c>
      <c r="C227" s="3" t="str">
        <f>VLOOKUP(B227,[1]ورقة5!$B:$C,2,0)</f>
        <v>إعارة</v>
      </c>
      <c r="D227" s="3" t="s">
        <v>36</v>
      </c>
      <c r="E227" s="3" t="s">
        <v>72</v>
      </c>
      <c r="F227" s="3" t="s">
        <v>38</v>
      </c>
      <c r="G227" s="3">
        <v>301.16000000000003</v>
      </c>
      <c r="H227" s="3">
        <v>1297.25</v>
      </c>
      <c r="I227" s="3">
        <v>347.47</v>
      </c>
      <c r="J227" s="3">
        <v>301.16000000000003</v>
      </c>
      <c r="K227" s="3">
        <v>416.92</v>
      </c>
      <c r="L227" s="3">
        <v>301.16000000000003</v>
      </c>
      <c r="M227" s="3"/>
      <c r="N227" s="3">
        <v>0</v>
      </c>
      <c r="O227" s="3">
        <v>4516.1400000000003</v>
      </c>
      <c r="P227" s="3">
        <v>10862.65</v>
      </c>
      <c r="Q227" s="3">
        <f t="shared" si="3"/>
        <v>18343.91</v>
      </c>
    </row>
    <row r="228" spans="1:17" x14ac:dyDescent="0.2">
      <c r="A228" s="3">
        <v>227</v>
      </c>
      <c r="B228" s="3">
        <v>400457</v>
      </c>
      <c r="C228" s="3" t="str">
        <f>VLOOKUP(B228,[1]ورقة5!$B:$C,2,0)</f>
        <v>إعارة</v>
      </c>
      <c r="D228" s="3" t="s">
        <v>36</v>
      </c>
      <c r="E228" s="3" t="s">
        <v>72</v>
      </c>
      <c r="F228" s="3" t="s">
        <v>38</v>
      </c>
      <c r="G228" s="3">
        <v>0</v>
      </c>
      <c r="H228" s="3">
        <v>857.26</v>
      </c>
      <c r="I228" s="3">
        <v>0</v>
      </c>
      <c r="J228" s="3">
        <v>0</v>
      </c>
      <c r="K228" s="3">
        <v>0</v>
      </c>
      <c r="L228" s="3">
        <v>0</v>
      </c>
      <c r="M228" s="3"/>
      <c r="N228" s="3">
        <v>0</v>
      </c>
      <c r="O228" s="3">
        <v>0</v>
      </c>
      <c r="P228" s="3">
        <v>9569.23</v>
      </c>
      <c r="Q228" s="3">
        <f t="shared" si="3"/>
        <v>10426.49</v>
      </c>
    </row>
    <row r="229" spans="1:17" x14ac:dyDescent="0.2">
      <c r="A229" s="3">
        <v>228</v>
      </c>
      <c r="B229" s="3">
        <v>400459</v>
      </c>
      <c r="C229" s="3" t="str">
        <f>VLOOKUP(B229,[1]ورقة5!$B:$C,2,0)</f>
        <v>إعارة</v>
      </c>
      <c r="D229" s="3" t="s">
        <v>36</v>
      </c>
      <c r="E229" s="3" t="s">
        <v>72</v>
      </c>
      <c r="F229" s="3" t="s">
        <v>38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/>
      <c r="N229" s="3">
        <v>0</v>
      </c>
      <c r="O229" s="3">
        <v>0</v>
      </c>
      <c r="P229" s="3">
        <v>5931.78</v>
      </c>
      <c r="Q229" s="3">
        <f t="shared" si="3"/>
        <v>5931.78</v>
      </c>
    </row>
    <row r="230" spans="1:17" x14ac:dyDescent="0.2">
      <c r="A230" s="3">
        <v>229</v>
      </c>
      <c r="B230" s="3">
        <v>400460</v>
      </c>
      <c r="C230" s="3" t="str">
        <f>VLOOKUP(B230,[1]ورقة5!$B:$C,2,0)</f>
        <v>إعارة</v>
      </c>
      <c r="D230" s="3" t="s">
        <v>36</v>
      </c>
      <c r="E230" s="3" t="s">
        <v>72</v>
      </c>
      <c r="F230" s="3" t="s">
        <v>38</v>
      </c>
      <c r="G230" s="3">
        <v>2519.8500000000004</v>
      </c>
      <c r="H230" s="3">
        <v>3387.6499999999996</v>
      </c>
      <c r="I230" s="3">
        <v>1752.15</v>
      </c>
      <c r="J230" s="3">
        <v>1336.7</v>
      </c>
      <c r="K230" s="3">
        <v>0</v>
      </c>
      <c r="L230" s="3">
        <v>0</v>
      </c>
      <c r="M230" s="3"/>
      <c r="N230" s="3">
        <v>0</v>
      </c>
      <c r="O230" s="3">
        <v>3771.72</v>
      </c>
      <c r="P230" s="3">
        <v>9088.7099999999991</v>
      </c>
      <c r="Q230" s="3">
        <f t="shared" si="3"/>
        <v>21856.78</v>
      </c>
    </row>
    <row r="231" spans="1:17" x14ac:dyDescent="0.2">
      <c r="A231" s="3">
        <v>230</v>
      </c>
      <c r="B231" s="3">
        <v>400461</v>
      </c>
      <c r="C231" s="3" t="str">
        <f>VLOOKUP(B231,[1]ورقة5!$B:$C,2,0)</f>
        <v>إعارة</v>
      </c>
      <c r="D231" s="3" t="s">
        <v>36</v>
      </c>
      <c r="E231" s="3" t="s">
        <v>72</v>
      </c>
      <c r="F231" s="3" t="s">
        <v>38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/>
      <c r="N231" s="3">
        <v>0</v>
      </c>
      <c r="O231" s="3">
        <v>0</v>
      </c>
      <c r="P231" s="3">
        <v>6778.78</v>
      </c>
      <c r="Q231" s="3">
        <f t="shared" si="3"/>
        <v>6778.78</v>
      </c>
    </row>
    <row r="232" spans="1:17" x14ac:dyDescent="0.2">
      <c r="A232" s="3">
        <v>231</v>
      </c>
      <c r="B232" s="3">
        <v>400463</v>
      </c>
      <c r="C232" s="3" t="str">
        <f>VLOOKUP(B232,[1]ورقة5!$B:$C,2,0)</f>
        <v>إعارة</v>
      </c>
      <c r="D232" s="3" t="s">
        <v>36</v>
      </c>
      <c r="E232" s="3" t="s">
        <v>72</v>
      </c>
      <c r="F232" s="3" t="s">
        <v>38</v>
      </c>
      <c r="G232" s="3">
        <v>469.54999999999995</v>
      </c>
      <c r="H232" s="3">
        <v>502.08</v>
      </c>
      <c r="I232" s="3">
        <v>0</v>
      </c>
      <c r="J232" s="3">
        <v>0</v>
      </c>
      <c r="K232" s="3">
        <v>0</v>
      </c>
      <c r="L232" s="3">
        <v>251.04</v>
      </c>
      <c r="M232" s="3"/>
      <c r="N232" s="3">
        <v>0</v>
      </c>
      <c r="O232" s="3">
        <v>3221.36</v>
      </c>
      <c r="P232" s="3">
        <v>5313.3</v>
      </c>
      <c r="Q232" s="3">
        <f t="shared" si="3"/>
        <v>9757.33</v>
      </c>
    </row>
    <row r="233" spans="1:17" x14ac:dyDescent="0.2">
      <c r="A233" s="3">
        <v>232</v>
      </c>
      <c r="B233" s="3">
        <v>400464</v>
      </c>
      <c r="C233" s="3" t="str">
        <f>VLOOKUP(B233,[1]ورقة5!$B:$C,2,0)</f>
        <v>إعارة</v>
      </c>
      <c r="D233" s="3" t="s">
        <v>36</v>
      </c>
      <c r="E233" s="3" t="s">
        <v>41</v>
      </c>
      <c r="F233" s="3" t="s">
        <v>73</v>
      </c>
      <c r="G233" s="3">
        <v>0</v>
      </c>
      <c r="H233" s="3">
        <v>0</v>
      </c>
      <c r="I233" s="3">
        <v>0</v>
      </c>
      <c r="J233" s="3">
        <v>0</v>
      </c>
      <c r="K233" s="3">
        <v>331.7</v>
      </c>
      <c r="L233" s="3">
        <v>0</v>
      </c>
      <c r="M233" s="3"/>
      <c r="N233" s="3">
        <v>0</v>
      </c>
      <c r="O233" s="3">
        <v>5881.84</v>
      </c>
      <c r="P233" s="3">
        <v>0</v>
      </c>
      <c r="Q233" s="3">
        <f t="shared" si="3"/>
        <v>6213.54</v>
      </c>
    </row>
    <row r="234" spans="1:17" x14ac:dyDescent="0.2">
      <c r="A234" s="3">
        <v>233</v>
      </c>
      <c r="B234" s="3">
        <v>400465</v>
      </c>
      <c r="C234" s="3" t="str">
        <f>VLOOKUP(B234,[1]ورقة5!$B:$C,2,0)</f>
        <v>إعارة</v>
      </c>
      <c r="D234" s="3" t="s">
        <v>36</v>
      </c>
      <c r="E234" s="3" t="s">
        <v>41</v>
      </c>
      <c r="F234" s="3" t="s">
        <v>73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/>
      <c r="N234" s="3">
        <v>0</v>
      </c>
      <c r="O234" s="3">
        <v>0</v>
      </c>
      <c r="P234" s="3">
        <v>3588.97</v>
      </c>
      <c r="Q234" s="3">
        <f t="shared" si="3"/>
        <v>3588.97</v>
      </c>
    </row>
    <row r="235" spans="1:17" x14ac:dyDescent="0.2">
      <c r="A235" s="3">
        <v>234</v>
      </c>
      <c r="B235" s="3">
        <v>400467</v>
      </c>
      <c r="C235" s="3" t="str">
        <f>VLOOKUP(B235,[1]ورقة5!$B:$C,2,0)</f>
        <v>إعارة</v>
      </c>
      <c r="D235" s="3" t="s">
        <v>36</v>
      </c>
      <c r="E235" s="3" t="s">
        <v>41</v>
      </c>
      <c r="F235" s="3" t="s">
        <v>73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/>
      <c r="N235" s="3">
        <v>0</v>
      </c>
      <c r="O235" s="3">
        <v>5289.36</v>
      </c>
      <c r="P235" s="3">
        <v>0</v>
      </c>
      <c r="Q235" s="3">
        <f t="shared" si="3"/>
        <v>5289.36</v>
      </c>
    </row>
    <row r="236" spans="1:17" x14ac:dyDescent="0.2">
      <c r="A236" s="3">
        <v>235</v>
      </c>
      <c r="B236" s="3">
        <v>400471</v>
      </c>
      <c r="C236" s="3" t="str">
        <f>VLOOKUP(B236,[1]ورقة5!$B:$C,2,0)</f>
        <v>إعارة</v>
      </c>
      <c r="D236" s="3" t="s">
        <v>36</v>
      </c>
      <c r="E236" s="3" t="s">
        <v>41</v>
      </c>
      <c r="F236" s="3" t="s">
        <v>74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/>
      <c r="N236" s="3">
        <v>0</v>
      </c>
      <c r="O236" s="3">
        <v>0</v>
      </c>
      <c r="P236" s="3">
        <v>7181.17</v>
      </c>
      <c r="Q236" s="3">
        <f t="shared" si="3"/>
        <v>7181.17</v>
      </c>
    </row>
    <row r="237" spans="1:17" x14ac:dyDescent="0.2">
      <c r="A237" s="3">
        <v>236</v>
      </c>
      <c r="B237" s="3">
        <v>400472</v>
      </c>
      <c r="C237" s="3" t="str">
        <f>VLOOKUP(B237,[1]ورقة5!$B:$C,2,0)</f>
        <v>إعارة</v>
      </c>
      <c r="D237" s="3" t="s">
        <v>36</v>
      </c>
      <c r="E237" s="3" t="s">
        <v>41</v>
      </c>
      <c r="F237" s="3" t="s">
        <v>74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/>
      <c r="N237" s="3">
        <v>0</v>
      </c>
      <c r="O237" s="3">
        <v>0</v>
      </c>
      <c r="P237" s="3">
        <v>7186.34</v>
      </c>
      <c r="Q237" s="3">
        <f t="shared" si="3"/>
        <v>7186.34</v>
      </c>
    </row>
    <row r="238" spans="1:17" x14ac:dyDescent="0.2">
      <c r="A238" s="3">
        <v>237</v>
      </c>
      <c r="B238" s="3">
        <v>400473</v>
      </c>
      <c r="C238" s="3" t="str">
        <f>VLOOKUP(B238,[1]ورقة5!$B:$C,2,0)</f>
        <v>إعارة</v>
      </c>
      <c r="D238" s="3" t="s">
        <v>36</v>
      </c>
      <c r="E238" s="3" t="s">
        <v>41</v>
      </c>
      <c r="F238" s="3" t="s">
        <v>74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/>
      <c r="N238" s="3">
        <v>0</v>
      </c>
      <c r="O238" s="3">
        <v>0</v>
      </c>
      <c r="P238" s="3">
        <v>5054.9799999999996</v>
      </c>
      <c r="Q238" s="3">
        <f t="shared" si="3"/>
        <v>5054.9799999999996</v>
      </c>
    </row>
    <row r="239" spans="1:17" x14ac:dyDescent="0.2">
      <c r="A239" s="3">
        <v>238</v>
      </c>
      <c r="B239" s="3">
        <v>400474</v>
      </c>
      <c r="C239" s="3" t="str">
        <f>VLOOKUP(B239,[1]ورقة5!$B:$C,2,0)</f>
        <v>إعارة</v>
      </c>
      <c r="D239" s="3" t="s">
        <v>36</v>
      </c>
      <c r="E239" s="3" t="s">
        <v>41</v>
      </c>
      <c r="F239" s="3" t="s">
        <v>74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/>
      <c r="N239" s="3">
        <v>0</v>
      </c>
      <c r="O239" s="3">
        <v>0</v>
      </c>
      <c r="P239" s="3">
        <v>7401.48</v>
      </c>
      <c r="Q239" s="3">
        <f t="shared" si="3"/>
        <v>7401.48</v>
      </c>
    </row>
    <row r="240" spans="1:17" x14ac:dyDescent="0.2">
      <c r="A240" s="3">
        <v>239</v>
      </c>
      <c r="B240" s="3">
        <v>400475</v>
      </c>
      <c r="C240" s="3" t="str">
        <f>VLOOKUP(B240,[1]ورقة5!$B:$C,2,0)</f>
        <v>إعارة</v>
      </c>
      <c r="D240" s="3" t="s">
        <v>36</v>
      </c>
      <c r="E240" s="3" t="s">
        <v>41</v>
      </c>
      <c r="F240" s="3" t="s">
        <v>75</v>
      </c>
      <c r="G240" s="3">
        <v>2588.17</v>
      </c>
      <c r="H240" s="3">
        <v>2611.5</v>
      </c>
      <c r="I240" s="3">
        <v>1240.8900000000001</v>
      </c>
      <c r="J240" s="3">
        <v>3721.8199999999997</v>
      </c>
      <c r="K240" s="3">
        <v>675.35</v>
      </c>
      <c r="L240" s="3">
        <v>0</v>
      </c>
      <c r="M240" s="3"/>
      <c r="N240" s="3">
        <v>0</v>
      </c>
      <c r="O240" s="3">
        <v>4228.07</v>
      </c>
      <c r="P240" s="3">
        <v>0</v>
      </c>
      <c r="Q240" s="3">
        <f t="shared" si="3"/>
        <v>15065.800000000001</v>
      </c>
    </row>
    <row r="241" spans="1:17" x14ac:dyDescent="0.2">
      <c r="A241" s="3">
        <v>240</v>
      </c>
      <c r="B241" s="3">
        <v>400476</v>
      </c>
      <c r="C241" s="3" t="str">
        <f>VLOOKUP(B241,[1]ورقة5!$B:$C,2,0)</f>
        <v>إعارة</v>
      </c>
      <c r="D241" s="3" t="s">
        <v>36</v>
      </c>
      <c r="E241" s="3" t="s">
        <v>41</v>
      </c>
      <c r="F241" s="3" t="s">
        <v>75</v>
      </c>
      <c r="G241" s="3">
        <v>0</v>
      </c>
      <c r="H241" s="3">
        <v>0</v>
      </c>
      <c r="I241" s="3">
        <v>0</v>
      </c>
      <c r="J241" s="3">
        <v>331.38</v>
      </c>
      <c r="K241" s="3">
        <v>0</v>
      </c>
      <c r="L241" s="3">
        <v>0</v>
      </c>
      <c r="M241" s="3"/>
      <c r="N241" s="3">
        <v>0</v>
      </c>
      <c r="O241" s="3">
        <v>4258.3900000000003</v>
      </c>
      <c r="P241" s="3">
        <v>2602.94</v>
      </c>
      <c r="Q241" s="3">
        <f t="shared" si="3"/>
        <v>7192.7100000000009</v>
      </c>
    </row>
    <row r="242" spans="1:17" x14ac:dyDescent="0.2">
      <c r="A242" s="3">
        <v>241</v>
      </c>
      <c r="B242" s="3">
        <v>400478</v>
      </c>
      <c r="C242" s="3" t="str">
        <f>VLOOKUP(B242,[1]ورقة5!$B:$C,2,0)</f>
        <v>إعارة</v>
      </c>
      <c r="D242" s="3" t="s">
        <v>36</v>
      </c>
      <c r="E242" s="3" t="s">
        <v>41</v>
      </c>
      <c r="F242" s="3" t="s">
        <v>75</v>
      </c>
      <c r="G242" s="3">
        <v>368.64</v>
      </c>
      <c r="H242" s="3">
        <v>0</v>
      </c>
      <c r="I242" s="3">
        <v>338.89</v>
      </c>
      <c r="J242" s="3">
        <v>0</v>
      </c>
      <c r="K242" s="3">
        <v>203.65</v>
      </c>
      <c r="L242" s="3">
        <v>293.81</v>
      </c>
      <c r="M242" s="3"/>
      <c r="N242" s="3">
        <v>0</v>
      </c>
      <c r="O242" s="3">
        <v>0</v>
      </c>
      <c r="P242" s="3">
        <v>0</v>
      </c>
      <c r="Q242" s="3">
        <f t="shared" si="3"/>
        <v>1204.99</v>
      </c>
    </row>
    <row r="243" spans="1:17" x14ac:dyDescent="0.2">
      <c r="A243" s="3">
        <v>242</v>
      </c>
      <c r="B243" s="3">
        <v>400480</v>
      </c>
      <c r="C243" s="3" t="str">
        <f>VLOOKUP(B243,[1]ورقة5!$B:$C,2,0)</f>
        <v>إعارة</v>
      </c>
      <c r="D243" s="3" t="s">
        <v>36</v>
      </c>
      <c r="E243" s="3" t="s">
        <v>41</v>
      </c>
      <c r="F243" s="3" t="s">
        <v>76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  <c r="M243" s="3"/>
      <c r="N243" s="3">
        <v>0</v>
      </c>
      <c r="O243" s="3">
        <v>3724.72</v>
      </c>
      <c r="P243" s="3">
        <v>3876.27</v>
      </c>
      <c r="Q243" s="3">
        <f t="shared" si="3"/>
        <v>7600.99</v>
      </c>
    </row>
    <row r="244" spans="1:17" x14ac:dyDescent="0.2">
      <c r="A244" s="3">
        <v>243</v>
      </c>
      <c r="B244" s="3">
        <v>400488</v>
      </c>
      <c r="C244" s="3" t="str">
        <f>VLOOKUP(B244,[1]ورقة5!$B:$C,2,0)</f>
        <v>إعارة</v>
      </c>
      <c r="D244" s="3" t="s">
        <v>36</v>
      </c>
      <c r="E244" s="3" t="s">
        <v>41</v>
      </c>
      <c r="F244" s="3" t="s">
        <v>77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/>
      <c r="N244" s="3">
        <v>0</v>
      </c>
      <c r="O244" s="3">
        <v>0</v>
      </c>
      <c r="P244" s="3">
        <v>3138.23</v>
      </c>
      <c r="Q244" s="3">
        <f t="shared" si="3"/>
        <v>3138.23</v>
      </c>
    </row>
    <row r="245" spans="1:17" x14ac:dyDescent="0.2">
      <c r="A245" s="3">
        <v>244</v>
      </c>
      <c r="B245" s="3">
        <v>400490</v>
      </c>
      <c r="C245" s="3" t="str">
        <f>VLOOKUP(B245,[1]ورقة5!$B:$C,2,0)</f>
        <v>إعارة</v>
      </c>
      <c r="D245" s="3" t="s">
        <v>36</v>
      </c>
      <c r="E245" s="3" t="s">
        <v>41</v>
      </c>
      <c r="F245" s="3" t="s">
        <v>77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  <c r="M245" s="3"/>
      <c r="N245" s="3">
        <v>0</v>
      </c>
      <c r="O245" s="3">
        <v>3611.06</v>
      </c>
      <c r="P245" s="3">
        <v>0</v>
      </c>
      <c r="Q245" s="3">
        <f t="shared" si="3"/>
        <v>3611.06</v>
      </c>
    </row>
    <row r="246" spans="1:17" x14ac:dyDescent="0.2">
      <c r="A246" s="3">
        <v>245</v>
      </c>
      <c r="B246" s="3">
        <v>400492</v>
      </c>
      <c r="C246" s="3" t="str">
        <f>VLOOKUP(B246,[1]ورقة5!$B:$C,2,0)</f>
        <v>إعارة</v>
      </c>
      <c r="D246" s="3" t="s">
        <v>36</v>
      </c>
      <c r="E246" s="3" t="s">
        <v>41</v>
      </c>
      <c r="F246" s="3" t="s">
        <v>78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  <c r="M246" s="3"/>
      <c r="N246" s="3">
        <v>0</v>
      </c>
      <c r="O246" s="3">
        <v>3212.85</v>
      </c>
      <c r="P246" s="3">
        <v>2602.94</v>
      </c>
      <c r="Q246" s="3">
        <f t="shared" si="3"/>
        <v>5815.79</v>
      </c>
    </row>
    <row r="247" spans="1:17" x14ac:dyDescent="0.2">
      <c r="A247" s="3">
        <v>246</v>
      </c>
      <c r="B247" s="3">
        <v>400493</v>
      </c>
      <c r="C247" s="3" t="str">
        <f>VLOOKUP(B247,[1]ورقة5!$B:$C,2,0)</f>
        <v>إعارة</v>
      </c>
      <c r="D247" s="3" t="s">
        <v>36</v>
      </c>
      <c r="E247" s="3" t="s">
        <v>41</v>
      </c>
      <c r="F247" s="3" t="s">
        <v>79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/>
      <c r="N247" s="3">
        <v>0</v>
      </c>
      <c r="O247" s="3">
        <v>1922.38</v>
      </c>
      <c r="P247" s="3">
        <v>1192.4100000000001</v>
      </c>
      <c r="Q247" s="3">
        <f t="shared" si="3"/>
        <v>3114.79</v>
      </c>
    </row>
    <row r="248" spans="1:17" x14ac:dyDescent="0.2">
      <c r="A248" s="3">
        <v>247</v>
      </c>
      <c r="B248" s="3">
        <v>400496</v>
      </c>
      <c r="C248" s="3" t="str">
        <f>VLOOKUP(B248,[1]ورقة5!$B:$C,2,0)</f>
        <v>إعارة</v>
      </c>
      <c r="D248" s="3" t="s">
        <v>36</v>
      </c>
      <c r="E248" s="3" t="s">
        <v>41</v>
      </c>
      <c r="F248" s="3" t="s">
        <v>80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/>
      <c r="N248" s="3">
        <v>0</v>
      </c>
      <c r="O248" s="3">
        <v>0</v>
      </c>
      <c r="P248" s="3">
        <v>2210.04</v>
      </c>
      <c r="Q248" s="3">
        <f t="shared" si="3"/>
        <v>2210.04</v>
      </c>
    </row>
    <row r="249" spans="1:17" x14ac:dyDescent="0.2">
      <c r="A249" s="3">
        <v>248</v>
      </c>
      <c r="B249" s="3">
        <v>400497</v>
      </c>
      <c r="C249" s="3" t="str">
        <f>VLOOKUP(B249,[1]ورقة5!$B:$C,2,0)</f>
        <v>إعارة</v>
      </c>
      <c r="D249" s="3" t="s">
        <v>36</v>
      </c>
      <c r="E249" s="3" t="s">
        <v>41</v>
      </c>
      <c r="F249" s="3" t="s">
        <v>81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/>
      <c r="N249" s="3">
        <v>0</v>
      </c>
      <c r="O249" s="3">
        <v>0</v>
      </c>
      <c r="P249" s="3">
        <v>3187.1</v>
      </c>
      <c r="Q249" s="3">
        <f t="shared" si="3"/>
        <v>3187.1</v>
      </c>
    </row>
    <row r="250" spans="1:17" x14ac:dyDescent="0.2">
      <c r="A250" s="3">
        <v>249</v>
      </c>
      <c r="B250" s="3">
        <v>400500</v>
      </c>
      <c r="C250" s="3" t="str">
        <f>VLOOKUP(B250,[1]ورقة5!$B:$C,2,0)</f>
        <v>إعارة</v>
      </c>
      <c r="D250" s="3" t="s">
        <v>36</v>
      </c>
      <c r="E250" s="3" t="s">
        <v>41</v>
      </c>
      <c r="F250" s="3" t="s">
        <v>81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/>
      <c r="N250" s="3">
        <v>0</v>
      </c>
      <c r="O250" s="3">
        <v>2502.4299999999998</v>
      </c>
      <c r="P250" s="3">
        <v>0</v>
      </c>
      <c r="Q250" s="3">
        <f t="shared" si="3"/>
        <v>2502.4299999999998</v>
      </c>
    </row>
    <row r="251" spans="1:17" x14ac:dyDescent="0.2">
      <c r="A251" s="3">
        <v>250</v>
      </c>
      <c r="B251" s="3">
        <v>400501</v>
      </c>
      <c r="C251" s="3" t="str">
        <f>VLOOKUP(B251,[1]ورقة5!$B:$C,2,0)</f>
        <v>إعارة</v>
      </c>
      <c r="D251" s="3" t="s">
        <v>36</v>
      </c>
      <c r="E251" s="3" t="s">
        <v>41</v>
      </c>
      <c r="F251" s="3" t="s">
        <v>82</v>
      </c>
      <c r="G251" s="3">
        <v>0</v>
      </c>
      <c r="H251" s="3">
        <v>0</v>
      </c>
      <c r="I251" s="3">
        <v>0</v>
      </c>
      <c r="J251" s="3">
        <v>203.65</v>
      </c>
      <c r="K251" s="3">
        <v>0</v>
      </c>
      <c r="L251" s="3">
        <v>0</v>
      </c>
      <c r="M251" s="3"/>
      <c r="N251" s="3">
        <v>0</v>
      </c>
      <c r="O251" s="3">
        <v>4400.91</v>
      </c>
      <c r="P251" s="3">
        <v>2687.85</v>
      </c>
      <c r="Q251" s="3">
        <f t="shared" si="3"/>
        <v>7292.41</v>
      </c>
    </row>
    <row r="252" spans="1:17" x14ac:dyDescent="0.2">
      <c r="A252" s="3">
        <v>251</v>
      </c>
      <c r="B252" s="3">
        <v>400503</v>
      </c>
      <c r="C252" s="3" t="str">
        <f>VLOOKUP(B252,[1]ورقة5!$B:$C,2,0)</f>
        <v>إعارة</v>
      </c>
      <c r="D252" s="3" t="s">
        <v>36</v>
      </c>
      <c r="E252" s="3" t="s">
        <v>41</v>
      </c>
      <c r="F252" s="3" t="s">
        <v>82</v>
      </c>
      <c r="G252" s="3">
        <v>0</v>
      </c>
      <c r="H252" s="3">
        <v>0</v>
      </c>
      <c r="I252" s="3">
        <v>0</v>
      </c>
      <c r="J252" s="3">
        <v>89.48</v>
      </c>
      <c r="K252" s="3">
        <v>0</v>
      </c>
      <c r="L252" s="3">
        <v>0</v>
      </c>
      <c r="M252" s="3"/>
      <c r="N252" s="3">
        <v>0</v>
      </c>
      <c r="O252" s="3">
        <v>0</v>
      </c>
      <c r="P252" s="3">
        <v>0</v>
      </c>
      <c r="Q252" s="3">
        <f t="shared" si="3"/>
        <v>89.48</v>
      </c>
    </row>
    <row r="253" spans="1:17" x14ac:dyDescent="0.2">
      <c r="A253" s="3">
        <v>252</v>
      </c>
      <c r="B253" s="3">
        <v>400504</v>
      </c>
      <c r="C253" s="3" t="str">
        <f>VLOOKUP(B253,[1]ورقة5!$B:$C,2,0)</f>
        <v>إعارة</v>
      </c>
      <c r="D253" s="3" t="s">
        <v>36</v>
      </c>
      <c r="E253" s="3" t="s">
        <v>41</v>
      </c>
      <c r="F253" s="3" t="s">
        <v>83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/>
      <c r="N253" s="3">
        <v>0</v>
      </c>
      <c r="O253" s="3">
        <v>4258.3900000000003</v>
      </c>
      <c r="P253" s="3">
        <v>2602.94</v>
      </c>
      <c r="Q253" s="3">
        <f t="shared" si="3"/>
        <v>6861.33</v>
      </c>
    </row>
    <row r="254" spans="1:17" x14ac:dyDescent="0.2">
      <c r="A254" s="3">
        <v>253</v>
      </c>
      <c r="B254" s="3">
        <v>400509</v>
      </c>
      <c r="C254" s="3" t="str">
        <f>VLOOKUP(B254,[1]ورقة5!$B:$C,2,0)</f>
        <v>إعارة</v>
      </c>
      <c r="D254" s="3" t="s">
        <v>36</v>
      </c>
      <c r="E254" s="3" t="s">
        <v>41</v>
      </c>
      <c r="F254" s="3" t="s">
        <v>84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/>
      <c r="N254" s="3">
        <v>0</v>
      </c>
      <c r="O254" s="3">
        <v>2876.63</v>
      </c>
      <c r="P254" s="3">
        <v>0</v>
      </c>
      <c r="Q254" s="3">
        <f t="shared" si="3"/>
        <v>2876.63</v>
      </c>
    </row>
    <row r="255" spans="1:17" x14ac:dyDescent="0.2">
      <c r="A255" s="3">
        <v>254</v>
      </c>
      <c r="B255" s="3">
        <v>400512</v>
      </c>
      <c r="C255" s="3" t="str">
        <f>VLOOKUP(B255,[1]ورقة5!$B:$C,2,0)</f>
        <v>إعارة</v>
      </c>
      <c r="D255" s="3" t="s">
        <v>36</v>
      </c>
      <c r="E255" s="3" t="s">
        <v>41</v>
      </c>
      <c r="F255" s="3" t="s">
        <v>85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/>
      <c r="N255" s="3">
        <v>0</v>
      </c>
      <c r="O255" s="3">
        <v>0</v>
      </c>
      <c r="P255" s="3">
        <v>7479.23</v>
      </c>
      <c r="Q255" s="3">
        <f t="shared" si="3"/>
        <v>7479.23</v>
      </c>
    </row>
    <row r="256" spans="1:17" x14ac:dyDescent="0.2">
      <c r="A256" s="3">
        <v>255</v>
      </c>
      <c r="B256" s="3">
        <v>400513</v>
      </c>
      <c r="C256" s="3" t="str">
        <f>VLOOKUP(B256,[1]ورقة5!$B:$C,2,0)</f>
        <v>إعارة</v>
      </c>
      <c r="D256" s="3" t="s">
        <v>36</v>
      </c>
      <c r="E256" s="3" t="s">
        <v>41</v>
      </c>
      <c r="F256" s="3" t="s">
        <v>85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/>
      <c r="N256" s="3">
        <v>0</v>
      </c>
      <c r="O256" s="3">
        <v>0</v>
      </c>
      <c r="P256" s="3">
        <v>9569.23</v>
      </c>
      <c r="Q256" s="3">
        <f t="shared" si="3"/>
        <v>9569.23</v>
      </c>
    </row>
    <row r="257" spans="1:17" x14ac:dyDescent="0.2">
      <c r="A257" s="3">
        <v>256</v>
      </c>
      <c r="B257" s="3">
        <v>400532</v>
      </c>
      <c r="C257" s="3" t="str">
        <f>VLOOKUP(B257,[1]ورقة5!$B:$C,2,0)</f>
        <v>إعارة</v>
      </c>
      <c r="D257" s="3" t="s">
        <v>36</v>
      </c>
      <c r="E257" s="3" t="s">
        <v>41</v>
      </c>
      <c r="F257" s="3" t="s">
        <v>75</v>
      </c>
      <c r="G257" s="3">
        <v>764.02</v>
      </c>
      <c r="H257" s="3">
        <v>0</v>
      </c>
      <c r="I257" s="3">
        <v>913.16</v>
      </c>
      <c r="J257" s="3">
        <v>279.52999999999997</v>
      </c>
      <c r="K257" s="3">
        <v>0</v>
      </c>
      <c r="L257" s="3">
        <v>0</v>
      </c>
      <c r="M257" s="3"/>
      <c r="N257" s="3">
        <v>0</v>
      </c>
      <c r="O257" s="3">
        <v>0</v>
      </c>
      <c r="P257" s="3">
        <v>0</v>
      </c>
      <c r="Q257" s="3">
        <f t="shared" si="3"/>
        <v>1956.7099999999998</v>
      </c>
    </row>
    <row r="258" spans="1:17" x14ac:dyDescent="0.2">
      <c r="A258" s="3">
        <v>257</v>
      </c>
      <c r="B258" s="3">
        <v>400533</v>
      </c>
      <c r="C258" s="3" t="str">
        <f>VLOOKUP(B258,[1]ورقة5!$B:$C,2,0)</f>
        <v>إعارة</v>
      </c>
      <c r="D258" s="3" t="s">
        <v>36</v>
      </c>
      <c r="E258" s="3" t="s">
        <v>41</v>
      </c>
      <c r="F258" s="3" t="s">
        <v>86</v>
      </c>
      <c r="G258" s="3">
        <v>0</v>
      </c>
      <c r="H258" s="3">
        <v>310.19</v>
      </c>
      <c r="I258" s="3">
        <v>273.75</v>
      </c>
      <c r="J258" s="3">
        <v>76</v>
      </c>
      <c r="K258" s="3">
        <v>0</v>
      </c>
      <c r="L258" s="3">
        <v>0</v>
      </c>
      <c r="M258" s="3"/>
      <c r="N258" s="3">
        <v>0</v>
      </c>
      <c r="O258" s="3">
        <v>0</v>
      </c>
      <c r="P258" s="3">
        <v>0</v>
      </c>
      <c r="Q258" s="3">
        <f t="shared" si="3"/>
        <v>659.94</v>
      </c>
    </row>
    <row r="259" spans="1:17" x14ac:dyDescent="0.2">
      <c r="A259" s="3">
        <v>258</v>
      </c>
      <c r="B259" s="3">
        <v>400534</v>
      </c>
      <c r="C259" s="3" t="str">
        <f>VLOOKUP(B259,[1]ورقة5!$B:$C,2,0)</f>
        <v>إعارة</v>
      </c>
      <c r="D259" s="3" t="s">
        <v>36</v>
      </c>
      <c r="E259" s="3" t="s">
        <v>41</v>
      </c>
      <c r="F259" s="3" t="s">
        <v>87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/>
      <c r="N259" s="3">
        <v>0</v>
      </c>
      <c r="O259" s="3">
        <v>3545.81</v>
      </c>
      <c r="P259" s="3">
        <v>2178.4299999999998</v>
      </c>
      <c r="Q259" s="3">
        <f t="shared" ref="Q259:Q294" si="4">SUM(G259:P259)</f>
        <v>5724.24</v>
      </c>
    </row>
    <row r="260" spans="1:17" x14ac:dyDescent="0.2">
      <c r="A260" s="3">
        <v>259</v>
      </c>
      <c r="B260" s="3">
        <v>400543</v>
      </c>
      <c r="C260" s="3" t="str">
        <f>VLOOKUP(B260,[1]ورقة5!$B:$C,2,0)</f>
        <v>إعارة</v>
      </c>
      <c r="D260" s="3" t="s">
        <v>36</v>
      </c>
      <c r="E260" s="3" t="s">
        <v>41</v>
      </c>
      <c r="F260" s="3" t="s">
        <v>82</v>
      </c>
      <c r="G260" s="3">
        <v>0</v>
      </c>
      <c r="H260" s="3">
        <v>0</v>
      </c>
      <c r="I260" s="3">
        <v>0</v>
      </c>
      <c r="J260" s="3">
        <v>89.75</v>
      </c>
      <c r="K260" s="3">
        <v>0</v>
      </c>
      <c r="L260" s="3">
        <v>0</v>
      </c>
      <c r="M260" s="3"/>
      <c r="N260" s="3">
        <v>0</v>
      </c>
      <c r="O260" s="3">
        <v>0</v>
      </c>
      <c r="P260" s="3">
        <v>0</v>
      </c>
      <c r="Q260" s="3">
        <f t="shared" si="4"/>
        <v>89.75</v>
      </c>
    </row>
    <row r="261" spans="1:17" x14ac:dyDescent="0.2">
      <c r="A261" s="3">
        <v>260</v>
      </c>
      <c r="B261" s="3">
        <v>400546</v>
      </c>
      <c r="C261" s="3" t="str">
        <f>VLOOKUP(B261,[1]ورقة5!$B:$C,2,0)</f>
        <v>إعارة</v>
      </c>
      <c r="D261" s="3" t="s">
        <v>36</v>
      </c>
      <c r="E261" s="3" t="s">
        <v>41</v>
      </c>
      <c r="F261" s="3" t="s">
        <v>85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/>
      <c r="N261" s="3">
        <v>0</v>
      </c>
      <c r="O261" s="3">
        <v>0</v>
      </c>
      <c r="P261" s="3">
        <v>8954.65</v>
      </c>
      <c r="Q261" s="3">
        <f t="shared" si="4"/>
        <v>8954.65</v>
      </c>
    </row>
    <row r="262" spans="1:17" x14ac:dyDescent="0.2">
      <c r="A262" s="3">
        <v>261</v>
      </c>
      <c r="B262" s="3">
        <v>400548</v>
      </c>
      <c r="C262" s="3" t="str">
        <f>VLOOKUP(B262,[1]ورقة5!$B:$C,2,0)</f>
        <v>إعارة</v>
      </c>
      <c r="D262" s="3" t="s">
        <v>36</v>
      </c>
      <c r="E262" s="3" t="s">
        <v>41</v>
      </c>
      <c r="F262" s="3" t="s">
        <v>88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/>
      <c r="N262" s="3">
        <v>0</v>
      </c>
      <c r="O262" s="3">
        <v>0</v>
      </c>
      <c r="P262" s="3">
        <v>6439.32</v>
      </c>
      <c r="Q262" s="3">
        <f t="shared" si="4"/>
        <v>6439.32</v>
      </c>
    </row>
    <row r="263" spans="1:17" x14ac:dyDescent="0.2">
      <c r="A263" s="3">
        <v>262</v>
      </c>
      <c r="B263" s="3">
        <v>400564</v>
      </c>
      <c r="C263" s="3" t="str">
        <f>VLOOKUP(B263,[1]ورقة5!$B:$C,2,0)</f>
        <v>إعارة</v>
      </c>
      <c r="D263" s="3" t="s">
        <v>36</v>
      </c>
      <c r="E263" s="3" t="s">
        <v>41</v>
      </c>
      <c r="F263" s="3" t="s">
        <v>84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/>
      <c r="N263" s="3">
        <v>0</v>
      </c>
      <c r="O263" s="3">
        <v>0</v>
      </c>
      <c r="P263" s="3">
        <v>3986.91</v>
      </c>
      <c r="Q263" s="3">
        <f t="shared" si="4"/>
        <v>3986.91</v>
      </c>
    </row>
    <row r="264" spans="1:17" x14ac:dyDescent="0.2">
      <c r="A264" s="3">
        <v>263</v>
      </c>
      <c r="B264" s="3">
        <v>400573</v>
      </c>
      <c r="C264" s="3" t="str">
        <f>VLOOKUP(B264,[1]ورقة5!$B:$C,2,0)</f>
        <v>إعارة</v>
      </c>
      <c r="D264" s="3" t="s">
        <v>36</v>
      </c>
      <c r="E264" s="3" t="s">
        <v>41</v>
      </c>
      <c r="F264" s="3" t="s">
        <v>89</v>
      </c>
      <c r="G264" s="3">
        <v>302.89999999999998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/>
      <c r="N264" s="3">
        <v>0</v>
      </c>
      <c r="O264" s="3">
        <v>0</v>
      </c>
      <c r="P264" s="3">
        <v>0</v>
      </c>
      <c r="Q264" s="3">
        <f t="shared" si="4"/>
        <v>302.89999999999998</v>
      </c>
    </row>
    <row r="265" spans="1:17" x14ac:dyDescent="0.2">
      <c r="A265" s="3">
        <v>264</v>
      </c>
      <c r="B265" s="3">
        <v>400575</v>
      </c>
      <c r="C265" s="3" t="str">
        <f>VLOOKUP(B265,[1]ورقة5!$B:$C,2,0)</f>
        <v>إعارة</v>
      </c>
      <c r="D265" s="3" t="s">
        <v>36</v>
      </c>
      <c r="E265" s="3" t="s">
        <v>41</v>
      </c>
      <c r="F265" s="3" t="s">
        <v>90</v>
      </c>
      <c r="G265" s="3">
        <v>4174.7000000000007</v>
      </c>
      <c r="H265" s="3">
        <v>393.47</v>
      </c>
      <c r="I265" s="3">
        <v>2653.24</v>
      </c>
      <c r="J265" s="3">
        <v>2477.16</v>
      </c>
      <c r="K265" s="3">
        <v>712.04</v>
      </c>
      <c r="L265" s="3">
        <v>2843.65</v>
      </c>
      <c r="M265" s="3">
        <v>855.94</v>
      </c>
      <c r="N265" s="3">
        <v>6262.0500000000011</v>
      </c>
      <c r="O265" s="3">
        <v>5493.71</v>
      </c>
      <c r="P265" s="3">
        <v>3357.74</v>
      </c>
      <c r="Q265" s="3">
        <f t="shared" si="4"/>
        <v>29223.699999999997</v>
      </c>
    </row>
    <row r="266" spans="1:17" x14ac:dyDescent="0.2">
      <c r="A266" s="3">
        <v>265</v>
      </c>
      <c r="B266" s="3">
        <v>400576</v>
      </c>
      <c r="C266" s="3" t="str">
        <f>VLOOKUP(B266,[1]ورقة5!$B:$C,2,0)</f>
        <v>إعارة</v>
      </c>
      <c r="D266" s="3" t="s">
        <v>36</v>
      </c>
      <c r="E266" s="3" t="s">
        <v>41</v>
      </c>
      <c r="F266" s="3" t="s">
        <v>91</v>
      </c>
      <c r="G266" s="3">
        <v>0</v>
      </c>
      <c r="H266" s="3">
        <v>1207.74</v>
      </c>
      <c r="I266" s="3">
        <v>271.31</v>
      </c>
      <c r="J266" s="3">
        <v>1234.01</v>
      </c>
      <c r="K266" s="3">
        <v>471.19</v>
      </c>
      <c r="L266" s="3">
        <v>1720.24</v>
      </c>
      <c r="M266" s="3"/>
      <c r="N266" s="3">
        <v>0</v>
      </c>
      <c r="O266" s="3">
        <v>0</v>
      </c>
      <c r="P266" s="3">
        <v>0</v>
      </c>
      <c r="Q266" s="3">
        <f t="shared" si="4"/>
        <v>4904.49</v>
      </c>
    </row>
    <row r="267" spans="1:17" x14ac:dyDescent="0.2">
      <c r="A267" s="3">
        <v>266</v>
      </c>
      <c r="B267" s="3">
        <v>400577</v>
      </c>
      <c r="C267" s="3" t="str">
        <f>VLOOKUP(B267,[1]ورقة5!$B:$C,2,0)</f>
        <v>إعارة</v>
      </c>
      <c r="D267" s="3" t="s">
        <v>36</v>
      </c>
      <c r="E267" s="3" t="s">
        <v>41</v>
      </c>
      <c r="F267" s="3" t="s">
        <v>92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  <c r="M267" s="3"/>
      <c r="N267" s="3">
        <v>0</v>
      </c>
      <c r="O267" s="3">
        <v>4115.88</v>
      </c>
      <c r="P267" s="3">
        <v>4284.07</v>
      </c>
      <c r="Q267" s="3">
        <f t="shared" si="4"/>
        <v>8399.9500000000007</v>
      </c>
    </row>
    <row r="268" spans="1:17" x14ac:dyDescent="0.2">
      <c r="A268" s="3">
        <v>267</v>
      </c>
      <c r="B268" s="3">
        <v>400590</v>
      </c>
      <c r="C268" s="3" t="str">
        <f>VLOOKUP(B268,[1]ورقة5!$B:$C,2,0)</f>
        <v>إعارة</v>
      </c>
      <c r="D268" s="3" t="s">
        <v>36</v>
      </c>
      <c r="E268" s="3" t="s">
        <v>41</v>
      </c>
      <c r="F268" s="3" t="s">
        <v>93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/>
      <c r="N268" s="3">
        <v>0</v>
      </c>
      <c r="O268" s="3">
        <v>4756.87</v>
      </c>
      <c r="P268" s="3">
        <v>4950.3500000000004</v>
      </c>
      <c r="Q268" s="3">
        <f t="shared" si="4"/>
        <v>9707.2200000000012</v>
      </c>
    </row>
    <row r="269" spans="1:17" x14ac:dyDescent="0.2">
      <c r="A269" s="3">
        <v>268</v>
      </c>
      <c r="B269" s="3">
        <v>400592</v>
      </c>
      <c r="C269" s="3" t="str">
        <f>VLOOKUP(B269,[1]ورقة5!$B:$C,2,0)</f>
        <v>إعارة</v>
      </c>
      <c r="D269" s="3" t="s">
        <v>26</v>
      </c>
      <c r="E269" s="3" t="s">
        <v>27</v>
      </c>
      <c r="F269" s="3" t="s">
        <v>59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/>
      <c r="N269" s="3">
        <v>0</v>
      </c>
      <c r="O269" s="3">
        <v>5078.29</v>
      </c>
      <c r="P269" s="3">
        <v>0</v>
      </c>
      <c r="Q269" s="3">
        <f t="shared" si="4"/>
        <v>5078.29</v>
      </c>
    </row>
    <row r="270" spans="1:17" x14ac:dyDescent="0.2">
      <c r="A270" s="3">
        <v>269</v>
      </c>
      <c r="B270" s="3">
        <v>400594</v>
      </c>
      <c r="C270" s="3" t="str">
        <f>VLOOKUP(B270,[1]ورقة5!$B:$C,2,0)</f>
        <v>إعارة</v>
      </c>
      <c r="D270" s="3" t="s">
        <v>26</v>
      </c>
      <c r="E270" s="3" t="s">
        <v>27</v>
      </c>
      <c r="F270" s="3" t="s">
        <v>61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/>
      <c r="N270" s="3">
        <v>657.98</v>
      </c>
      <c r="O270" s="3">
        <v>1550.43</v>
      </c>
      <c r="P270" s="3">
        <v>0</v>
      </c>
      <c r="Q270" s="3">
        <f t="shared" si="4"/>
        <v>2208.41</v>
      </c>
    </row>
    <row r="271" spans="1:17" x14ac:dyDescent="0.2">
      <c r="A271" s="3">
        <v>270</v>
      </c>
      <c r="B271" s="3">
        <v>400596</v>
      </c>
      <c r="C271" s="3" t="str">
        <f>VLOOKUP(B271,[1]ورقة5!$B:$C,2,0)</f>
        <v>إعارة</v>
      </c>
      <c r="D271" s="3" t="s">
        <v>26</v>
      </c>
      <c r="E271" s="3" t="s">
        <v>39</v>
      </c>
      <c r="F271" s="3" t="s">
        <v>19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/>
      <c r="N271" s="3">
        <v>369.01</v>
      </c>
      <c r="O271" s="3">
        <v>2876.63</v>
      </c>
      <c r="P271" s="3">
        <v>0</v>
      </c>
      <c r="Q271" s="3">
        <f t="shared" si="4"/>
        <v>3245.6400000000003</v>
      </c>
    </row>
    <row r="272" spans="1:17" x14ac:dyDescent="0.2">
      <c r="A272" s="3">
        <v>271</v>
      </c>
      <c r="B272" s="3">
        <v>400597</v>
      </c>
      <c r="C272" s="3" t="str">
        <f>VLOOKUP(B272,[1]ورقة5!$B:$C,2,0)</f>
        <v>إعارة</v>
      </c>
      <c r="D272" s="3" t="s">
        <v>26</v>
      </c>
      <c r="E272" s="3" t="s">
        <v>39</v>
      </c>
      <c r="F272" s="3" t="s">
        <v>19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/>
      <c r="N272" s="3">
        <v>393.59</v>
      </c>
      <c r="O272" s="3">
        <v>3063.68</v>
      </c>
      <c r="P272" s="3">
        <v>3187.1</v>
      </c>
      <c r="Q272" s="3">
        <f t="shared" si="4"/>
        <v>6644.37</v>
      </c>
    </row>
    <row r="273" spans="1:17" x14ac:dyDescent="0.2">
      <c r="A273" s="3">
        <v>272</v>
      </c>
      <c r="B273" s="3">
        <v>400598</v>
      </c>
      <c r="C273" s="3" t="str">
        <f>VLOOKUP(B273,[1]ورقة5!$B:$C,2,0)</f>
        <v>إعارة</v>
      </c>
      <c r="D273" s="3" t="s">
        <v>26</v>
      </c>
      <c r="E273" s="3" t="s">
        <v>39</v>
      </c>
      <c r="F273" s="3" t="s">
        <v>19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/>
      <c r="N273" s="3">
        <v>379.61</v>
      </c>
      <c r="O273" s="3">
        <v>2959.72</v>
      </c>
      <c r="P273" s="3">
        <v>0</v>
      </c>
      <c r="Q273" s="3">
        <f t="shared" si="4"/>
        <v>3339.33</v>
      </c>
    </row>
    <row r="274" spans="1:17" x14ac:dyDescent="0.2">
      <c r="A274" s="3">
        <v>273</v>
      </c>
      <c r="B274" s="3">
        <v>400599</v>
      </c>
      <c r="C274" s="3" t="str">
        <f>VLOOKUP(B274,[1]ورقة5!$B:$C,2,0)</f>
        <v>إعارة</v>
      </c>
      <c r="D274" s="3" t="s">
        <v>26</v>
      </c>
      <c r="E274" s="3" t="s">
        <v>31</v>
      </c>
      <c r="F274" s="3" t="s">
        <v>19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/>
      <c r="N274" s="3">
        <v>618.88</v>
      </c>
      <c r="O274" s="3">
        <v>4828.46</v>
      </c>
      <c r="P274" s="3">
        <v>0</v>
      </c>
      <c r="Q274" s="3">
        <f t="shared" si="4"/>
        <v>5447.34</v>
      </c>
    </row>
    <row r="275" spans="1:17" x14ac:dyDescent="0.2">
      <c r="A275" s="3">
        <v>274</v>
      </c>
      <c r="B275" s="3">
        <v>400601</v>
      </c>
      <c r="C275" s="3" t="str">
        <f>VLOOKUP(B275,[1]ورقة5!$B:$C,2,0)</f>
        <v>إعارة</v>
      </c>
      <c r="D275" s="3" t="s">
        <v>26</v>
      </c>
      <c r="E275" s="3" t="s">
        <v>27</v>
      </c>
      <c r="F275" s="3" t="s">
        <v>58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/>
      <c r="N275" s="3">
        <v>509.72</v>
      </c>
      <c r="O275" s="3">
        <v>0</v>
      </c>
      <c r="P275" s="3">
        <v>4065.49</v>
      </c>
      <c r="Q275" s="3">
        <f t="shared" si="4"/>
        <v>4575.21</v>
      </c>
    </row>
    <row r="276" spans="1:17" x14ac:dyDescent="0.2">
      <c r="A276" s="3">
        <v>275</v>
      </c>
      <c r="B276" s="3">
        <v>400602</v>
      </c>
      <c r="C276" s="3" t="str">
        <f>VLOOKUP(B276,[1]ورقة5!$B:$C,2,0)</f>
        <v>إعارة</v>
      </c>
      <c r="D276" s="3" t="s">
        <v>26</v>
      </c>
      <c r="E276" s="3" t="s">
        <v>27</v>
      </c>
      <c r="F276" s="3" t="s">
        <v>68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/>
      <c r="N276" s="3">
        <v>0</v>
      </c>
      <c r="O276" s="3">
        <v>3506.39</v>
      </c>
      <c r="P276" s="3">
        <v>0</v>
      </c>
      <c r="Q276" s="3">
        <f t="shared" si="4"/>
        <v>3506.39</v>
      </c>
    </row>
    <row r="277" spans="1:17" x14ac:dyDescent="0.2">
      <c r="A277" s="3">
        <v>276</v>
      </c>
      <c r="B277" s="3">
        <v>400604</v>
      </c>
      <c r="C277" s="3" t="str">
        <f>VLOOKUP(B277,[1]ورقة5!$B:$C,2,0)</f>
        <v>إعارة</v>
      </c>
      <c r="D277" s="3" t="s">
        <v>26</v>
      </c>
      <c r="E277" s="3" t="s">
        <v>27</v>
      </c>
      <c r="F277" s="3" t="s">
        <v>48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/>
      <c r="N277" s="3">
        <v>393.59</v>
      </c>
      <c r="O277" s="3">
        <v>0</v>
      </c>
      <c r="P277" s="3">
        <v>0</v>
      </c>
      <c r="Q277" s="3">
        <f t="shared" si="4"/>
        <v>393.59</v>
      </c>
    </row>
    <row r="278" spans="1:17" x14ac:dyDescent="0.2">
      <c r="A278" s="3">
        <v>277</v>
      </c>
      <c r="B278" s="3">
        <v>400605</v>
      </c>
      <c r="C278" s="3" t="str">
        <f>VLOOKUP(B278,[1]ورقة5!$B:$C,2,0)</f>
        <v>إعارة</v>
      </c>
      <c r="D278" s="3" t="s">
        <v>26</v>
      </c>
      <c r="E278" s="3" t="s">
        <v>27</v>
      </c>
      <c r="F278" s="3" t="s">
        <v>58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/>
      <c r="N278" s="3">
        <v>0</v>
      </c>
      <c r="O278" s="3">
        <v>5881.84</v>
      </c>
      <c r="P278" s="3">
        <v>0</v>
      </c>
      <c r="Q278" s="3">
        <f t="shared" si="4"/>
        <v>5881.84</v>
      </c>
    </row>
    <row r="279" spans="1:17" x14ac:dyDescent="0.2">
      <c r="A279" s="3">
        <v>278</v>
      </c>
      <c r="B279" s="3">
        <v>400606</v>
      </c>
      <c r="C279" s="3" t="str">
        <f>VLOOKUP(B279,[1]ورقة5!$B:$C,2,0)</f>
        <v>إعارة</v>
      </c>
      <c r="D279" s="3" t="s">
        <v>26</v>
      </c>
      <c r="E279" s="3" t="s">
        <v>27</v>
      </c>
      <c r="F279" s="3" t="s">
        <v>67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  <c r="M279" s="3"/>
      <c r="N279" s="3">
        <v>340.75</v>
      </c>
      <c r="O279" s="3">
        <v>2649.78</v>
      </c>
      <c r="P279" s="3">
        <v>0</v>
      </c>
      <c r="Q279" s="3">
        <f t="shared" si="4"/>
        <v>2990.53</v>
      </c>
    </row>
    <row r="280" spans="1:17" x14ac:dyDescent="0.2">
      <c r="A280" s="3">
        <v>279</v>
      </c>
      <c r="B280" s="3">
        <v>400607</v>
      </c>
      <c r="C280" s="3" t="str">
        <f>VLOOKUP(B280,[1]ورقة5!$B:$C,2,0)</f>
        <v>إعارة</v>
      </c>
      <c r="D280" s="3" t="s">
        <v>26</v>
      </c>
      <c r="E280" s="3" t="s">
        <v>27</v>
      </c>
      <c r="F280" s="3" t="s">
        <v>57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/>
      <c r="N280" s="3">
        <v>383.13</v>
      </c>
      <c r="O280" s="3">
        <v>2987.31</v>
      </c>
      <c r="P280" s="3">
        <v>3059.46</v>
      </c>
      <c r="Q280" s="3">
        <f t="shared" si="4"/>
        <v>6429.9</v>
      </c>
    </row>
    <row r="281" spans="1:17" x14ac:dyDescent="0.2">
      <c r="A281" s="3">
        <v>280</v>
      </c>
      <c r="B281" s="3">
        <v>400608</v>
      </c>
      <c r="C281" s="3" t="str">
        <f>VLOOKUP(B281,[1]ورقة5!$B:$C,2,0)</f>
        <v>إعارة</v>
      </c>
      <c r="D281" s="3" t="s">
        <v>26</v>
      </c>
      <c r="E281" s="3" t="s">
        <v>27</v>
      </c>
      <c r="F281" s="3" t="s">
        <v>48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/>
      <c r="N281" s="3">
        <v>0</v>
      </c>
      <c r="O281" s="3">
        <v>0</v>
      </c>
      <c r="P281" s="3">
        <v>3520.55</v>
      </c>
      <c r="Q281" s="3">
        <f t="shared" si="4"/>
        <v>3520.55</v>
      </c>
    </row>
    <row r="282" spans="1:17" x14ac:dyDescent="0.2">
      <c r="A282" s="3">
        <v>281</v>
      </c>
      <c r="B282" s="3">
        <v>400609</v>
      </c>
      <c r="C282" s="3" t="str">
        <f>VLOOKUP(B282,[1]ورقة5!$B:$C,2,0)</f>
        <v>إعارة</v>
      </c>
      <c r="D282" s="3" t="s">
        <v>26</v>
      </c>
      <c r="E282" s="3" t="s">
        <v>27</v>
      </c>
      <c r="F282" s="3" t="s">
        <v>58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/>
      <c r="N282" s="3">
        <v>0</v>
      </c>
      <c r="O282" s="3">
        <v>3019.72</v>
      </c>
      <c r="P282" s="3">
        <v>3047.94</v>
      </c>
      <c r="Q282" s="3">
        <f t="shared" si="4"/>
        <v>6067.66</v>
      </c>
    </row>
    <row r="283" spans="1:17" x14ac:dyDescent="0.2">
      <c r="A283" s="3">
        <v>282</v>
      </c>
      <c r="B283" s="3">
        <v>400610</v>
      </c>
      <c r="C283" s="3" t="str">
        <f>VLOOKUP(B283,[1]ورقة5!$B:$C,2,0)</f>
        <v>إعارة</v>
      </c>
      <c r="D283" s="3" t="s">
        <v>26</v>
      </c>
      <c r="E283" s="3" t="s">
        <v>27</v>
      </c>
      <c r="F283" s="3" t="s">
        <v>54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/>
      <c r="N283" s="3">
        <v>564.29999999999995</v>
      </c>
      <c r="O283" s="3">
        <v>4400.91</v>
      </c>
      <c r="P283" s="3">
        <v>6544.62</v>
      </c>
      <c r="Q283" s="3">
        <f t="shared" si="4"/>
        <v>11509.83</v>
      </c>
    </row>
    <row r="284" spans="1:17" x14ac:dyDescent="0.2">
      <c r="A284" s="3">
        <v>283</v>
      </c>
      <c r="B284" s="3">
        <v>400611</v>
      </c>
      <c r="C284" s="3" t="str">
        <f>VLOOKUP(B284,[1]ورقة5!$B:$C,2,0)</f>
        <v>إعارة</v>
      </c>
      <c r="D284" s="3" t="s">
        <v>26</v>
      </c>
      <c r="E284" s="3" t="s">
        <v>27</v>
      </c>
      <c r="F284" s="3" t="s">
        <v>54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/>
      <c r="N284" s="3">
        <v>379.46</v>
      </c>
      <c r="O284" s="3">
        <v>2953.01</v>
      </c>
      <c r="P284" s="3">
        <v>7459.89</v>
      </c>
      <c r="Q284" s="3">
        <f t="shared" si="4"/>
        <v>10792.36</v>
      </c>
    </row>
    <row r="285" spans="1:17" x14ac:dyDescent="0.2">
      <c r="A285" s="3">
        <v>284</v>
      </c>
      <c r="B285" s="3">
        <v>400612</v>
      </c>
      <c r="C285" s="3" t="str">
        <f>VLOOKUP(B285,[1]ورقة5!$B:$C,2,0)</f>
        <v>إعارة</v>
      </c>
      <c r="D285" s="3" t="s">
        <v>26</v>
      </c>
      <c r="E285" s="3" t="s">
        <v>27</v>
      </c>
      <c r="F285" s="3" t="s">
        <v>54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/>
      <c r="N285" s="3">
        <v>477.98</v>
      </c>
      <c r="O285" s="3">
        <v>0</v>
      </c>
      <c r="P285" s="3">
        <v>5537.52</v>
      </c>
      <c r="Q285" s="3">
        <f t="shared" si="4"/>
        <v>6015.5</v>
      </c>
    </row>
    <row r="286" spans="1:17" x14ac:dyDescent="0.2">
      <c r="A286" s="3">
        <v>285</v>
      </c>
      <c r="B286" s="3">
        <v>400614</v>
      </c>
      <c r="C286" s="3" t="str">
        <f>VLOOKUP(B286,[1]ورقة5!$B:$C,2,0)</f>
        <v>إعارة</v>
      </c>
      <c r="D286" s="3" t="s">
        <v>26</v>
      </c>
      <c r="E286" s="3" t="s">
        <v>27</v>
      </c>
      <c r="F286" s="3" t="s">
        <v>71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  <c r="M286" s="3"/>
      <c r="N286" s="3">
        <v>509.72</v>
      </c>
      <c r="O286" s="3">
        <v>3973.36</v>
      </c>
      <c r="P286" s="3">
        <v>10043.34</v>
      </c>
      <c r="Q286" s="3">
        <f t="shared" si="4"/>
        <v>14526.42</v>
      </c>
    </row>
    <row r="287" spans="1:17" x14ac:dyDescent="0.2">
      <c r="A287" s="3">
        <v>286</v>
      </c>
      <c r="B287" s="3">
        <v>400615</v>
      </c>
      <c r="C287" s="3" t="str">
        <f>VLOOKUP(B287,[1]ورقة5!$B:$C,2,0)</f>
        <v>إعارة</v>
      </c>
      <c r="D287" s="3" t="s">
        <v>26</v>
      </c>
      <c r="E287" s="3" t="s">
        <v>27</v>
      </c>
      <c r="F287" s="3" t="s">
        <v>63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/>
      <c r="N287" s="3">
        <v>558.29999999999995</v>
      </c>
      <c r="O287" s="3">
        <v>0</v>
      </c>
      <c r="P287" s="3">
        <v>9638.52</v>
      </c>
      <c r="Q287" s="3">
        <f t="shared" si="4"/>
        <v>10196.82</v>
      </c>
    </row>
    <row r="288" spans="1:17" x14ac:dyDescent="0.2">
      <c r="A288" s="3">
        <v>287</v>
      </c>
      <c r="B288" s="3">
        <v>400616</v>
      </c>
      <c r="C288" s="3" t="str">
        <f>VLOOKUP(B288,[1]ورقة5!$B:$C,2,0)</f>
        <v>إعارة</v>
      </c>
      <c r="D288" s="3" t="s">
        <v>26</v>
      </c>
      <c r="E288" s="3" t="s">
        <v>27</v>
      </c>
      <c r="F288" s="3" t="s">
        <v>71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>
        <v>0</v>
      </c>
      <c r="M288" s="3"/>
      <c r="N288" s="3">
        <v>494.04</v>
      </c>
      <c r="O288" s="3">
        <v>3850.56</v>
      </c>
      <c r="P288" s="3">
        <v>9732.4</v>
      </c>
      <c r="Q288" s="3">
        <f t="shared" si="4"/>
        <v>14077</v>
      </c>
    </row>
    <row r="289" spans="1:17" x14ac:dyDescent="0.2">
      <c r="A289" s="3">
        <v>288</v>
      </c>
      <c r="B289" s="3">
        <v>400617</v>
      </c>
      <c r="C289" s="3" t="str">
        <f>VLOOKUP(B289,[1]ورقة5!$B:$C,2,0)</f>
        <v>إعارة</v>
      </c>
      <c r="D289" s="3" t="s">
        <v>26</v>
      </c>
      <c r="E289" s="3" t="s">
        <v>27</v>
      </c>
      <c r="F289" s="3" t="s">
        <v>63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  <c r="M289" s="3"/>
      <c r="N289" s="3">
        <v>589.94000000000005</v>
      </c>
      <c r="O289" s="3">
        <v>4596.16</v>
      </c>
      <c r="P289" s="3">
        <v>5466.06</v>
      </c>
      <c r="Q289" s="3">
        <f t="shared" si="4"/>
        <v>10652.16</v>
      </c>
    </row>
    <row r="290" spans="1:17" x14ac:dyDescent="0.2">
      <c r="A290" s="3">
        <v>289</v>
      </c>
      <c r="B290" s="3">
        <v>400618</v>
      </c>
      <c r="C290" s="3" t="str">
        <f>VLOOKUP(B290,[1]ورقة5!$B:$C,2,0)</f>
        <v>إعارة</v>
      </c>
      <c r="D290" s="3" t="s">
        <v>26</v>
      </c>
      <c r="E290" s="3" t="s">
        <v>27</v>
      </c>
      <c r="F290" s="3" t="s">
        <v>71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  <c r="M290" s="3"/>
      <c r="N290" s="3">
        <v>393.59</v>
      </c>
      <c r="O290" s="3">
        <v>0</v>
      </c>
      <c r="P290" s="3">
        <v>4553.01</v>
      </c>
      <c r="Q290" s="3">
        <f t="shared" si="4"/>
        <v>4946.6000000000004</v>
      </c>
    </row>
    <row r="291" spans="1:17" x14ac:dyDescent="0.2">
      <c r="A291" s="3">
        <v>290</v>
      </c>
      <c r="B291" s="3">
        <v>700005</v>
      </c>
      <c r="C291" s="3" t="str">
        <f>VLOOKUP(B291,[1]ورقة5!$B:$C,2,0)</f>
        <v>عقد مؤقت</v>
      </c>
      <c r="D291" s="3" t="s">
        <v>26</v>
      </c>
      <c r="E291" s="3" t="s">
        <v>27</v>
      </c>
      <c r="F291" s="3" t="s">
        <v>53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/>
      <c r="N291" s="3">
        <v>420.12</v>
      </c>
      <c r="O291" s="3">
        <v>0</v>
      </c>
      <c r="P291" s="3">
        <v>0</v>
      </c>
      <c r="Q291" s="3">
        <f t="shared" si="4"/>
        <v>420.12</v>
      </c>
    </row>
    <row r="292" spans="1:17" x14ac:dyDescent="0.2">
      <c r="A292" s="3">
        <v>291</v>
      </c>
      <c r="B292" s="3">
        <v>700007</v>
      </c>
      <c r="C292" s="3" t="str">
        <f>VLOOKUP(B292,[1]ورقة5!$B:$C,2,0)</f>
        <v>عقد مؤقت</v>
      </c>
      <c r="D292" s="3" t="s">
        <v>26</v>
      </c>
      <c r="E292" s="3" t="s">
        <v>27</v>
      </c>
      <c r="F292" s="3" t="s">
        <v>57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  <c r="M292" s="3"/>
      <c r="N292" s="3">
        <v>420.12</v>
      </c>
      <c r="O292" s="3">
        <v>0</v>
      </c>
      <c r="P292" s="3">
        <v>0</v>
      </c>
      <c r="Q292" s="3">
        <f t="shared" si="4"/>
        <v>420.12</v>
      </c>
    </row>
    <row r="293" spans="1:17" x14ac:dyDescent="0.2">
      <c r="A293" s="3">
        <v>292</v>
      </c>
      <c r="B293" s="3">
        <v>700017</v>
      </c>
      <c r="C293" s="3" t="str">
        <f>VLOOKUP(B293,[1]ورقة5!$B:$C,2,0)</f>
        <v>عقد مؤقت</v>
      </c>
      <c r="D293" s="3" t="s">
        <v>26</v>
      </c>
      <c r="E293" s="3" t="s">
        <v>27</v>
      </c>
      <c r="F293" s="3" t="s">
        <v>68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/>
      <c r="N293" s="3">
        <v>420.12</v>
      </c>
      <c r="O293" s="3">
        <v>0</v>
      </c>
      <c r="P293" s="3">
        <v>0</v>
      </c>
      <c r="Q293" s="3">
        <f t="shared" si="4"/>
        <v>420.12</v>
      </c>
    </row>
    <row r="294" spans="1:17" x14ac:dyDescent="0.2">
      <c r="A294" s="3">
        <v>293</v>
      </c>
      <c r="B294" s="3">
        <v>700020</v>
      </c>
      <c r="C294" s="3" t="str">
        <f>VLOOKUP(B294,[1]ورقة5!$B:$C,2,0)</f>
        <v>عقد مؤقت</v>
      </c>
      <c r="D294" s="3" t="s">
        <v>26</v>
      </c>
      <c r="E294" s="3" t="s">
        <v>27</v>
      </c>
      <c r="F294" s="3" t="s">
        <v>43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/>
      <c r="N294" s="3">
        <v>350.33</v>
      </c>
      <c r="O294" s="3">
        <v>0</v>
      </c>
      <c r="P294" s="3">
        <v>0</v>
      </c>
      <c r="Q294" s="3">
        <f t="shared" si="4"/>
        <v>350.33</v>
      </c>
    </row>
    <row r="295" spans="1:17" x14ac:dyDescent="0.2">
      <c r="A295" s="2"/>
      <c r="B295" s="7" t="s">
        <v>11</v>
      </c>
      <c r="C295" s="8"/>
      <c r="D295" s="9"/>
      <c r="E295" s="4"/>
      <c r="F295" s="4"/>
      <c r="G295" s="5">
        <f>SUM(G2:G294)</f>
        <v>259977.19999999998</v>
      </c>
      <c r="H295" s="5">
        <f t="shared" ref="H295:Q295" si="5">SUM(H2:H294)</f>
        <v>192414.77999999997</v>
      </c>
      <c r="I295" s="5">
        <f t="shared" si="5"/>
        <v>61514.460000000014</v>
      </c>
      <c r="J295" s="5">
        <f t="shared" si="5"/>
        <v>62450.96</v>
      </c>
      <c r="K295" s="5">
        <f t="shared" si="5"/>
        <v>70224.489999999976</v>
      </c>
      <c r="L295" s="5">
        <f t="shared" si="5"/>
        <v>36470.69</v>
      </c>
      <c r="M295" s="5">
        <f t="shared" si="5"/>
        <v>855.94</v>
      </c>
      <c r="N295" s="5">
        <f t="shared" si="5"/>
        <v>101898.50000000001</v>
      </c>
      <c r="O295" s="5">
        <f t="shared" si="5"/>
        <v>865417.7300000001</v>
      </c>
      <c r="P295" s="5">
        <f t="shared" si="5"/>
        <v>1307083.1399999997</v>
      </c>
      <c r="Q295" s="5">
        <f t="shared" si="5"/>
        <v>2958307.8900000025</v>
      </c>
    </row>
  </sheetData>
  <autoFilter ref="A1:Q295" xr:uid="{A258ECB0-9B86-49E0-97EF-838AAE65B015}"/>
  <mergeCells count="1">
    <mergeCell ref="B295:D295"/>
  </mergeCells>
  <conditionalFormatting sqref="B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Fahad Alghwainm</dc:creator>
  <cp:lastModifiedBy>Hussain Almalki</cp:lastModifiedBy>
  <dcterms:created xsi:type="dcterms:W3CDTF">2026-06-25T12:15:46Z</dcterms:created>
  <dcterms:modified xsi:type="dcterms:W3CDTF">2026-08-05T12:52:49Z</dcterms:modified>
</cp:coreProperties>
</file>