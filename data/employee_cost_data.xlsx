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griserv533-my.sharepoint.com/personal/hussain_almalki_agriserv_sa/Documents/Desktop/Final.dashboard/data/"/>
    </mc:Choice>
  </mc:AlternateContent>
  <xr:revisionPtr revIDLastSave="882" documentId="13_ncr:1_{83B9F2C3-4461-40A5-B6BB-6FCD59C14816}" xr6:coauthVersionLast="47" xr6:coauthVersionMax="47" xr10:uidLastSave="{40754638-DF41-4237-A401-B845578BA308}"/>
  <bookViews>
    <workbookView xWindow="-120" yWindow="-120" windowWidth="38640" windowHeight="21120" xr2:uid="{2BCE5B82-19FB-4C8B-989E-63F436A25C81}"/>
  </bookViews>
  <sheets>
    <sheet name="ناتج ملف Excel" sheetId="1" r:id="rId1"/>
    <sheet name="Sheet1" sheetId="3" r:id="rId2"/>
    <sheet name="تحليل" sheetId="2" r:id="rId3"/>
  </sheets>
  <externalReferences>
    <externalReference r:id="rId4"/>
  </externalReferences>
  <definedNames>
    <definedName name="_xlnm._FilterDatabase" localSheetId="0" hidden="1">'ناتج ملف Excel'!$A$3:$AC$601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1" i="1" l="1"/>
  <c r="Q141" i="1"/>
  <c r="Q140" i="1"/>
  <c r="R140" i="1"/>
  <c r="U140" i="1"/>
  <c r="M141" i="1"/>
  <c r="U141" i="1" s="1"/>
  <c r="N141" i="1"/>
  <c r="O141" i="1"/>
  <c r="U139" i="1"/>
  <c r="S139" i="1"/>
  <c r="R139" i="1"/>
  <c r="Q139" i="1"/>
  <c r="U138" i="1"/>
  <c r="S137" i="1"/>
  <c r="R138" i="1"/>
  <c r="Q138" i="1"/>
  <c r="U137" i="1"/>
  <c r="R137" i="1"/>
  <c r="Q137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30" i="1"/>
  <c r="O31" i="1"/>
  <c r="O33" i="1"/>
  <c r="O35" i="1"/>
  <c r="O36" i="1"/>
  <c r="O37" i="1"/>
  <c r="O40" i="1"/>
  <c r="O41" i="1"/>
  <c r="O43" i="1"/>
  <c r="O44" i="1"/>
  <c r="O45" i="1"/>
  <c r="O46" i="1"/>
  <c r="O47" i="1"/>
  <c r="O48" i="1"/>
  <c r="O49" i="1"/>
  <c r="O51" i="1"/>
  <c r="O53" i="1"/>
  <c r="O54" i="1"/>
  <c r="O57" i="1"/>
  <c r="O58" i="1"/>
  <c r="O59" i="1"/>
  <c r="O60" i="1"/>
  <c r="O62" i="1"/>
  <c r="O63" i="1"/>
  <c r="O64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6" i="1"/>
  <c r="O87" i="1"/>
  <c r="O88" i="1"/>
  <c r="O89" i="1"/>
  <c r="O90" i="1"/>
  <c r="O91" i="1"/>
  <c r="O92" i="1"/>
  <c r="O93" i="1"/>
  <c r="O95" i="1"/>
  <c r="O96" i="1"/>
  <c r="O97" i="1"/>
  <c r="O98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S599" i="1" s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4" i="1"/>
  <c r="X426" i="1"/>
  <c r="X424" i="1"/>
  <c r="X421" i="1"/>
  <c r="X418" i="1"/>
  <c r="X417" i="1"/>
  <c r="X405" i="1"/>
  <c r="X402" i="1"/>
  <c r="X400" i="1"/>
  <c r="X397" i="1"/>
  <c r="X394" i="1"/>
  <c r="X392" i="1"/>
  <c r="X362" i="1"/>
  <c r="X359" i="1"/>
  <c r="X356" i="1"/>
  <c r="X355" i="1"/>
  <c r="X351" i="1"/>
  <c r="X349" i="1"/>
  <c r="X346" i="1"/>
  <c r="X342" i="1"/>
  <c r="X332" i="1"/>
  <c r="X326" i="1"/>
  <c r="X323" i="1"/>
  <c r="X319" i="1"/>
  <c r="X316" i="1"/>
  <c r="X312" i="1"/>
  <c r="X311" i="1"/>
  <c r="X310" i="1"/>
  <c r="X309" i="1"/>
  <c r="X306" i="1"/>
  <c r="X304" i="1"/>
  <c r="X302" i="1"/>
  <c r="X298" i="1"/>
  <c r="X293" i="1"/>
  <c r="X291" i="1"/>
  <c r="X283" i="1"/>
  <c r="X282" i="1"/>
  <c r="X281" i="1"/>
  <c r="X279" i="1"/>
  <c r="X278" i="1"/>
  <c r="X217" i="1"/>
  <c r="X201" i="1"/>
  <c r="X179" i="1"/>
  <c r="X155" i="1"/>
  <c r="X154" i="1"/>
  <c r="X153" i="1"/>
  <c r="AA140" i="1" l="1"/>
  <c r="AB140" i="1" s="1"/>
  <c r="AC140" i="1" s="1"/>
  <c r="AA141" i="1"/>
  <c r="AB141" i="1" s="1"/>
  <c r="AC141" i="1" s="1"/>
  <c r="AA139" i="1"/>
  <c r="AB139" i="1" s="1"/>
  <c r="AC139" i="1" s="1"/>
  <c r="AA138" i="1"/>
  <c r="AB138" i="1" s="1"/>
  <c r="AC138" i="1" s="1"/>
  <c r="AA137" i="1"/>
  <c r="AB137" i="1" s="1"/>
  <c r="AC137" i="1" s="1"/>
  <c r="S135" i="1"/>
  <c r="S134" i="1"/>
  <c r="R136" i="1"/>
  <c r="Q599" i="1"/>
  <c r="Q136" i="1"/>
  <c r="U599" i="1"/>
  <c r="R599" i="1"/>
  <c r="AA599" i="1" s="1"/>
  <c r="AB599" i="1" s="1"/>
  <c r="AC599" i="1" s="1"/>
  <c r="U136" i="1"/>
  <c r="AA136" i="1" l="1"/>
  <c r="AB136" i="1" s="1"/>
  <c r="AC136" i="1" s="1"/>
  <c r="U142" i="1"/>
  <c r="AA142" i="1" s="1"/>
  <c r="U143" i="1"/>
  <c r="AA143" i="1" s="1"/>
  <c r="U144" i="1"/>
  <c r="AA144" i="1" s="1"/>
  <c r="U145" i="1"/>
  <c r="AA145" i="1" s="1"/>
  <c r="U146" i="1"/>
  <c r="AA146" i="1" s="1"/>
  <c r="U147" i="1"/>
  <c r="AA147" i="1" s="1"/>
  <c r="U148" i="1"/>
  <c r="AA148" i="1" s="1"/>
  <c r="U149" i="1"/>
  <c r="AA149" i="1" s="1"/>
  <c r="U150" i="1"/>
  <c r="AA150" i="1" s="1"/>
  <c r="U151" i="1"/>
  <c r="AA151" i="1" s="1"/>
  <c r="U152" i="1"/>
  <c r="AA152" i="1" s="1"/>
  <c r="U153" i="1"/>
  <c r="AA153" i="1" s="1"/>
  <c r="U154" i="1"/>
  <c r="AA154" i="1" s="1"/>
  <c r="U155" i="1"/>
  <c r="AA155" i="1" s="1"/>
  <c r="U156" i="1"/>
  <c r="AA156" i="1" s="1"/>
  <c r="U157" i="1"/>
  <c r="AA157" i="1" s="1"/>
  <c r="U158" i="1"/>
  <c r="AA158" i="1" s="1"/>
  <c r="U159" i="1"/>
  <c r="AA159" i="1" s="1"/>
  <c r="U160" i="1"/>
  <c r="AA160" i="1" s="1"/>
  <c r="U161" i="1"/>
  <c r="AA161" i="1" s="1"/>
  <c r="U162" i="1"/>
  <c r="AA162" i="1" s="1"/>
  <c r="U163" i="1"/>
  <c r="AA163" i="1" s="1"/>
  <c r="U164" i="1"/>
  <c r="AA164" i="1" s="1"/>
  <c r="U165" i="1"/>
  <c r="AA165" i="1" s="1"/>
  <c r="U166" i="1"/>
  <c r="AA166" i="1" s="1"/>
  <c r="U167" i="1"/>
  <c r="AA167" i="1" s="1"/>
  <c r="U168" i="1"/>
  <c r="AA168" i="1" s="1"/>
  <c r="U169" i="1"/>
  <c r="AA169" i="1" s="1"/>
  <c r="U170" i="1"/>
  <c r="AA170" i="1" s="1"/>
  <c r="U171" i="1"/>
  <c r="AA171" i="1" s="1"/>
  <c r="U172" i="1"/>
  <c r="AA172" i="1" s="1"/>
  <c r="U173" i="1"/>
  <c r="AA173" i="1" s="1"/>
  <c r="U174" i="1"/>
  <c r="AA174" i="1" s="1"/>
  <c r="U175" i="1"/>
  <c r="AA175" i="1" s="1"/>
  <c r="U176" i="1"/>
  <c r="AA176" i="1" s="1"/>
  <c r="U177" i="1"/>
  <c r="AA177" i="1" s="1"/>
  <c r="U178" i="1"/>
  <c r="AA178" i="1" s="1"/>
  <c r="U179" i="1"/>
  <c r="AA179" i="1" s="1"/>
  <c r="U180" i="1"/>
  <c r="AA180" i="1" s="1"/>
  <c r="U181" i="1"/>
  <c r="AA181" i="1" s="1"/>
  <c r="U182" i="1"/>
  <c r="AA182" i="1" s="1"/>
  <c r="U183" i="1"/>
  <c r="AA183" i="1" s="1"/>
  <c r="U184" i="1"/>
  <c r="AA184" i="1" s="1"/>
  <c r="U185" i="1"/>
  <c r="AA185" i="1" s="1"/>
  <c r="U186" i="1"/>
  <c r="AA186" i="1" s="1"/>
  <c r="U187" i="1"/>
  <c r="AA187" i="1" s="1"/>
  <c r="U188" i="1"/>
  <c r="AA188" i="1" s="1"/>
  <c r="U189" i="1"/>
  <c r="AA189" i="1" s="1"/>
  <c r="U190" i="1"/>
  <c r="AA190" i="1" s="1"/>
  <c r="U191" i="1"/>
  <c r="AA191" i="1" s="1"/>
  <c r="U192" i="1"/>
  <c r="AA192" i="1" s="1"/>
  <c r="U193" i="1"/>
  <c r="AA193" i="1" s="1"/>
  <c r="U194" i="1"/>
  <c r="AA194" i="1" s="1"/>
  <c r="U195" i="1"/>
  <c r="AA195" i="1" s="1"/>
  <c r="U196" i="1"/>
  <c r="AA196" i="1" s="1"/>
  <c r="U197" i="1"/>
  <c r="AA197" i="1" s="1"/>
  <c r="U198" i="1"/>
  <c r="AA198" i="1" s="1"/>
  <c r="U199" i="1"/>
  <c r="AA199" i="1" s="1"/>
  <c r="U200" i="1"/>
  <c r="AA200" i="1" s="1"/>
  <c r="U201" i="1"/>
  <c r="AA201" i="1" s="1"/>
  <c r="U202" i="1"/>
  <c r="AA202" i="1" s="1"/>
  <c r="U203" i="1"/>
  <c r="AA203" i="1" s="1"/>
  <c r="U204" i="1"/>
  <c r="AA204" i="1" s="1"/>
  <c r="U205" i="1"/>
  <c r="AA205" i="1" s="1"/>
  <c r="U206" i="1"/>
  <c r="AA206" i="1" s="1"/>
  <c r="U207" i="1"/>
  <c r="AA207" i="1" s="1"/>
  <c r="U208" i="1"/>
  <c r="AA208" i="1" s="1"/>
  <c r="U209" i="1"/>
  <c r="AA209" i="1" s="1"/>
  <c r="U210" i="1"/>
  <c r="AA210" i="1" s="1"/>
  <c r="U211" i="1"/>
  <c r="AA211" i="1" s="1"/>
  <c r="U212" i="1"/>
  <c r="AA212" i="1" s="1"/>
  <c r="U213" i="1"/>
  <c r="AA213" i="1" s="1"/>
  <c r="U214" i="1"/>
  <c r="AA214" i="1" s="1"/>
  <c r="U215" i="1"/>
  <c r="AA215" i="1" s="1"/>
  <c r="U216" i="1"/>
  <c r="AA216" i="1" s="1"/>
  <c r="U217" i="1"/>
  <c r="AA217" i="1" s="1"/>
  <c r="U218" i="1"/>
  <c r="AA218" i="1" s="1"/>
  <c r="U219" i="1"/>
  <c r="AA219" i="1" s="1"/>
  <c r="U220" i="1"/>
  <c r="AA220" i="1" s="1"/>
  <c r="U221" i="1"/>
  <c r="AA221" i="1" s="1"/>
  <c r="U222" i="1"/>
  <c r="AA222" i="1" s="1"/>
  <c r="U223" i="1"/>
  <c r="AA223" i="1" s="1"/>
  <c r="U224" i="1"/>
  <c r="AA224" i="1" s="1"/>
  <c r="U225" i="1"/>
  <c r="AA225" i="1" s="1"/>
  <c r="U226" i="1"/>
  <c r="AA226" i="1" s="1"/>
  <c r="U227" i="1"/>
  <c r="AA227" i="1" s="1"/>
  <c r="U228" i="1"/>
  <c r="AA228" i="1" s="1"/>
  <c r="U229" i="1"/>
  <c r="AA229" i="1" s="1"/>
  <c r="U230" i="1"/>
  <c r="AA230" i="1" s="1"/>
  <c r="U231" i="1"/>
  <c r="AA231" i="1" s="1"/>
  <c r="U232" i="1"/>
  <c r="AA232" i="1" s="1"/>
  <c r="U233" i="1"/>
  <c r="AA233" i="1" s="1"/>
  <c r="U234" i="1"/>
  <c r="AA234" i="1" s="1"/>
  <c r="U235" i="1"/>
  <c r="AA235" i="1" s="1"/>
  <c r="U236" i="1"/>
  <c r="AA236" i="1" s="1"/>
  <c r="U237" i="1"/>
  <c r="AA237" i="1" s="1"/>
  <c r="U238" i="1"/>
  <c r="AA238" i="1" s="1"/>
  <c r="U239" i="1"/>
  <c r="AA239" i="1" s="1"/>
  <c r="U240" i="1"/>
  <c r="AA240" i="1" s="1"/>
  <c r="U241" i="1"/>
  <c r="AA241" i="1" s="1"/>
  <c r="U242" i="1"/>
  <c r="AA242" i="1" s="1"/>
  <c r="U243" i="1"/>
  <c r="AA243" i="1" s="1"/>
  <c r="U244" i="1"/>
  <c r="AA244" i="1" s="1"/>
  <c r="U245" i="1"/>
  <c r="AA245" i="1" s="1"/>
  <c r="U246" i="1"/>
  <c r="AA246" i="1" s="1"/>
  <c r="U247" i="1"/>
  <c r="AA247" i="1" s="1"/>
  <c r="U248" i="1"/>
  <c r="AA248" i="1" s="1"/>
  <c r="U249" i="1"/>
  <c r="AA249" i="1" s="1"/>
  <c r="U250" i="1"/>
  <c r="AA250" i="1" s="1"/>
  <c r="U251" i="1"/>
  <c r="AA251" i="1" s="1"/>
  <c r="U252" i="1"/>
  <c r="AA252" i="1" s="1"/>
  <c r="U253" i="1"/>
  <c r="AA253" i="1" s="1"/>
  <c r="U254" i="1"/>
  <c r="AA254" i="1" s="1"/>
  <c r="U255" i="1"/>
  <c r="AA255" i="1" s="1"/>
  <c r="U256" i="1"/>
  <c r="AA256" i="1" s="1"/>
  <c r="U257" i="1"/>
  <c r="AA257" i="1" s="1"/>
  <c r="U258" i="1"/>
  <c r="AA258" i="1" s="1"/>
  <c r="U259" i="1"/>
  <c r="AA259" i="1" s="1"/>
  <c r="U260" i="1"/>
  <c r="AA260" i="1" s="1"/>
  <c r="U261" i="1"/>
  <c r="AA261" i="1" s="1"/>
  <c r="U262" i="1"/>
  <c r="AA262" i="1" s="1"/>
  <c r="U263" i="1"/>
  <c r="AA263" i="1" s="1"/>
  <c r="U264" i="1"/>
  <c r="AA264" i="1" s="1"/>
  <c r="U265" i="1"/>
  <c r="AA265" i="1" s="1"/>
  <c r="U266" i="1"/>
  <c r="AA266" i="1" s="1"/>
  <c r="U267" i="1"/>
  <c r="AA267" i="1" s="1"/>
  <c r="U268" i="1"/>
  <c r="AA268" i="1" s="1"/>
  <c r="U269" i="1"/>
  <c r="AA269" i="1" s="1"/>
  <c r="U270" i="1"/>
  <c r="AA270" i="1" s="1"/>
  <c r="U271" i="1"/>
  <c r="AA271" i="1" s="1"/>
  <c r="U272" i="1"/>
  <c r="AA272" i="1" s="1"/>
  <c r="U273" i="1"/>
  <c r="AA273" i="1" s="1"/>
  <c r="U274" i="1"/>
  <c r="AA274" i="1" s="1"/>
  <c r="U275" i="1"/>
  <c r="AA275" i="1" s="1"/>
  <c r="U276" i="1"/>
  <c r="AA276" i="1" s="1"/>
  <c r="U277" i="1"/>
  <c r="AA277" i="1" s="1"/>
  <c r="U278" i="1"/>
  <c r="AA278" i="1" s="1"/>
  <c r="U279" i="1"/>
  <c r="AA279" i="1" s="1"/>
  <c r="U280" i="1"/>
  <c r="AA280" i="1" s="1"/>
  <c r="U281" i="1"/>
  <c r="AA281" i="1" s="1"/>
  <c r="U282" i="1"/>
  <c r="AA282" i="1" s="1"/>
  <c r="U283" i="1"/>
  <c r="AA283" i="1" s="1"/>
  <c r="U284" i="1"/>
  <c r="AA284" i="1" s="1"/>
  <c r="U285" i="1"/>
  <c r="AA285" i="1" s="1"/>
  <c r="U286" i="1"/>
  <c r="AA286" i="1" s="1"/>
  <c r="U287" i="1"/>
  <c r="AA287" i="1" s="1"/>
  <c r="U288" i="1"/>
  <c r="AA288" i="1" s="1"/>
  <c r="U289" i="1"/>
  <c r="AA289" i="1" s="1"/>
  <c r="U290" i="1"/>
  <c r="AA290" i="1" s="1"/>
  <c r="U291" i="1"/>
  <c r="AA291" i="1" s="1"/>
  <c r="U292" i="1"/>
  <c r="AA292" i="1" s="1"/>
  <c r="U293" i="1"/>
  <c r="AA293" i="1" s="1"/>
  <c r="U294" i="1"/>
  <c r="AA294" i="1" s="1"/>
  <c r="U295" i="1"/>
  <c r="AA295" i="1" s="1"/>
  <c r="U296" i="1"/>
  <c r="AA296" i="1" s="1"/>
  <c r="U297" i="1"/>
  <c r="AA297" i="1" s="1"/>
  <c r="U298" i="1"/>
  <c r="AA298" i="1" s="1"/>
  <c r="U299" i="1"/>
  <c r="AA299" i="1" s="1"/>
  <c r="U300" i="1"/>
  <c r="AA300" i="1" s="1"/>
  <c r="U301" i="1"/>
  <c r="AA301" i="1" s="1"/>
  <c r="U302" i="1"/>
  <c r="AA302" i="1" s="1"/>
  <c r="U303" i="1"/>
  <c r="AA303" i="1" s="1"/>
  <c r="U304" i="1"/>
  <c r="AA304" i="1" s="1"/>
  <c r="U305" i="1"/>
  <c r="AA305" i="1" s="1"/>
  <c r="U306" i="1"/>
  <c r="AA306" i="1" s="1"/>
  <c r="U307" i="1"/>
  <c r="AA307" i="1" s="1"/>
  <c r="U308" i="1"/>
  <c r="AA308" i="1" s="1"/>
  <c r="U309" i="1"/>
  <c r="AA309" i="1" s="1"/>
  <c r="U310" i="1"/>
  <c r="AA310" i="1" s="1"/>
  <c r="U311" i="1"/>
  <c r="AA311" i="1" s="1"/>
  <c r="U312" i="1"/>
  <c r="AA312" i="1" s="1"/>
  <c r="U313" i="1"/>
  <c r="AA313" i="1" s="1"/>
  <c r="U314" i="1"/>
  <c r="AA314" i="1" s="1"/>
  <c r="U315" i="1"/>
  <c r="AA315" i="1" s="1"/>
  <c r="U316" i="1"/>
  <c r="AA316" i="1" s="1"/>
  <c r="U317" i="1"/>
  <c r="AA317" i="1" s="1"/>
  <c r="U318" i="1"/>
  <c r="AA318" i="1" s="1"/>
  <c r="U319" i="1"/>
  <c r="AA319" i="1" s="1"/>
  <c r="U320" i="1"/>
  <c r="AA320" i="1" s="1"/>
  <c r="U321" i="1"/>
  <c r="AA321" i="1" s="1"/>
  <c r="U322" i="1"/>
  <c r="AA322" i="1" s="1"/>
  <c r="U323" i="1"/>
  <c r="AA323" i="1" s="1"/>
  <c r="U324" i="1"/>
  <c r="AA324" i="1" s="1"/>
  <c r="U325" i="1"/>
  <c r="AA325" i="1" s="1"/>
  <c r="U326" i="1"/>
  <c r="AA326" i="1" s="1"/>
  <c r="U327" i="1"/>
  <c r="AA327" i="1" s="1"/>
  <c r="U328" i="1"/>
  <c r="AA328" i="1" s="1"/>
  <c r="U329" i="1"/>
  <c r="AA329" i="1" s="1"/>
  <c r="U330" i="1"/>
  <c r="AA330" i="1" s="1"/>
  <c r="U331" i="1"/>
  <c r="AA331" i="1" s="1"/>
  <c r="U332" i="1"/>
  <c r="AA332" i="1" s="1"/>
  <c r="U333" i="1"/>
  <c r="AA333" i="1" s="1"/>
  <c r="U334" i="1"/>
  <c r="AA334" i="1" s="1"/>
  <c r="U335" i="1"/>
  <c r="AA335" i="1" s="1"/>
  <c r="U336" i="1"/>
  <c r="AA336" i="1" s="1"/>
  <c r="U337" i="1"/>
  <c r="AA337" i="1" s="1"/>
  <c r="U338" i="1"/>
  <c r="AA338" i="1" s="1"/>
  <c r="U339" i="1"/>
  <c r="AA339" i="1" s="1"/>
  <c r="U340" i="1"/>
  <c r="AA340" i="1" s="1"/>
  <c r="U341" i="1"/>
  <c r="AA341" i="1" s="1"/>
  <c r="U342" i="1"/>
  <c r="AA342" i="1" s="1"/>
  <c r="U343" i="1"/>
  <c r="AA343" i="1" s="1"/>
  <c r="U344" i="1"/>
  <c r="AA344" i="1" s="1"/>
  <c r="U345" i="1"/>
  <c r="AA345" i="1" s="1"/>
  <c r="U346" i="1"/>
  <c r="AA346" i="1" s="1"/>
  <c r="U347" i="1"/>
  <c r="AA347" i="1" s="1"/>
  <c r="U348" i="1"/>
  <c r="AA348" i="1" s="1"/>
  <c r="U349" i="1"/>
  <c r="AA349" i="1" s="1"/>
  <c r="U350" i="1"/>
  <c r="AA350" i="1" s="1"/>
  <c r="U351" i="1"/>
  <c r="AA351" i="1" s="1"/>
  <c r="U352" i="1"/>
  <c r="AA352" i="1" s="1"/>
  <c r="U353" i="1"/>
  <c r="AA353" i="1" s="1"/>
  <c r="U354" i="1"/>
  <c r="AA354" i="1" s="1"/>
  <c r="U355" i="1"/>
  <c r="AA355" i="1" s="1"/>
  <c r="U356" i="1"/>
  <c r="AA356" i="1" s="1"/>
  <c r="U357" i="1"/>
  <c r="AA357" i="1" s="1"/>
  <c r="U358" i="1"/>
  <c r="AA358" i="1" s="1"/>
  <c r="U359" i="1"/>
  <c r="AA359" i="1" s="1"/>
  <c r="U360" i="1"/>
  <c r="AA360" i="1" s="1"/>
  <c r="U361" i="1"/>
  <c r="AA361" i="1" s="1"/>
  <c r="U362" i="1"/>
  <c r="AA362" i="1" s="1"/>
  <c r="U363" i="1"/>
  <c r="AA363" i="1" s="1"/>
  <c r="U364" i="1"/>
  <c r="AA364" i="1" s="1"/>
  <c r="U365" i="1"/>
  <c r="AA365" i="1" s="1"/>
  <c r="U366" i="1"/>
  <c r="AA366" i="1" s="1"/>
  <c r="U367" i="1"/>
  <c r="AA367" i="1" s="1"/>
  <c r="U368" i="1"/>
  <c r="AA368" i="1" s="1"/>
  <c r="U369" i="1"/>
  <c r="AA369" i="1" s="1"/>
  <c r="U370" i="1"/>
  <c r="AA370" i="1" s="1"/>
  <c r="U371" i="1"/>
  <c r="AA371" i="1" s="1"/>
  <c r="U372" i="1"/>
  <c r="AA372" i="1" s="1"/>
  <c r="U373" i="1"/>
  <c r="AA373" i="1" s="1"/>
  <c r="U374" i="1"/>
  <c r="AA374" i="1" s="1"/>
  <c r="U375" i="1"/>
  <c r="AA375" i="1" s="1"/>
  <c r="U376" i="1"/>
  <c r="AA376" i="1" s="1"/>
  <c r="U377" i="1"/>
  <c r="AA377" i="1" s="1"/>
  <c r="U378" i="1"/>
  <c r="AA378" i="1" s="1"/>
  <c r="U379" i="1"/>
  <c r="AA379" i="1" s="1"/>
  <c r="U380" i="1"/>
  <c r="AA380" i="1" s="1"/>
  <c r="U381" i="1"/>
  <c r="AA381" i="1" s="1"/>
  <c r="U382" i="1"/>
  <c r="AA382" i="1" s="1"/>
  <c r="U383" i="1"/>
  <c r="AA383" i="1" s="1"/>
  <c r="U384" i="1"/>
  <c r="AA384" i="1" s="1"/>
  <c r="U385" i="1"/>
  <c r="AA385" i="1" s="1"/>
  <c r="U386" i="1"/>
  <c r="AA386" i="1" s="1"/>
  <c r="U387" i="1"/>
  <c r="AA387" i="1" s="1"/>
  <c r="U388" i="1"/>
  <c r="AA388" i="1" s="1"/>
  <c r="U389" i="1"/>
  <c r="AA389" i="1" s="1"/>
  <c r="U390" i="1"/>
  <c r="AA390" i="1" s="1"/>
  <c r="U391" i="1"/>
  <c r="AA391" i="1" s="1"/>
  <c r="U392" i="1"/>
  <c r="AA392" i="1" s="1"/>
  <c r="U393" i="1"/>
  <c r="AA393" i="1" s="1"/>
  <c r="U394" i="1"/>
  <c r="AA394" i="1" s="1"/>
  <c r="U395" i="1"/>
  <c r="AA395" i="1" s="1"/>
  <c r="U396" i="1"/>
  <c r="AA396" i="1" s="1"/>
  <c r="U397" i="1"/>
  <c r="AA397" i="1" s="1"/>
  <c r="U398" i="1"/>
  <c r="AA398" i="1" s="1"/>
  <c r="U399" i="1"/>
  <c r="AA399" i="1" s="1"/>
  <c r="U400" i="1"/>
  <c r="AA400" i="1" s="1"/>
  <c r="U401" i="1"/>
  <c r="AA401" i="1" s="1"/>
  <c r="U402" i="1"/>
  <c r="AA402" i="1" s="1"/>
  <c r="U403" i="1"/>
  <c r="AA403" i="1" s="1"/>
  <c r="U404" i="1"/>
  <c r="AA404" i="1" s="1"/>
  <c r="U405" i="1"/>
  <c r="AA405" i="1" s="1"/>
  <c r="U406" i="1"/>
  <c r="AA406" i="1" s="1"/>
  <c r="U407" i="1"/>
  <c r="AA407" i="1" s="1"/>
  <c r="U408" i="1"/>
  <c r="AA408" i="1" s="1"/>
  <c r="U409" i="1"/>
  <c r="AA409" i="1" s="1"/>
  <c r="U410" i="1"/>
  <c r="AA410" i="1" s="1"/>
  <c r="U411" i="1"/>
  <c r="AA411" i="1" s="1"/>
  <c r="U412" i="1"/>
  <c r="AA412" i="1" s="1"/>
  <c r="U413" i="1"/>
  <c r="AA413" i="1" s="1"/>
  <c r="U414" i="1"/>
  <c r="AA414" i="1" s="1"/>
  <c r="U415" i="1"/>
  <c r="AA415" i="1" s="1"/>
  <c r="U416" i="1"/>
  <c r="AA416" i="1" s="1"/>
  <c r="U417" i="1"/>
  <c r="AA417" i="1" s="1"/>
  <c r="U418" i="1"/>
  <c r="AA418" i="1" s="1"/>
  <c r="U419" i="1"/>
  <c r="AA419" i="1" s="1"/>
  <c r="U420" i="1"/>
  <c r="AA420" i="1" s="1"/>
  <c r="U421" i="1"/>
  <c r="AA421" i="1" s="1"/>
  <c r="U422" i="1"/>
  <c r="AA422" i="1" s="1"/>
  <c r="U423" i="1"/>
  <c r="AA423" i="1" s="1"/>
  <c r="U424" i="1"/>
  <c r="AA424" i="1" s="1"/>
  <c r="U425" i="1"/>
  <c r="AA425" i="1" s="1"/>
  <c r="U426" i="1"/>
  <c r="AA426" i="1" s="1"/>
  <c r="U427" i="1"/>
  <c r="AA427" i="1" s="1"/>
  <c r="U428" i="1"/>
  <c r="AA428" i="1" s="1"/>
  <c r="U429" i="1"/>
  <c r="AA429" i="1" s="1"/>
  <c r="U430" i="1"/>
  <c r="AA430" i="1" s="1"/>
  <c r="U431" i="1"/>
  <c r="AA431" i="1" s="1"/>
  <c r="U432" i="1"/>
  <c r="AA432" i="1" s="1"/>
  <c r="U433" i="1"/>
  <c r="AA433" i="1" s="1"/>
  <c r="U434" i="1"/>
  <c r="AA434" i="1" s="1"/>
  <c r="U435" i="1"/>
  <c r="AA435" i="1" s="1"/>
  <c r="U436" i="1"/>
  <c r="AA436" i="1" s="1"/>
  <c r="U437" i="1"/>
  <c r="AA437" i="1" s="1"/>
  <c r="U438" i="1"/>
  <c r="AA438" i="1" s="1"/>
  <c r="U439" i="1"/>
  <c r="AA439" i="1" s="1"/>
  <c r="U440" i="1"/>
  <c r="AA440" i="1" s="1"/>
  <c r="U441" i="1"/>
  <c r="AA441" i="1" s="1"/>
  <c r="U442" i="1"/>
  <c r="AA442" i="1" s="1"/>
  <c r="U443" i="1"/>
  <c r="AA443" i="1" s="1"/>
  <c r="U444" i="1"/>
  <c r="AA444" i="1" s="1"/>
  <c r="U445" i="1"/>
  <c r="AA445" i="1" s="1"/>
  <c r="U446" i="1"/>
  <c r="AA446" i="1" s="1"/>
  <c r="U447" i="1"/>
  <c r="AA447" i="1" s="1"/>
  <c r="U448" i="1"/>
  <c r="AA448" i="1" s="1"/>
  <c r="U449" i="1"/>
  <c r="AA449" i="1" s="1"/>
  <c r="U450" i="1"/>
  <c r="AA450" i="1" s="1"/>
  <c r="U451" i="1"/>
  <c r="AA451" i="1" s="1"/>
  <c r="U452" i="1"/>
  <c r="AA452" i="1" s="1"/>
  <c r="U453" i="1"/>
  <c r="AA453" i="1" s="1"/>
  <c r="U454" i="1"/>
  <c r="AA454" i="1" s="1"/>
  <c r="U455" i="1"/>
  <c r="AA455" i="1" s="1"/>
  <c r="U456" i="1"/>
  <c r="AA456" i="1" s="1"/>
  <c r="U457" i="1"/>
  <c r="AA457" i="1" s="1"/>
  <c r="U458" i="1"/>
  <c r="AA458" i="1" s="1"/>
  <c r="U459" i="1"/>
  <c r="AA459" i="1" s="1"/>
  <c r="U460" i="1"/>
  <c r="AA460" i="1" s="1"/>
  <c r="U461" i="1"/>
  <c r="AA461" i="1" s="1"/>
  <c r="U462" i="1"/>
  <c r="AA462" i="1" s="1"/>
  <c r="U463" i="1"/>
  <c r="AA463" i="1" s="1"/>
  <c r="U464" i="1"/>
  <c r="AA464" i="1" s="1"/>
  <c r="U465" i="1"/>
  <c r="AA465" i="1" s="1"/>
  <c r="U466" i="1"/>
  <c r="AA466" i="1" s="1"/>
  <c r="U467" i="1"/>
  <c r="AA467" i="1" s="1"/>
  <c r="U468" i="1"/>
  <c r="AA468" i="1" s="1"/>
  <c r="U469" i="1"/>
  <c r="AA469" i="1" s="1"/>
  <c r="U470" i="1"/>
  <c r="AA470" i="1" s="1"/>
  <c r="U471" i="1"/>
  <c r="AA471" i="1" s="1"/>
  <c r="U472" i="1"/>
  <c r="AA472" i="1" s="1"/>
  <c r="U473" i="1"/>
  <c r="AA473" i="1" s="1"/>
  <c r="U474" i="1"/>
  <c r="AA474" i="1" s="1"/>
  <c r="U475" i="1"/>
  <c r="AA475" i="1" s="1"/>
  <c r="U476" i="1"/>
  <c r="AA476" i="1" s="1"/>
  <c r="U477" i="1"/>
  <c r="AA477" i="1" s="1"/>
  <c r="U478" i="1"/>
  <c r="AA478" i="1" s="1"/>
  <c r="U479" i="1"/>
  <c r="AA479" i="1" s="1"/>
  <c r="U480" i="1"/>
  <c r="AA480" i="1" s="1"/>
  <c r="U481" i="1"/>
  <c r="AA481" i="1" s="1"/>
  <c r="U482" i="1"/>
  <c r="AA482" i="1" s="1"/>
  <c r="U483" i="1"/>
  <c r="AA483" i="1" s="1"/>
  <c r="U484" i="1"/>
  <c r="AA484" i="1" s="1"/>
  <c r="U485" i="1"/>
  <c r="AA485" i="1" s="1"/>
  <c r="U486" i="1"/>
  <c r="AA486" i="1" s="1"/>
  <c r="U487" i="1"/>
  <c r="AA487" i="1" s="1"/>
  <c r="U488" i="1"/>
  <c r="AA488" i="1" s="1"/>
  <c r="U489" i="1"/>
  <c r="AA489" i="1" s="1"/>
  <c r="U490" i="1"/>
  <c r="AA490" i="1" s="1"/>
  <c r="U491" i="1"/>
  <c r="AA491" i="1" s="1"/>
  <c r="U492" i="1"/>
  <c r="AA492" i="1" s="1"/>
  <c r="U493" i="1"/>
  <c r="AA493" i="1" s="1"/>
  <c r="U494" i="1"/>
  <c r="AA494" i="1" s="1"/>
  <c r="U495" i="1"/>
  <c r="AA495" i="1" s="1"/>
  <c r="U496" i="1"/>
  <c r="AA496" i="1" s="1"/>
  <c r="U497" i="1"/>
  <c r="AA497" i="1" s="1"/>
  <c r="U498" i="1"/>
  <c r="AA498" i="1" s="1"/>
  <c r="U499" i="1"/>
  <c r="AA499" i="1" s="1"/>
  <c r="U500" i="1"/>
  <c r="AA500" i="1" s="1"/>
  <c r="U501" i="1"/>
  <c r="AA501" i="1" s="1"/>
  <c r="U502" i="1"/>
  <c r="AA502" i="1" s="1"/>
  <c r="U503" i="1"/>
  <c r="AA503" i="1" s="1"/>
  <c r="U504" i="1"/>
  <c r="AA504" i="1" s="1"/>
  <c r="U505" i="1"/>
  <c r="AA505" i="1" s="1"/>
  <c r="U506" i="1"/>
  <c r="AA506" i="1" s="1"/>
  <c r="U507" i="1"/>
  <c r="AA507" i="1" s="1"/>
  <c r="U508" i="1"/>
  <c r="AA508" i="1" s="1"/>
  <c r="U509" i="1"/>
  <c r="AA509" i="1" s="1"/>
  <c r="U510" i="1"/>
  <c r="AA510" i="1" s="1"/>
  <c r="U511" i="1"/>
  <c r="AA511" i="1" s="1"/>
  <c r="U512" i="1"/>
  <c r="AA512" i="1" s="1"/>
  <c r="U513" i="1"/>
  <c r="AA513" i="1" s="1"/>
  <c r="U514" i="1"/>
  <c r="AA514" i="1" s="1"/>
  <c r="U515" i="1"/>
  <c r="AA515" i="1" s="1"/>
  <c r="U516" i="1"/>
  <c r="AA516" i="1" s="1"/>
  <c r="U517" i="1"/>
  <c r="AA517" i="1" s="1"/>
  <c r="U518" i="1"/>
  <c r="AA518" i="1" s="1"/>
  <c r="U519" i="1"/>
  <c r="AA519" i="1" s="1"/>
  <c r="U520" i="1"/>
  <c r="AA520" i="1" s="1"/>
  <c r="U521" i="1"/>
  <c r="AA521" i="1" s="1"/>
  <c r="U522" i="1"/>
  <c r="AA522" i="1" s="1"/>
  <c r="U523" i="1"/>
  <c r="AA523" i="1" s="1"/>
  <c r="U524" i="1"/>
  <c r="AA524" i="1" s="1"/>
  <c r="U525" i="1"/>
  <c r="AA525" i="1" s="1"/>
  <c r="U526" i="1"/>
  <c r="AA526" i="1" s="1"/>
  <c r="U527" i="1"/>
  <c r="AA527" i="1" s="1"/>
  <c r="U528" i="1"/>
  <c r="AA528" i="1" s="1"/>
  <c r="U529" i="1"/>
  <c r="AA529" i="1" s="1"/>
  <c r="U530" i="1"/>
  <c r="AA530" i="1" s="1"/>
  <c r="U531" i="1"/>
  <c r="AA531" i="1" s="1"/>
  <c r="U532" i="1"/>
  <c r="AA532" i="1" s="1"/>
  <c r="U533" i="1"/>
  <c r="AA533" i="1" s="1"/>
  <c r="U534" i="1"/>
  <c r="AA534" i="1" s="1"/>
  <c r="U535" i="1"/>
  <c r="AA535" i="1" s="1"/>
  <c r="U536" i="1"/>
  <c r="AA536" i="1" s="1"/>
  <c r="U537" i="1"/>
  <c r="AA537" i="1" s="1"/>
  <c r="U538" i="1"/>
  <c r="AA538" i="1" s="1"/>
  <c r="U539" i="1"/>
  <c r="AA539" i="1" s="1"/>
  <c r="U540" i="1"/>
  <c r="AA540" i="1" s="1"/>
  <c r="U541" i="1"/>
  <c r="AA541" i="1" s="1"/>
  <c r="U542" i="1"/>
  <c r="AA542" i="1" s="1"/>
  <c r="U543" i="1"/>
  <c r="AA543" i="1" s="1"/>
  <c r="U544" i="1"/>
  <c r="AA544" i="1" s="1"/>
  <c r="U545" i="1"/>
  <c r="AA545" i="1" s="1"/>
  <c r="U546" i="1"/>
  <c r="AA546" i="1" s="1"/>
  <c r="U547" i="1"/>
  <c r="AA547" i="1" s="1"/>
  <c r="U548" i="1"/>
  <c r="AA548" i="1" s="1"/>
  <c r="U549" i="1"/>
  <c r="AA549" i="1" s="1"/>
  <c r="U550" i="1"/>
  <c r="AA550" i="1" s="1"/>
  <c r="U551" i="1"/>
  <c r="AA551" i="1" s="1"/>
  <c r="U552" i="1"/>
  <c r="AA552" i="1" s="1"/>
  <c r="U553" i="1"/>
  <c r="AA553" i="1" s="1"/>
  <c r="U554" i="1"/>
  <c r="AA554" i="1" s="1"/>
  <c r="U555" i="1"/>
  <c r="AA555" i="1" s="1"/>
  <c r="U556" i="1"/>
  <c r="AA556" i="1" s="1"/>
  <c r="U557" i="1"/>
  <c r="AA557" i="1" s="1"/>
  <c r="U558" i="1"/>
  <c r="AA558" i="1" s="1"/>
  <c r="U559" i="1"/>
  <c r="AA559" i="1" s="1"/>
  <c r="U560" i="1"/>
  <c r="AA560" i="1" s="1"/>
  <c r="U561" i="1"/>
  <c r="AA561" i="1" s="1"/>
  <c r="U562" i="1"/>
  <c r="AA562" i="1" s="1"/>
  <c r="U563" i="1"/>
  <c r="AA563" i="1" s="1"/>
  <c r="U564" i="1"/>
  <c r="AA564" i="1" s="1"/>
  <c r="U565" i="1"/>
  <c r="AA565" i="1" s="1"/>
  <c r="U566" i="1"/>
  <c r="AA566" i="1" s="1"/>
  <c r="U567" i="1"/>
  <c r="AA567" i="1" s="1"/>
  <c r="U568" i="1"/>
  <c r="AA568" i="1" s="1"/>
  <c r="U569" i="1"/>
  <c r="AA569" i="1" s="1"/>
  <c r="U570" i="1"/>
  <c r="AA570" i="1" s="1"/>
  <c r="U571" i="1"/>
  <c r="AA571" i="1" s="1"/>
  <c r="U572" i="1"/>
  <c r="AA572" i="1" s="1"/>
  <c r="U573" i="1"/>
  <c r="AA573" i="1" s="1"/>
  <c r="U574" i="1"/>
  <c r="AA574" i="1" s="1"/>
  <c r="U575" i="1"/>
  <c r="AA575" i="1" s="1"/>
  <c r="U576" i="1"/>
  <c r="AA576" i="1" s="1"/>
  <c r="U577" i="1"/>
  <c r="AA577" i="1" s="1"/>
  <c r="U578" i="1"/>
  <c r="AA578" i="1" s="1"/>
  <c r="U579" i="1"/>
  <c r="AA579" i="1" s="1"/>
  <c r="U580" i="1"/>
  <c r="AA580" i="1" s="1"/>
  <c r="U581" i="1"/>
  <c r="AA581" i="1" s="1"/>
  <c r="U582" i="1"/>
  <c r="AA582" i="1" s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600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600" i="1"/>
  <c r="Q4" i="1"/>
  <c r="S600" i="1" l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131" i="1"/>
  <c r="S127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5" i="1"/>
  <c r="S103" i="1"/>
  <c r="S102" i="1"/>
  <c r="S101" i="1"/>
  <c r="S99" i="1"/>
  <c r="S98" i="1"/>
  <c r="S97" i="1"/>
  <c r="S96" i="1"/>
  <c r="S94" i="1"/>
  <c r="S93" i="1"/>
  <c r="S92" i="1"/>
  <c r="S91" i="1"/>
  <c r="S90" i="1"/>
  <c r="S89" i="1"/>
  <c r="S88" i="1"/>
  <c r="S86" i="1"/>
  <c r="S85" i="1"/>
  <c r="S83" i="1"/>
  <c r="S82" i="1"/>
  <c r="S81" i="1"/>
  <c r="S80" i="1"/>
  <c r="S79" i="1"/>
  <c r="S77" i="1"/>
  <c r="S76" i="1"/>
  <c r="S75" i="1"/>
  <c r="S74" i="1"/>
  <c r="S73" i="1"/>
  <c r="S72" i="1"/>
  <c r="S71" i="1"/>
  <c r="S68" i="1"/>
  <c r="S67" i="1"/>
  <c r="S66" i="1"/>
  <c r="S65" i="1"/>
  <c r="S63" i="1"/>
  <c r="S61" i="1"/>
  <c r="S60" i="1"/>
  <c r="S59" i="1"/>
  <c r="S58" i="1"/>
  <c r="S57" i="1"/>
  <c r="S56" i="1"/>
  <c r="S55" i="1"/>
  <c r="S53" i="1"/>
  <c r="S52" i="1"/>
  <c r="S51" i="1"/>
  <c r="S50" i="1"/>
  <c r="S49" i="1"/>
  <c r="S48" i="1"/>
  <c r="S47" i="1"/>
  <c r="S46" i="1"/>
  <c r="S44" i="1"/>
  <c r="S43" i="1"/>
  <c r="S42" i="1"/>
  <c r="S41" i="1"/>
  <c r="S40" i="1"/>
  <c r="S39" i="1"/>
  <c r="S38" i="1"/>
  <c r="S37" i="1"/>
  <c r="S36" i="1"/>
  <c r="S34" i="1"/>
  <c r="S33" i="1"/>
  <c r="S32" i="1"/>
  <c r="S31" i="1"/>
  <c r="S29" i="1"/>
  <c r="S28" i="1"/>
  <c r="S27" i="1"/>
  <c r="S25" i="1"/>
  <c r="S22" i="1"/>
  <c r="S18" i="1"/>
  <c r="S17" i="1"/>
  <c r="S16" i="1"/>
  <c r="S15" i="1"/>
  <c r="S14" i="1"/>
  <c r="S13" i="1"/>
  <c r="S12" i="1"/>
  <c r="S11" i="1"/>
  <c r="S10" i="1"/>
  <c r="S5" i="1"/>
  <c r="R600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AA104" i="1" s="1"/>
  <c r="AB104" i="1" s="1"/>
  <c r="AC104" i="1" s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AA84" i="1" s="1"/>
  <c r="AB84" i="1" s="1"/>
  <c r="AC84" i="1" s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AA70" i="1" s="1"/>
  <c r="AB70" i="1" s="1"/>
  <c r="AC70" i="1" s="1"/>
  <c r="R69" i="1"/>
  <c r="AA69" i="1" s="1"/>
  <c r="AB69" i="1" s="1"/>
  <c r="AC69" i="1" s="1"/>
  <c r="R68" i="1"/>
  <c r="R67" i="1"/>
  <c r="R66" i="1"/>
  <c r="R65" i="1"/>
  <c r="R64" i="1"/>
  <c r="R63" i="1"/>
  <c r="R62" i="1"/>
  <c r="AA62" i="1" s="1"/>
  <c r="AB62" i="1" s="1"/>
  <c r="AC62" i="1" s="1"/>
  <c r="R61" i="1"/>
  <c r="R60" i="1"/>
  <c r="R59" i="1"/>
  <c r="R58" i="1"/>
  <c r="R57" i="1"/>
  <c r="R56" i="1"/>
  <c r="R55" i="1"/>
  <c r="R54" i="1"/>
  <c r="AA54" i="1" s="1"/>
  <c r="AB54" i="1" s="1"/>
  <c r="AC54" i="1" s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AA19" i="1" s="1"/>
  <c r="AB19" i="1" s="1"/>
  <c r="AC19" i="1" s="1"/>
  <c r="R18" i="1"/>
  <c r="R17" i="1"/>
  <c r="R16" i="1"/>
  <c r="R15" i="1"/>
  <c r="R14" i="1"/>
  <c r="R13" i="1"/>
  <c r="R12" i="1"/>
  <c r="R11" i="1"/>
  <c r="R10" i="1"/>
  <c r="R9" i="1"/>
  <c r="R8" i="1"/>
  <c r="R7" i="1"/>
  <c r="AA7" i="1" s="1"/>
  <c r="AB7" i="1" s="1"/>
  <c r="AC7" i="1" s="1"/>
  <c r="R6" i="1"/>
  <c r="R5" i="1"/>
  <c r="R4" i="1"/>
  <c r="AA4" i="1" s="1"/>
  <c r="J53" i="2"/>
  <c r="I53" i="2"/>
  <c r="H53" i="2"/>
  <c r="G53" i="2"/>
  <c r="F53" i="2"/>
  <c r="E53" i="2"/>
  <c r="D53" i="2"/>
  <c r="C53" i="2"/>
  <c r="L51" i="2"/>
  <c r="K51" i="2"/>
  <c r="L50" i="2"/>
  <c r="K50" i="2"/>
  <c r="L49" i="2"/>
  <c r="K49" i="2"/>
  <c r="L48" i="2"/>
  <c r="K48" i="2"/>
  <c r="L46" i="2"/>
  <c r="K46" i="2"/>
  <c r="L44" i="2"/>
  <c r="K44" i="2"/>
  <c r="L42" i="2"/>
  <c r="K42" i="2"/>
  <c r="L41" i="2"/>
  <c r="K41" i="2"/>
  <c r="L40" i="2"/>
  <c r="K40" i="2"/>
  <c r="L39" i="2"/>
  <c r="K39" i="2"/>
  <c r="L37" i="2"/>
  <c r="K37" i="2"/>
  <c r="L36" i="2"/>
  <c r="K36" i="2"/>
  <c r="L35" i="2"/>
  <c r="K35" i="2"/>
  <c r="L34" i="2"/>
  <c r="K34" i="2"/>
  <c r="L33" i="2"/>
  <c r="K33" i="2"/>
  <c r="L31" i="2"/>
  <c r="K31" i="2"/>
  <c r="L30" i="2"/>
  <c r="K30" i="2"/>
  <c r="L29" i="2"/>
  <c r="K29" i="2"/>
  <c r="L28" i="2"/>
  <c r="K28" i="2"/>
  <c r="L27" i="2"/>
  <c r="K27" i="2"/>
  <c r="L26" i="2"/>
  <c r="K26" i="2"/>
  <c r="L24" i="2"/>
  <c r="K24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4" i="2"/>
  <c r="K14" i="2"/>
  <c r="L13" i="2"/>
  <c r="K13" i="2"/>
  <c r="L12" i="2"/>
  <c r="K12" i="2"/>
  <c r="L11" i="2"/>
  <c r="K11" i="2"/>
  <c r="L10" i="2"/>
  <c r="K10" i="2"/>
  <c r="L8" i="2"/>
  <c r="K8" i="2"/>
  <c r="L7" i="2"/>
  <c r="K7" i="2"/>
  <c r="L6" i="2"/>
  <c r="K6" i="2"/>
  <c r="L5" i="2"/>
  <c r="K5" i="2"/>
  <c r="L4" i="2"/>
  <c r="K4" i="2"/>
  <c r="L3" i="2"/>
  <c r="K3" i="2"/>
  <c r="AB582" i="1"/>
  <c r="AC582" i="1" s="1"/>
  <c r="AB581" i="1"/>
  <c r="AC581" i="1" s="1"/>
  <c r="AB580" i="1"/>
  <c r="AC580" i="1" s="1"/>
  <c r="AB579" i="1"/>
  <c r="AC579" i="1" s="1"/>
  <c r="AB578" i="1"/>
  <c r="AC578" i="1" s="1"/>
  <c r="AB577" i="1"/>
  <c r="AC577" i="1" s="1"/>
  <c r="AB576" i="1"/>
  <c r="AC576" i="1" s="1"/>
  <c r="AB575" i="1"/>
  <c r="AC575" i="1" s="1"/>
  <c r="AB574" i="1"/>
  <c r="AC574" i="1" s="1"/>
  <c r="AB573" i="1"/>
  <c r="AC573" i="1" s="1"/>
  <c r="AB572" i="1"/>
  <c r="AC572" i="1" s="1"/>
  <c r="AB571" i="1"/>
  <c r="AC571" i="1" s="1"/>
  <c r="AB570" i="1"/>
  <c r="AC570" i="1" s="1"/>
  <c r="AB569" i="1"/>
  <c r="AC569" i="1" s="1"/>
  <c r="AB568" i="1"/>
  <c r="AC568" i="1" s="1"/>
  <c r="AB567" i="1"/>
  <c r="AC567" i="1" s="1"/>
  <c r="AB566" i="1"/>
  <c r="AC566" i="1" s="1"/>
  <c r="AB565" i="1"/>
  <c r="AC565" i="1" s="1"/>
  <c r="AB564" i="1"/>
  <c r="AC564" i="1" s="1"/>
  <c r="AB563" i="1"/>
  <c r="AC563" i="1" s="1"/>
  <c r="AB562" i="1"/>
  <c r="AC562" i="1" s="1"/>
  <c r="AB561" i="1"/>
  <c r="AC561" i="1" s="1"/>
  <c r="AB560" i="1"/>
  <c r="AC560" i="1" s="1"/>
  <c r="AB559" i="1"/>
  <c r="AB558" i="1"/>
  <c r="AC558" i="1" s="1"/>
  <c r="AB557" i="1"/>
  <c r="AC557" i="1" s="1"/>
  <c r="AB556" i="1"/>
  <c r="AC556" i="1" s="1"/>
  <c r="AB555" i="1"/>
  <c r="AC555" i="1" s="1"/>
  <c r="AB554" i="1"/>
  <c r="AC554" i="1" s="1"/>
  <c r="AB553" i="1"/>
  <c r="AC553" i="1" s="1"/>
  <c r="AB552" i="1"/>
  <c r="AC552" i="1" s="1"/>
  <c r="AB551" i="1"/>
  <c r="AC551" i="1" s="1"/>
  <c r="AB550" i="1"/>
  <c r="AC550" i="1" s="1"/>
  <c r="AB549" i="1"/>
  <c r="AC549" i="1" s="1"/>
  <c r="AB548" i="1"/>
  <c r="AC548" i="1" s="1"/>
  <c r="AB547" i="1"/>
  <c r="AC547" i="1" s="1"/>
  <c r="AB546" i="1"/>
  <c r="AC546" i="1" s="1"/>
  <c r="AB545" i="1"/>
  <c r="AC545" i="1" s="1"/>
  <c r="AB544" i="1"/>
  <c r="AC544" i="1" s="1"/>
  <c r="AB543" i="1"/>
  <c r="AC543" i="1" s="1"/>
  <c r="AB542" i="1"/>
  <c r="AC542" i="1" s="1"/>
  <c r="AB541" i="1"/>
  <c r="AC541" i="1" s="1"/>
  <c r="AB540" i="1"/>
  <c r="AC540" i="1" s="1"/>
  <c r="AB539" i="1"/>
  <c r="AC539" i="1" s="1"/>
  <c r="AB538" i="1"/>
  <c r="AC538" i="1" s="1"/>
  <c r="AB537" i="1"/>
  <c r="AC537" i="1" s="1"/>
  <c r="AB536" i="1"/>
  <c r="AC536" i="1" s="1"/>
  <c r="AB535" i="1"/>
  <c r="AC535" i="1" s="1"/>
  <c r="AB534" i="1"/>
  <c r="AC534" i="1" s="1"/>
  <c r="AB533" i="1"/>
  <c r="AC533" i="1" s="1"/>
  <c r="AB532" i="1"/>
  <c r="AC532" i="1" s="1"/>
  <c r="AB531" i="1"/>
  <c r="AC531" i="1" s="1"/>
  <c r="AB530" i="1"/>
  <c r="AC530" i="1" s="1"/>
  <c r="AB529" i="1"/>
  <c r="AC529" i="1" s="1"/>
  <c r="AB528" i="1"/>
  <c r="AC528" i="1" s="1"/>
  <c r="AB527" i="1"/>
  <c r="AC527" i="1" s="1"/>
  <c r="AB526" i="1"/>
  <c r="AC526" i="1" s="1"/>
  <c r="AB525" i="1"/>
  <c r="AC525" i="1" s="1"/>
  <c r="AB524" i="1"/>
  <c r="AC524" i="1" s="1"/>
  <c r="AB523" i="1"/>
  <c r="AC523" i="1" s="1"/>
  <c r="AB522" i="1"/>
  <c r="AC522" i="1" s="1"/>
  <c r="AB521" i="1"/>
  <c r="AC521" i="1" s="1"/>
  <c r="AB520" i="1"/>
  <c r="AC520" i="1" s="1"/>
  <c r="AB519" i="1"/>
  <c r="AC519" i="1" s="1"/>
  <c r="AB518" i="1"/>
  <c r="AC518" i="1" s="1"/>
  <c r="AB517" i="1"/>
  <c r="AC517" i="1" s="1"/>
  <c r="AB516" i="1"/>
  <c r="AC516" i="1" s="1"/>
  <c r="AB515" i="1"/>
  <c r="AC515" i="1" s="1"/>
  <c r="AB514" i="1"/>
  <c r="AC514" i="1" s="1"/>
  <c r="AB513" i="1"/>
  <c r="AC513" i="1" s="1"/>
  <c r="AB512" i="1"/>
  <c r="AC512" i="1" s="1"/>
  <c r="AB511" i="1"/>
  <c r="AC511" i="1" s="1"/>
  <c r="AB510" i="1"/>
  <c r="AC510" i="1" s="1"/>
  <c r="AB509" i="1"/>
  <c r="AC509" i="1" s="1"/>
  <c r="AB508" i="1"/>
  <c r="AC508" i="1" s="1"/>
  <c r="AB507" i="1"/>
  <c r="AC507" i="1" s="1"/>
  <c r="AB506" i="1"/>
  <c r="AC506" i="1" s="1"/>
  <c r="AB505" i="1"/>
  <c r="AC505" i="1" s="1"/>
  <c r="AB504" i="1"/>
  <c r="AC504" i="1" s="1"/>
  <c r="AB503" i="1"/>
  <c r="AC503" i="1" s="1"/>
  <c r="AB502" i="1"/>
  <c r="AC502" i="1" s="1"/>
  <c r="AB501" i="1"/>
  <c r="AC501" i="1" s="1"/>
  <c r="AB500" i="1"/>
  <c r="AC500" i="1" s="1"/>
  <c r="AB499" i="1"/>
  <c r="AC499" i="1" s="1"/>
  <c r="AB498" i="1"/>
  <c r="AC498" i="1" s="1"/>
  <c r="AB497" i="1"/>
  <c r="AC497" i="1" s="1"/>
  <c r="AB496" i="1"/>
  <c r="AC496" i="1" s="1"/>
  <c r="AB495" i="1"/>
  <c r="AC495" i="1" s="1"/>
  <c r="AB494" i="1"/>
  <c r="AC494" i="1" s="1"/>
  <c r="AB493" i="1"/>
  <c r="AC493" i="1" s="1"/>
  <c r="AB492" i="1"/>
  <c r="AC492" i="1" s="1"/>
  <c r="AB491" i="1"/>
  <c r="AC491" i="1" s="1"/>
  <c r="AB490" i="1"/>
  <c r="AC490" i="1" s="1"/>
  <c r="AB489" i="1"/>
  <c r="AC489" i="1" s="1"/>
  <c r="AB488" i="1"/>
  <c r="AC488" i="1" s="1"/>
  <c r="AB487" i="1"/>
  <c r="AC487" i="1" s="1"/>
  <c r="AB486" i="1"/>
  <c r="AC486" i="1" s="1"/>
  <c r="AB485" i="1"/>
  <c r="AC485" i="1" s="1"/>
  <c r="AB484" i="1"/>
  <c r="AC484" i="1" s="1"/>
  <c r="AB483" i="1"/>
  <c r="AC483" i="1" s="1"/>
  <c r="AB482" i="1"/>
  <c r="AC482" i="1" s="1"/>
  <c r="AB481" i="1"/>
  <c r="AC481" i="1" s="1"/>
  <c r="AB480" i="1"/>
  <c r="AC480" i="1" s="1"/>
  <c r="AB479" i="1"/>
  <c r="AC479" i="1" s="1"/>
  <c r="AB478" i="1"/>
  <c r="AC478" i="1" s="1"/>
  <c r="AB477" i="1"/>
  <c r="AC477" i="1" s="1"/>
  <c r="AB476" i="1"/>
  <c r="AC476" i="1" s="1"/>
  <c r="AB475" i="1"/>
  <c r="AC475" i="1" s="1"/>
  <c r="AB474" i="1"/>
  <c r="AC474" i="1" s="1"/>
  <c r="AB473" i="1"/>
  <c r="AC473" i="1" s="1"/>
  <c r="AB472" i="1"/>
  <c r="AC472" i="1" s="1"/>
  <c r="AB471" i="1"/>
  <c r="AC471" i="1" s="1"/>
  <c r="AB470" i="1"/>
  <c r="AC470" i="1" s="1"/>
  <c r="AB469" i="1"/>
  <c r="AC469" i="1" s="1"/>
  <c r="AB468" i="1"/>
  <c r="AC468" i="1" s="1"/>
  <c r="AB467" i="1"/>
  <c r="AC467" i="1" s="1"/>
  <c r="AB466" i="1"/>
  <c r="AC466" i="1" s="1"/>
  <c r="AB465" i="1"/>
  <c r="AC465" i="1" s="1"/>
  <c r="AB464" i="1"/>
  <c r="AC464" i="1" s="1"/>
  <c r="AB463" i="1"/>
  <c r="AC463" i="1" s="1"/>
  <c r="AB462" i="1"/>
  <c r="AC462" i="1" s="1"/>
  <c r="AB461" i="1"/>
  <c r="AC461" i="1" s="1"/>
  <c r="AB460" i="1"/>
  <c r="AC460" i="1" s="1"/>
  <c r="AB459" i="1"/>
  <c r="AC459" i="1" s="1"/>
  <c r="AB458" i="1"/>
  <c r="AC458" i="1" s="1"/>
  <c r="AB457" i="1"/>
  <c r="AC457" i="1" s="1"/>
  <c r="AB456" i="1"/>
  <c r="AC456" i="1" s="1"/>
  <c r="AB455" i="1"/>
  <c r="AC455" i="1" s="1"/>
  <c r="AB454" i="1"/>
  <c r="AC454" i="1" s="1"/>
  <c r="AB453" i="1"/>
  <c r="AC453" i="1" s="1"/>
  <c r="AB452" i="1"/>
  <c r="AC452" i="1" s="1"/>
  <c r="AB451" i="1"/>
  <c r="AC451" i="1" s="1"/>
  <c r="AB450" i="1"/>
  <c r="AC450" i="1" s="1"/>
  <c r="AB449" i="1"/>
  <c r="AC449" i="1" s="1"/>
  <c r="AB448" i="1"/>
  <c r="AC448" i="1" s="1"/>
  <c r="AB447" i="1"/>
  <c r="AC447" i="1" s="1"/>
  <c r="AB446" i="1"/>
  <c r="AC446" i="1" s="1"/>
  <c r="AB445" i="1"/>
  <c r="AC445" i="1" s="1"/>
  <c r="AB444" i="1"/>
  <c r="AC444" i="1" s="1"/>
  <c r="AB443" i="1"/>
  <c r="AC443" i="1" s="1"/>
  <c r="AB442" i="1"/>
  <c r="AC442" i="1" s="1"/>
  <c r="AB441" i="1"/>
  <c r="AC441" i="1" s="1"/>
  <c r="AB440" i="1"/>
  <c r="AC440" i="1" s="1"/>
  <c r="AB439" i="1"/>
  <c r="AC439" i="1" s="1"/>
  <c r="AB438" i="1"/>
  <c r="AC438" i="1" s="1"/>
  <c r="AB437" i="1"/>
  <c r="AC437" i="1" s="1"/>
  <c r="AB436" i="1"/>
  <c r="AC436" i="1" s="1"/>
  <c r="AB435" i="1"/>
  <c r="AC435" i="1" s="1"/>
  <c r="AB434" i="1"/>
  <c r="AC434" i="1" s="1"/>
  <c r="AB433" i="1"/>
  <c r="AC433" i="1" s="1"/>
  <c r="AB432" i="1"/>
  <c r="AC432" i="1" s="1"/>
  <c r="AB431" i="1"/>
  <c r="AC431" i="1" s="1"/>
  <c r="AB430" i="1"/>
  <c r="AC430" i="1" s="1"/>
  <c r="AB429" i="1"/>
  <c r="AC429" i="1" s="1"/>
  <c r="AB428" i="1"/>
  <c r="AC428" i="1" s="1"/>
  <c r="AB427" i="1"/>
  <c r="AC427" i="1" s="1"/>
  <c r="AB426" i="1"/>
  <c r="AC426" i="1" s="1"/>
  <c r="AB425" i="1"/>
  <c r="AC425" i="1" s="1"/>
  <c r="AB424" i="1"/>
  <c r="AC424" i="1" s="1"/>
  <c r="AB423" i="1"/>
  <c r="AC423" i="1" s="1"/>
  <c r="AB422" i="1"/>
  <c r="AC422" i="1" s="1"/>
  <c r="AB421" i="1"/>
  <c r="AC421" i="1" s="1"/>
  <c r="AB420" i="1"/>
  <c r="AC420" i="1" s="1"/>
  <c r="AB419" i="1"/>
  <c r="AC419" i="1" s="1"/>
  <c r="AB418" i="1"/>
  <c r="AC418" i="1" s="1"/>
  <c r="AB417" i="1"/>
  <c r="AC417" i="1" s="1"/>
  <c r="AB416" i="1"/>
  <c r="AC416" i="1" s="1"/>
  <c r="AB415" i="1"/>
  <c r="AC415" i="1" s="1"/>
  <c r="AB414" i="1"/>
  <c r="AC414" i="1" s="1"/>
  <c r="AB413" i="1"/>
  <c r="AC413" i="1" s="1"/>
  <c r="AB412" i="1"/>
  <c r="AC412" i="1" s="1"/>
  <c r="AB411" i="1"/>
  <c r="AC411" i="1" s="1"/>
  <c r="AB410" i="1"/>
  <c r="AC410" i="1" s="1"/>
  <c r="AB409" i="1"/>
  <c r="AC409" i="1" s="1"/>
  <c r="AB408" i="1"/>
  <c r="AC408" i="1" s="1"/>
  <c r="AB407" i="1"/>
  <c r="AC407" i="1" s="1"/>
  <c r="AB406" i="1"/>
  <c r="AC406" i="1" s="1"/>
  <c r="AB405" i="1"/>
  <c r="AC405" i="1" s="1"/>
  <c r="AB404" i="1"/>
  <c r="AC404" i="1" s="1"/>
  <c r="AB403" i="1"/>
  <c r="AC403" i="1" s="1"/>
  <c r="AB402" i="1"/>
  <c r="AC402" i="1" s="1"/>
  <c r="AB401" i="1"/>
  <c r="AC401" i="1" s="1"/>
  <c r="AB400" i="1"/>
  <c r="AC400" i="1" s="1"/>
  <c r="AB399" i="1"/>
  <c r="AC399" i="1" s="1"/>
  <c r="AB398" i="1"/>
  <c r="AC398" i="1" s="1"/>
  <c r="AB397" i="1"/>
  <c r="AC397" i="1" s="1"/>
  <c r="AB396" i="1"/>
  <c r="AC396" i="1" s="1"/>
  <c r="AB395" i="1"/>
  <c r="AC395" i="1" s="1"/>
  <c r="AB394" i="1"/>
  <c r="AC394" i="1" s="1"/>
  <c r="AB393" i="1"/>
  <c r="AC393" i="1" s="1"/>
  <c r="AB392" i="1"/>
  <c r="AC392" i="1" s="1"/>
  <c r="AB391" i="1"/>
  <c r="AC391" i="1" s="1"/>
  <c r="AB390" i="1"/>
  <c r="AC390" i="1" s="1"/>
  <c r="AB389" i="1"/>
  <c r="AC389" i="1" s="1"/>
  <c r="AB388" i="1"/>
  <c r="AC388" i="1" s="1"/>
  <c r="AB387" i="1"/>
  <c r="AC387" i="1" s="1"/>
  <c r="AB386" i="1"/>
  <c r="AC386" i="1" s="1"/>
  <c r="AB385" i="1"/>
  <c r="AC385" i="1" s="1"/>
  <c r="AB384" i="1"/>
  <c r="AC384" i="1" s="1"/>
  <c r="AB383" i="1"/>
  <c r="AC383" i="1" s="1"/>
  <c r="AB382" i="1"/>
  <c r="AC382" i="1" s="1"/>
  <c r="AB381" i="1"/>
  <c r="AC381" i="1" s="1"/>
  <c r="AB380" i="1"/>
  <c r="AC380" i="1" s="1"/>
  <c r="AB379" i="1"/>
  <c r="AC379" i="1" s="1"/>
  <c r="AB378" i="1"/>
  <c r="AC378" i="1" s="1"/>
  <c r="AB377" i="1"/>
  <c r="AC377" i="1" s="1"/>
  <c r="AB376" i="1"/>
  <c r="AC376" i="1" s="1"/>
  <c r="AB375" i="1"/>
  <c r="AC375" i="1" s="1"/>
  <c r="AB374" i="1"/>
  <c r="AC374" i="1" s="1"/>
  <c r="AB373" i="1"/>
  <c r="AC373" i="1" s="1"/>
  <c r="AB372" i="1"/>
  <c r="AC372" i="1" s="1"/>
  <c r="AB371" i="1"/>
  <c r="AC371" i="1" s="1"/>
  <c r="AB370" i="1"/>
  <c r="AC370" i="1" s="1"/>
  <c r="AB369" i="1"/>
  <c r="AC369" i="1" s="1"/>
  <c r="AB368" i="1"/>
  <c r="AC368" i="1" s="1"/>
  <c r="AB367" i="1"/>
  <c r="AC367" i="1" s="1"/>
  <c r="AB366" i="1"/>
  <c r="AC366" i="1" s="1"/>
  <c r="AB365" i="1"/>
  <c r="AC365" i="1" s="1"/>
  <c r="AB364" i="1"/>
  <c r="AC364" i="1" s="1"/>
  <c r="AB363" i="1"/>
  <c r="AC363" i="1" s="1"/>
  <c r="AB362" i="1"/>
  <c r="AC362" i="1" s="1"/>
  <c r="AB361" i="1"/>
  <c r="AC361" i="1" s="1"/>
  <c r="AB360" i="1"/>
  <c r="AC360" i="1" s="1"/>
  <c r="AB359" i="1"/>
  <c r="AC359" i="1" s="1"/>
  <c r="AB358" i="1"/>
  <c r="AC358" i="1" s="1"/>
  <c r="AB357" i="1"/>
  <c r="AC357" i="1" s="1"/>
  <c r="AB356" i="1"/>
  <c r="AC356" i="1" s="1"/>
  <c r="AB355" i="1"/>
  <c r="AC355" i="1" s="1"/>
  <c r="AB354" i="1"/>
  <c r="AC354" i="1" s="1"/>
  <c r="AB353" i="1"/>
  <c r="AC353" i="1" s="1"/>
  <c r="AB352" i="1"/>
  <c r="AC352" i="1" s="1"/>
  <c r="AB351" i="1"/>
  <c r="AC351" i="1" s="1"/>
  <c r="AB350" i="1"/>
  <c r="AC350" i="1" s="1"/>
  <c r="AB349" i="1"/>
  <c r="AC349" i="1" s="1"/>
  <c r="AB348" i="1"/>
  <c r="AC348" i="1" s="1"/>
  <c r="AB347" i="1"/>
  <c r="AC347" i="1" s="1"/>
  <c r="AB346" i="1"/>
  <c r="AC346" i="1" s="1"/>
  <c r="AB345" i="1"/>
  <c r="AC345" i="1" s="1"/>
  <c r="AB344" i="1"/>
  <c r="AC344" i="1" s="1"/>
  <c r="AB343" i="1"/>
  <c r="AC343" i="1" s="1"/>
  <c r="AB342" i="1"/>
  <c r="AC342" i="1" s="1"/>
  <c r="AB341" i="1"/>
  <c r="AC341" i="1" s="1"/>
  <c r="AB340" i="1"/>
  <c r="AC340" i="1" s="1"/>
  <c r="AB339" i="1"/>
  <c r="AC339" i="1" s="1"/>
  <c r="AB338" i="1"/>
  <c r="AC338" i="1" s="1"/>
  <c r="AB337" i="1"/>
  <c r="AC337" i="1" s="1"/>
  <c r="AB336" i="1"/>
  <c r="AC336" i="1" s="1"/>
  <c r="AB335" i="1"/>
  <c r="AC335" i="1" s="1"/>
  <c r="AB334" i="1"/>
  <c r="AC334" i="1" s="1"/>
  <c r="AB333" i="1"/>
  <c r="AC333" i="1" s="1"/>
  <c r="AB332" i="1"/>
  <c r="AC332" i="1" s="1"/>
  <c r="AB331" i="1"/>
  <c r="AC331" i="1" s="1"/>
  <c r="AB330" i="1"/>
  <c r="AC330" i="1" s="1"/>
  <c r="AB329" i="1"/>
  <c r="AC329" i="1" s="1"/>
  <c r="AB328" i="1"/>
  <c r="AC328" i="1" s="1"/>
  <c r="AB327" i="1"/>
  <c r="AC327" i="1" s="1"/>
  <c r="AB326" i="1"/>
  <c r="AC326" i="1" s="1"/>
  <c r="AB325" i="1"/>
  <c r="AC325" i="1" s="1"/>
  <c r="AB324" i="1"/>
  <c r="AC324" i="1" s="1"/>
  <c r="AB323" i="1"/>
  <c r="AC323" i="1" s="1"/>
  <c r="AB322" i="1"/>
  <c r="AC322" i="1" s="1"/>
  <c r="AB321" i="1"/>
  <c r="AC321" i="1" s="1"/>
  <c r="AB320" i="1"/>
  <c r="AC320" i="1" s="1"/>
  <c r="AB319" i="1"/>
  <c r="AC319" i="1" s="1"/>
  <c r="AB318" i="1"/>
  <c r="AC318" i="1" s="1"/>
  <c r="AB317" i="1"/>
  <c r="AC317" i="1" s="1"/>
  <c r="AB316" i="1"/>
  <c r="AC316" i="1" s="1"/>
  <c r="AB315" i="1"/>
  <c r="AC315" i="1" s="1"/>
  <c r="AB314" i="1"/>
  <c r="AC314" i="1" s="1"/>
  <c r="AB313" i="1"/>
  <c r="AC313" i="1" s="1"/>
  <c r="AB312" i="1"/>
  <c r="AC312" i="1" s="1"/>
  <c r="AB311" i="1"/>
  <c r="AC311" i="1" s="1"/>
  <c r="AB310" i="1"/>
  <c r="AC310" i="1" s="1"/>
  <c r="AB309" i="1"/>
  <c r="AC309" i="1" s="1"/>
  <c r="AB308" i="1"/>
  <c r="AC308" i="1" s="1"/>
  <c r="AB307" i="1"/>
  <c r="AC307" i="1" s="1"/>
  <c r="AB306" i="1"/>
  <c r="AC306" i="1" s="1"/>
  <c r="AB305" i="1"/>
  <c r="AC305" i="1" s="1"/>
  <c r="AB304" i="1"/>
  <c r="AC304" i="1" s="1"/>
  <c r="AB303" i="1"/>
  <c r="AC303" i="1" s="1"/>
  <c r="AB302" i="1"/>
  <c r="AC302" i="1" s="1"/>
  <c r="AB301" i="1"/>
  <c r="AC301" i="1" s="1"/>
  <c r="AB300" i="1"/>
  <c r="AC300" i="1" s="1"/>
  <c r="AB299" i="1"/>
  <c r="AC299" i="1" s="1"/>
  <c r="AB298" i="1"/>
  <c r="AC298" i="1" s="1"/>
  <c r="AB297" i="1"/>
  <c r="AC297" i="1" s="1"/>
  <c r="AB296" i="1"/>
  <c r="AC296" i="1" s="1"/>
  <c r="AB295" i="1"/>
  <c r="AC295" i="1" s="1"/>
  <c r="AB294" i="1"/>
  <c r="AC294" i="1" s="1"/>
  <c r="AB293" i="1"/>
  <c r="AC293" i="1" s="1"/>
  <c r="AB292" i="1"/>
  <c r="AC292" i="1" s="1"/>
  <c r="AB291" i="1"/>
  <c r="AC291" i="1" s="1"/>
  <c r="AB290" i="1"/>
  <c r="AC290" i="1" s="1"/>
  <c r="AB289" i="1"/>
  <c r="AC289" i="1" s="1"/>
  <c r="AB288" i="1"/>
  <c r="AC288" i="1" s="1"/>
  <c r="AB287" i="1"/>
  <c r="AC287" i="1" s="1"/>
  <c r="AB286" i="1"/>
  <c r="AC286" i="1" s="1"/>
  <c r="AB285" i="1"/>
  <c r="AC285" i="1" s="1"/>
  <c r="AB284" i="1"/>
  <c r="AC284" i="1" s="1"/>
  <c r="AB283" i="1"/>
  <c r="AC283" i="1" s="1"/>
  <c r="AB282" i="1"/>
  <c r="AC282" i="1" s="1"/>
  <c r="AB281" i="1"/>
  <c r="AC281" i="1" s="1"/>
  <c r="AB280" i="1"/>
  <c r="AC280" i="1" s="1"/>
  <c r="AB279" i="1"/>
  <c r="AC279" i="1" s="1"/>
  <c r="AB278" i="1"/>
  <c r="AC278" i="1" s="1"/>
  <c r="AB277" i="1"/>
  <c r="AC277" i="1" s="1"/>
  <c r="AB276" i="1"/>
  <c r="AC276" i="1" s="1"/>
  <c r="AB275" i="1"/>
  <c r="AC275" i="1" s="1"/>
  <c r="AB274" i="1"/>
  <c r="AC274" i="1" s="1"/>
  <c r="AB273" i="1"/>
  <c r="AC273" i="1" s="1"/>
  <c r="AB272" i="1"/>
  <c r="AC272" i="1" s="1"/>
  <c r="AB271" i="1"/>
  <c r="AC271" i="1" s="1"/>
  <c r="AB270" i="1"/>
  <c r="AC270" i="1" s="1"/>
  <c r="AB269" i="1"/>
  <c r="AC269" i="1" s="1"/>
  <c r="AB268" i="1"/>
  <c r="AC268" i="1" s="1"/>
  <c r="AB267" i="1"/>
  <c r="AC267" i="1" s="1"/>
  <c r="AB266" i="1"/>
  <c r="AC266" i="1" s="1"/>
  <c r="AB265" i="1"/>
  <c r="AC265" i="1" s="1"/>
  <c r="AB264" i="1"/>
  <c r="AC264" i="1" s="1"/>
  <c r="AB263" i="1"/>
  <c r="AC263" i="1" s="1"/>
  <c r="AB262" i="1"/>
  <c r="AC262" i="1" s="1"/>
  <c r="AB261" i="1"/>
  <c r="AC261" i="1" s="1"/>
  <c r="AB260" i="1"/>
  <c r="AC260" i="1" s="1"/>
  <c r="AB259" i="1"/>
  <c r="AC259" i="1" s="1"/>
  <c r="AB258" i="1"/>
  <c r="AC258" i="1" s="1"/>
  <c r="AB257" i="1"/>
  <c r="AC257" i="1" s="1"/>
  <c r="AB256" i="1"/>
  <c r="AC256" i="1" s="1"/>
  <c r="AB255" i="1"/>
  <c r="AC255" i="1" s="1"/>
  <c r="AB254" i="1"/>
  <c r="AC254" i="1" s="1"/>
  <c r="AB253" i="1"/>
  <c r="AC253" i="1" s="1"/>
  <c r="AB252" i="1"/>
  <c r="AC252" i="1" s="1"/>
  <c r="AB251" i="1"/>
  <c r="AC251" i="1" s="1"/>
  <c r="AB250" i="1"/>
  <c r="AC250" i="1" s="1"/>
  <c r="AB249" i="1"/>
  <c r="AC249" i="1" s="1"/>
  <c r="AB248" i="1"/>
  <c r="AC248" i="1" s="1"/>
  <c r="AB247" i="1"/>
  <c r="AC247" i="1" s="1"/>
  <c r="AB246" i="1"/>
  <c r="AC246" i="1" s="1"/>
  <c r="AB245" i="1"/>
  <c r="AC245" i="1" s="1"/>
  <c r="AB244" i="1"/>
  <c r="AC244" i="1" s="1"/>
  <c r="AB243" i="1"/>
  <c r="AC243" i="1" s="1"/>
  <c r="AB242" i="1"/>
  <c r="AC242" i="1" s="1"/>
  <c r="AB241" i="1"/>
  <c r="AC241" i="1" s="1"/>
  <c r="AB240" i="1"/>
  <c r="AC240" i="1" s="1"/>
  <c r="AB239" i="1"/>
  <c r="AC239" i="1" s="1"/>
  <c r="AB238" i="1"/>
  <c r="AC238" i="1" s="1"/>
  <c r="AB237" i="1"/>
  <c r="AC237" i="1" s="1"/>
  <c r="AB236" i="1"/>
  <c r="AC236" i="1" s="1"/>
  <c r="AB235" i="1"/>
  <c r="AC235" i="1" s="1"/>
  <c r="AB234" i="1"/>
  <c r="AC234" i="1" s="1"/>
  <c r="AB233" i="1"/>
  <c r="AC233" i="1" s="1"/>
  <c r="AB232" i="1"/>
  <c r="AC232" i="1" s="1"/>
  <c r="AB231" i="1"/>
  <c r="AC231" i="1" s="1"/>
  <c r="AB230" i="1"/>
  <c r="AC230" i="1" s="1"/>
  <c r="AB229" i="1"/>
  <c r="AC229" i="1" s="1"/>
  <c r="AB228" i="1"/>
  <c r="AC228" i="1" s="1"/>
  <c r="AB227" i="1"/>
  <c r="AC227" i="1" s="1"/>
  <c r="AB226" i="1"/>
  <c r="AC226" i="1" s="1"/>
  <c r="AB225" i="1"/>
  <c r="AC225" i="1" s="1"/>
  <c r="AB224" i="1"/>
  <c r="AC224" i="1" s="1"/>
  <c r="AB223" i="1"/>
  <c r="AC223" i="1" s="1"/>
  <c r="AB222" i="1"/>
  <c r="AC222" i="1" s="1"/>
  <c r="AB221" i="1"/>
  <c r="AC221" i="1" s="1"/>
  <c r="AB220" i="1"/>
  <c r="AC220" i="1" s="1"/>
  <c r="AB219" i="1"/>
  <c r="AC219" i="1" s="1"/>
  <c r="AB218" i="1"/>
  <c r="AC218" i="1" s="1"/>
  <c r="AB217" i="1"/>
  <c r="AC217" i="1" s="1"/>
  <c r="AB216" i="1"/>
  <c r="AC216" i="1" s="1"/>
  <c r="AB215" i="1"/>
  <c r="AC215" i="1" s="1"/>
  <c r="AB214" i="1"/>
  <c r="AC214" i="1" s="1"/>
  <c r="AB213" i="1"/>
  <c r="AC213" i="1" s="1"/>
  <c r="AB212" i="1"/>
  <c r="AC212" i="1" s="1"/>
  <c r="AB211" i="1"/>
  <c r="AC211" i="1" s="1"/>
  <c r="AB210" i="1"/>
  <c r="AC210" i="1" s="1"/>
  <c r="AB209" i="1"/>
  <c r="AC209" i="1" s="1"/>
  <c r="AB208" i="1"/>
  <c r="AC208" i="1" s="1"/>
  <c r="AB207" i="1"/>
  <c r="AC207" i="1" s="1"/>
  <c r="AB206" i="1"/>
  <c r="AC206" i="1" s="1"/>
  <c r="AB205" i="1"/>
  <c r="AC205" i="1" s="1"/>
  <c r="AB204" i="1"/>
  <c r="AC204" i="1" s="1"/>
  <c r="AB203" i="1"/>
  <c r="AC203" i="1" s="1"/>
  <c r="AB202" i="1"/>
  <c r="AC202" i="1" s="1"/>
  <c r="AB201" i="1"/>
  <c r="AC201" i="1" s="1"/>
  <c r="AB200" i="1"/>
  <c r="AC200" i="1" s="1"/>
  <c r="AB199" i="1"/>
  <c r="AC199" i="1" s="1"/>
  <c r="AB198" i="1"/>
  <c r="AC198" i="1" s="1"/>
  <c r="AB197" i="1"/>
  <c r="AC197" i="1" s="1"/>
  <c r="AB196" i="1"/>
  <c r="AC196" i="1" s="1"/>
  <c r="AB195" i="1"/>
  <c r="AC195" i="1" s="1"/>
  <c r="AB194" i="1"/>
  <c r="AC194" i="1" s="1"/>
  <c r="AB193" i="1"/>
  <c r="AC193" i="1" s="1"/>
  <c r="AB192" i="1"/>
  <c r="AC192" i="1" s="1"/>
  <c r="AB191" i="1"/>
  <c r="AC191" i="1" s="1"/>
  <c r="AB190" i="1"/>
  <c r="AC190" i="1" s="1"/>
  <c r="AB189" i="1"/>
  <c r="AC189" i="1" s="1"/>
  <c r="AB188" i="1"/>
  <c r="AC188" i="1" s="1"/>
  <c r="AB187" i="1"/>
  <c r="AC187" i="1" s="1"/>
  <c r="AB186" i="1"/>
  <c r="AC186" i="1" s="1"/>
  <c r="AB185" i="1"/>
  <c r="AC185" i="1" s="1"/>
  <c r="AB184" i="1"/>
  <c r="AC184" i="1" s="1"/>
  <c r="AB183" i="1"/>
  <c r="AC183" i="1" s="1"/>
  <c r="AB182" i="1"/>
  <c r="AC182" i="1" s="1"/>
  <c r="AB181" i="1"/>
  <c r="AC181" i="1" s="1"/>
  <c r="AB180" i="1"/>
  <c r="AC180" i="1" s="1"/>
  <c r="AB179" i="1"/>
  <c r="AC179" i="1" s="1"/>
  <c r="AB178" i="1"/>
  <c r="AC178" i="1" s="1"/>
  <c r="AB177" i="1"/>
  <c r="AC177" i="1" s="1"/>
  <c r="AB176" i="1"/>
  <c r="AC176" i="1" s="1"/>
  <c r="AB175" i="1"/>
  <c r="AC175" i="1" s="1"/>
  <c r="AB174" i="1"/>
  <c r="AC174" i="1" s="1"/>
  <c r="AB173" i="1"/>
  <c r="AC173" i="1" s="1"/>
  <c r="AB172" i="1"/>
  <c r="AC172" i="1" s="1"/>
  <c r="AB171" i="1"/>
  <c r="AC171" i="1" s="1"/>
  <c r="AB170" i="1"/>
  <c r="AC170" i="1" s="1"/>
  <c r="AB169" i="1"/>
  <c r="AC169" i="1" s="1"/>
  <c r="AB168" i="1"/>
  <c r="AC168" i="1" s="1"/>
  <c r="AB167" i="1"/>
  <c r="AC167" i="1" s="1"/>
  <c r="AB166" i="1"/>
  <c r="AC166" i="1" s="1"/>
  <c r="AB165" i="1"/>
  <c r="AC165" i="1" s="1"/>
  <c r="AB164" i="1"/>
  <c r="AC164" i="1" s="1"/>
  <c r="AB163" i="1"/>
  <c r="AC163" i="1" s="1"/>
  <c r="AB162" i="1"/>
  <c r="AC162" i="1" s="1"/>
  <c r="AB161" i="1"/>
  <c r="AC161" i="1" s="1"/>
  <c r="AB160" i="1"/>
  <c r="AC160" i="1" s="1"/>
  <c r="AB159" i="1"/>
  <c r="AC159" i="1" s="1"/>
  <c r="AB158" i="1"/>
  <c r="AC158" i="1" s="1"/>
  <c r="AB157" i="1"/>
  <c r="AC157" i="1" s="1"/>
  <c r="AB156" i="1"/>
  <c r="AC156" i="1" s="1"/>
  <c r="AB155" i="1"/>
  <c r="AC155" i="1" s="1"/>
  <c r="AB154" i="1"/>
  <c r="AC154" i="1" s="1"/>
  <c r="AB153" i="1"/>
  <c r="AC153" i="1" s="1"/>
  <c r="AB152" i="1"/>
  <c r="AC152" i="1" s="1"/>
  <c r="AB151" i="1"/>
  <c r="AC151" i="1" s="1"/>
  <c r="AB150" i="1"/>
  <c r="AC150" i="1" s="1"/>
  <c r="AB149" i="1"/>
  <c r="AC149" i="1" s="1"/>
  <c r="AB148" i="1"/>
  <c r="AC148" i="1" s="1"/>
  <c r="AB147" i="1"/>
  <c r="AC147" i="1" s="1"/>
  <c r="AB146" i="1"/>
  <c r="AC146" i="1" s="1"/>
  <c r="AB145" i="1"/>
  <c r="AC145" i="1" s="1"/>
  <c r="AB144" i="1"/>
  <c r="AC144" i="1" s="1"/>
  <c r="AB143" i="1"/>
  <c r="AC143" i="1" s="1"/>
  <c r="AB142" i="1"/>
  <c r="AC142" i="1" s="1"/>
  <c r="AC559" i="1" l="1"/>
  <c r="AA135" i="1"/>
  <c r="AB135" i="1" s="1"/>
  <c r="AC135" i="1" s="1"/>
  <c r="AA29" i="1"/>
  <c r="AB29" i="1" s="1"/>
  <c r="AC29" i="1" s="1"/>
  <c r="AA585" i="1"/>
  <c r="AB585" i="1" s="1"/>
  <c r="AC585" i="1" s="1"/>
  <c r="AA589" i="1"/>
  <c r="AB589" i="1" s="1"/>
  <c r="AC589" i="1" s="1"/>
  <c r="AA593" i="1"/>
  <c r="AB593" i="1" s="1"/>
  <c r="AC593" i="1" s="1"/>
  <c r="AA13" i="1"/>
  <c r="AB13" i="1" s="1"/>
  <c r="AC13" i="1" s="1"/>
  <c r="AA590" i="1"/>
  <c r="AB590" i="1" s="1"/>
  <c r="AC590" i="1" s="1"/>
  <c r="AA30" i="1"/>
  <c r="AB30" i="1" s="1"/>
  <c r="AC30" i="1" s="1"/>
  <c r="AA42" i="1"/>
  <c r="AB42" i="1" s="1"/>
  <c r="AC42" i="1" s="1"/>
  <c r="AA596" i="1"/>
  <c r="AB596" i="1" s="1"/>
  <c r="AC596" i="1" s="1"/>
  <c r="AA600" i="1"/>
  <c r="AB600" i="1" s="1"/>
  <c r="AC600" i="1" s="1"/>
  <c r="AA91" i="1"/>
  <c r="AB91" i="1" s="1"/>
  <c r="AC91" i="1" s="1"/>
  <c r="AA16" i="1"/>
  <c r="AB16" i="1" s="1"/>
  <c r="AC16" i="1" s="1"/>
  <c r="AA592" i="1"/>
  <c r="AB592" i="1" s="1"/>
  <c r="AC592" i="1" s="1"/>
  <c r="AA60" i="1"/>
  <c r="AB60" i="1" s="1"/>
  <c r="AC60" i="1" s="1"/>
  <c r="AA92" i="1"/>
  <c r="AB92" i="1" s="1"/>
  <c r="AC92" i="1" s="1"/>
  <c r="AA594" i="1"/>
  <c r="AB594" i="1" s="1"/>
  <c r="AC594" i="1" s="1"/>
  <c r="AA15" i="1"/>
  <c r="AB15" i="1" s="1"/>
  <c r="AC15" i="1" s="1"/>
  <c r="AA96" i="1"/>
  <c r="AB96" i="1" s="1"/>
  <c r="AC96" i="1" s="1"/>
  <c r="AA97" i="1"/>
  <c r="AB97" i="1" s="1"/>
  <c r="AC97" i="1" s="1"/>
  <c r="AA14" i="1"/>
  <c r="AB14" i="1" s="1"/>
  <c r="AC14" i="1" s="1"/>
  <c r="AA128" i="1"/>
  <c r="AB128" i="1" s="1"/>
  <c r="AC128" i="1" s="1"/>
  <c r="AA597" i="1"/>
  <c r="AB597" i="1" s="1"/>
  <c r="AC597" i="1" s="1"/>
  <c r="AA74" i="1"/>
  <c r="AB74" i="1" s="1"/>
  <c r="AC74" i="1" s="1"/>
  <c r="AA588" i="1"/>
  <c r="AB588" i="1" s="1"/>
  <c r="AC588" i="1" s="1"/>
  <c r="AA598" i="1"/>
  <c r="AB598" i="1" s="1"/>
  <c r="AC598" i="1" s="1"/>
  <c r="AA115" i="1"/>
  <c r="AB115" i="1" s="1"/>
  <c r="AC115" i="1" s="1"/>
  <c r="AA129" i="1"/>
  <c r="AB129" i="1" s="1"/>
  <c r="AC129" i="1" s="1"/>
  <c r="AA110" i="1"/>
  <c r="AB110" i="1" s="1"/>
  <c r="AC110" i="1" s="1"/>
  <c r="AA120" i="1"/>
  <c r="AB120" i="1" s="1"/>
  <c r="AC120" i="1" s="1"/>
  <c r="AA121" i="1"/>
  <c r="AB121" i="1" s="1"/>
  <c r="AC121" i="1" s="1"/>
  <c r="AA595" i="1"/>
  <c r="AB595" i="1" s="1"/>
  <c r="AC595" i="1" s="1"/>
  <c r="AA93" i="1"/>
  <c r="AB93" i="1" s="1"/>
  <c r="AC93" i="1" s="1"/>
  <c r="AA94" i="1"/>
  <c r="AB94" i="1" s="1"/>
  <c r="AC94" i="1" s="1"/>
  <c r="AA122" i="1"/>
  <c r="AB122" i="1" s="1"/>
  <c r="AC122" i="1" s="1"/>
  <c r="AA123" i="1"/>
  <c r="AB123" i="1" s="1"/>
  <c r="AC123" i="1" s="1"/>
  <c r="AA583" i="1"/>
  <c r="AA82" i="1"/>
  <c r="AB82" i="1" s="1"/>
  <c r="AC82" i="1" s="1"/>
  <c r="AA95" i="1"/>
  <c r="AB95" i="1" s="1"/>
  <c r="AC95" i="1" s="1"/>
  <c r="AA124" i="1"/>
  <c r="AB124" i="1" s="1"/>
  <c r="AC124" i="1" s="1"/>
  <c r="AA584" i="1"/>
  <c r="AB584" i="1" s="1"/>
  <c r="AC584" i="1" s="1"/>
  <c r="AA83" i="1"/>
  <c r="AB83" i="1" s="1"/>
  <c r="AC83" i="1" s="1"/>
  <c r="AA6" i="1"/>
  <c r="AB6" i="1" s="1"/>
  <c r="AC6" i="1" s="1"/>
  <c r="AA20" i="1"/>
  <c r="AB20" i="1" s="1"/>
  <c r="AC20" i="1" s="1"/>
  <c r="AA33" i="1"/>
  <c r="AB33" i="1" s="1"/>
  <c r="AC33" i="1" s="1"/>
  <c r="AA46" i="1"/>
  <c r="AB46" i="1" s="1"/>
  <c r="AC46" i="1" s="1"/>
  <c r="AA87" i="1"/>
  <c r="AB87" i="1" s="1"/>
  <c r="AC87" i="1" s="1"/>
  <c r="AA21" i="1"/>
  <c r="AB21" i="1" s="1"/>
  <c r="AC21" i="1" s="1"/>
  <c r="AA34" i="1"/>
  <c r="AB34" i="1" s="1"/>
  <c r="AC34" i="1" s="1"/>
  <c r="AA47" i="1"/>
  <c r="AB47" i="1" s="1"/>
  <c r="AC47" i="1" s="1"/>
  <c r="AA61" i="1"/>
  <c r="AB61" i="1" s="1"/>
  <c r="AC61" i="1" s="1"/>
  <c r="AA88" i="1"/>
  <c r="AB88" i="1" s="1"/>
  <c r="AC88" i="1" s="1"/>
  <c r="AA102" i="1"/>
  <c r="AB102" i="1" s="1"/>
  <c r="AC102" i="1" s="1"/>
  <c r="AA22" i="1"/>
  <c r="AB22" i="1" s="1"/>
  <c r="AC22" i="1" s="1"/>
  <c r="AA35" i="1"/>
  <c r="AB35" i="1" s="1"/>
  <c r="AC35" i="1" s="1"/>
  <c r="AA48" i="1"/>
  <c r="AB48" i="1" s="1"/>
  <c r="AC48" i="1" s="1"/>
  <c r="AA89" i="1"/>
  <c r="AB89" i="1" s="1"/>
  <c r="AC89" i="1" s="1"/>
  <c r="AA103" i="1"/>
  <c r="AB103" i="1" s="1"/>
  <c r="AC103" i="1" s="1"/>
  <c r="AA116" i="1"/>
  <c r="AB116" i="1" s="1"/>
  <c r="AC116" i="1" s="1"/>
  <c r="AA63" i="1"/>
  <c r="AB63" i="1" s="1"/>
  <c r="AC63" i="1" s="1"/>
  <c r="AA90" i="1"/>
  <c r="AB90" i="1" s="1"/>
  <c r="AC90" i="1" s="1"/>
  <c r="AA64" i="1"/>
  <c r="AB64" i="1" s="1"/>
  <c r="AC64" i="1" s="1"/>
  <c r="AA118" i="1"/>
  <c r="AB118" i="1" s="1"/>
  <c r="AC118" i="1" s="1"/>
  <c r="AA8" i="1"/>
  <c r="AB8" i="1" s="1"/>
  <c r="AC8" i="1" s="1"/>
  <c r="AA9" i="1"/>
  <c r="AB9" i="1" s="1"/>
  <c r="AC9" i="1" s="1"/>
  <c r="AA23" i="1"/>
  <c r="AB23" i="1" s="1"/>
  <c r="AC23" i="1" s="1"/>
  <c r="AA36" i="1"/>
  <c r="AB36" i="1" s="1"/>
  <c r="AC36" i="1" s="1"/>
  <c r="AA49" i="1"/>
  <c r="AB49" i="1" s="1"/>
  <c r="AC49" i="1" s="1"/>
  <c r="AA131" i="1"/>
  <c r="AB131" i="1" s="1"/>
  <c r="AC131" i="1" s="1"/>
  <c r="AA591" i="1"/>
  <c r="AB591" i="1" s="1"/>
  <c r="AC591" i="1" s="1"/>
  <c r="AA10" i="1"/>
  <c r="AB10" i="1" s="1"/>
  <c r="AC10" i="1" s="1"/>
  <c r="AA24" i="1"/>
  <c r="AB24" i="1" s="1"/>
  <c r="AC24" i="1" s="1"/>
  <c r="AA37" i="1"/>
  <c r="AB37" i="1" s="1"/>
  <c r="AC37" i="1" s="1"/>
  <c r="AA50" i="1"/>
  <c r="AB50" i="1" s="1"/>
  <c r="AC50" i="1" s="1"/>
  <c r="AA38" i="1"/>
  <c r="AB38" i="1" s="1"/>
  <c r="AC38" i="1" s="1"/>
  <c r="AA65" i="1"/>
  <c r="AB65" i="1" s="1"/>
  <c r="AC65" i="1" s="1"/>
  <c r="AA133" i="1"/>
  <c r="AB133" i="1" s="1"/>
  <c r="AC133" i="1" s="1"/>
  <c r="AA26" i="1"/>
  <c r="AB26" i="1" s="1"/>
  <c r="AC26" i="1" s="1"/>
  <c r="AA39" i="1"/>
  <c r="AB39" i="1" s="1"/>
  <c r="AC39" i="1" s="1"/>
  <c r="AA52" i="1"/>
  <c r="AB52" i="1" s="1"/>
  <c r="AC52" i="1" s="1"/>
  <c r="AA66" i="1"/>
  <c r="AB66" i="1" s="1"/>
  <c r="AC66" i="1" s="1"/>
  <c r="AA53" i="1"/>
  <c r="AB53" i="1" s="1"/>
  <c r="AC53" i="1" s="1"/>
  <c r="AA67" i="1"/>
  <c r="AB67" i="1" s="1"/>
  <c r="AC67" i="1" s="1"/>
  <c r="AA27" i="1"/>
  <c r="AB27" i="1" s="1"/>
  <c r="AC27" i="1" s="1"/>
  <c r="AA40" i="1"/>
  <c r="AB40" i="1" s="1"/>
  <c r="AC40" i="1" s="1"/>
  <c r="AA68" i="1"/>
  <c r="AB68" i="1" s="1"/>
  <c r="AC68" i="1" s="1"/>
  <c r="AA81" i="1"/>
  <c r="AB81" i="1" s="1"/>
  <c r="AC81" i="1" s="1"/>
  <c r="AA28" i="1"/>
  <c r="AB28" i="1" s="1"/>
  <c r="AC28" i="1" s="1"/>
  <c r="AA41" i="1"/>
  <c r="AB41" i="1" s="1"/>
  <c r="AC41" i="1" s="1"/>
  <c r="AA55" i="1"/>
  <c r="AB55" i="1" s="1"/>
  <c r="AC55" i="1" s="1"/>
  <c r="AA109" i="1"/>
  <c r="AB109" i="1" s="1"/>
  <c r="AC109" i="1" s="1"/>
  <c r="AA56" i="1"/>
  <c r="AB56" i="1" s="1"/>
  <c r="AC56" i="1" s="1"/>
  <c r="AA17" i="1"/>
  <c r="AB17" i="1" s="1"/>
  <c r="AC17" i="1" s="1"/>
  <c r="AA31" i="1"/>
  <c r="AB31" i="1" s="1"/>
  <c r="AC31" i="1" s="1"/>
  <c r="AA43" i="1"/>
  <c r="AB43" i="1" s="1"/>
  <c r="AC43" i="1" s="1"/>
  <c r="AA57" i="1"/>
  <c r="AB57" i="1" s="1"/>
  <c r="AC57" i="1" s="1"/>
  <c r="AA71" i="1"/>
  <c r="AB71" i="1" s="1"/>
  <c r="AC71" i="1" s="1"/>
  <c r="AA98" i="1"/>
  <c r="AB98" i="1" s="1"/>
  <c r="AC98" i="1" s="1"/>
  <c r="AA111" i="1"/>
  <c r="AB111" i="1" s="1"/>
  <c r="AC111" i="1" s="1"/>
  <c r="AA125" i="1"/>
  <c r="AB125" i="1" s="1"/>
  <c r="AC125" i="1" s="1"/>
  <c r="AA18" i="1"/>
  <c r="AB18" i="1" s="1"/>
  <c r="AC18" i="1" s="1"/>
  <c r="AA32" i="1"/>
  <c r="AB32" i="1" s="1"/>
  <c r="AC32" i="1" s="1"/>
  <c r="AA44" i="1"/>
  <c r="AB44" i="1" s="1"/>
  <c r="AC44" i="1" s="1"/>
  <c r="AA58" i="1"/>
  <c r="AB58" i="1" s="1"/>
  <c r="AC58" i="1" s="1"/>
  <c r="AA72" i="1"/>
  <c r="AB72" i="1" s="1"/>
  <c r="AC72" i="1" s="1"/>
  <c r="AA85" i="1"/>
  <c r="AB85" i="1" s="1"/>
  <c r="AC85" i="1" s="1"/>
  <c r="AA99" i="1"/>
  <c r="AB99" i="1" s="1"/>
  <c r="AC99" i="1" s="1"/>
  <c r="AA112" i="1"/>
  <c r="AB112" i="1" s="1"/>
  <c r="AC112" i="1" s="1"/>
  <c r="AA586" i="1"/>
  <c r="AB586" i="1" s="1"/>
  <c r="AC586" i="1" s="1"/>
  <c r="AA79" i="1"/>
  <c r="AB79" i="1" s="1"/>
  <c r="AC79" i="1" s="1"/>
  <c r="AA5" i="1"/>
  <c r="AB5" i="1" s="1"/>
  <c r="AC5" i="1" s="1"/>
  <c r="AA45" i="1"/>
  <c r="AB45" i="1" s="1"/>
  <c r="AC45" i="1" s="1"/>
  <c r="AA59" i="1"/>
  <c r="AB59" i="1" s="1"/>
  <c r="AC59" i="1" s="1"/>
  <c r="AA73" i="1"/>
  <c r="AB73" i="1" s="1"/>
  <c r="AC73" i="1" s="1"/>
  <c r="AA86" i="1"/>
  <c r="AB86" i="1" s="1"/>
  <c r="AC86" i="1" s="1"/>
  <c r="AA587" i="1"/>
  <c r="AB587" i="1" s="1"/>
  <c r="AC587" i="1" s="1"/>
  <c r="AA80" i="1"/>
  <c r="AB80" i="1" s="1"/>
  <c r="AC80" i="1" s="1"/>
  <c r="AA78" i="1"/>
  <c r="AB78" i="1" s="1"/>
  <c r="AC78" i="1" s="1"/>
  <c r="AA132" i="1"/>
  <c r="AB132" i="1" s="1"/>
  <c r="AC132" i="1" s="1"/>
  <c r="AA106" i="1"/>
  <c r="AB106" i="1" s="1"/>
  <c r="AC106" i="1" s="1"/>
  <c r="AA25" i="1"/>
  <c r="AB25" i="1" s="1"/>
  <c r="AC25" i="1" s="1"/>
  <c r="AA105" i="1"/>
  <c r="AB105" i="1" s="1"/>
  <c r="AC105" i="1" s="1"/>
  <c r="AA126" i="1"/>
  <c r="AB126" i="1" s="1"/>
  <c r="AC126" i="1" s="1"/>
  <c r="AA100" i="1"/>
  <c r="AB100" i="1" s="1"/>
  <c r="AC100" i="1" s="1"/>
  <c r="AA114" i="1"/>
  <c r="AB114" i="1" s="1"/>
  <c r="AC114" i="1" s="1"/>
  <c r="AA76" i="1"/>
  <c r="AB76" i="1" s="1"/>
  <c r="AC76" i="1" s="1"/>
  <c r="AA117" i="1"/>
  <c r="AB117" i="1" s="1"/>
  <c r="AC117" i="1" s="1"/>
  <c r="AA77" i="1"/>
  <c r="AB77" i="1" s="1"/>
  <c r="AC77" i="1" s="1"/>
  <c r="AA11" i="1"/>
  <c r="AB11" i="1" s="1"/>
  <c r="AC11" i="1" s="1"/>
  <c r="AA134" i="1"/>
  <c r="AB134" i="1" s="1"/>
  <c r="AC134" i="1" s="1"/>
  <c r="AA108" i="1"/>
  <c r="AB108" i="1" s="1"/>
  <c r="AC108" i="1" s="1"/>
  <c r="AA113" i="1"/>
  <c r="AB113" i="1" s="1"/>
  <c r="AC113" i="1" s="1"/>
  <c r="AA101" i="1"/>
  <c r="AB101" i="1" s="1"/>
  <c r="AC101" i="1" s="1"/>
  <c r="AA75" i="1"/>
  <c r="AB75" i="1" s="1"/>
  <c r="AC75" i="1" s="1"/>
  <c r="AA119" i="1"/>
  <c r="AB119" i="1" s="1"/>
  <c r="AC119" i="1" s="1"/>
  <c r="AA51" i="1"/>
  <c r="AB51" i="1" s="1"/>
  <c r="AC51" i="1" s="1"/>
  <c r="AA12" i="1"/>
  <c r="AB12" i="1" s="1"/>
  <c r="AC12" i="1" s="1"/>
  <c r="AA107" i="1"/>
  <c r="AB107" i="1" s="1"/>
  <c r="AC107" i="1" s="1"/>
  <c r="AA127" i="1"/>
  <c r="AB127" i="1" s="1"/>
  <c r="AC127" i="1" s="1"/>
  <c r="AA130" i="1"/>
  <c r="AB130" i="1" s="1"/>
  <c r="AC130" i="1" s="1"/>
  <c r="K53" i="2"/>
  <c r="L53" i="2"/>
  <c r="H55" i="2"/>
  <c r="AB4" i="1"/>
  <c r="AA601" i="1" l="1"/>
  <c r="AB583" i="1"/>
  <c r="AB601" i="1" s="1"/>
  <c r="AC4" i="1"/>
  <c r="AC583" i="1" l="1"/>
  <c r="AC601" i="1" s="1"/>
</calcChain>
</file>

<file path=xl/sharedStrings.xml><?xml version="1.0" encoding="utf-8"?>
<sst xmlns="http://schemas.openxmlformats.org/spreadsheetml/2006/main" count="3924" uniqueCount="309">
  <si>
    <t>تم التصدير إلى ملف Excel على 19 أبريل, 2026</t>
  </si>
  <si>
    <t>معرّف الشخص</t>
  </si>
  <si>
    <t>الدرجة الوظيفية</t>
  </si>
  <si>
    <t>الإدارة</t>
  </si>
  <si>
    <t>القطاع</t>
  </si>
  <si>
    <t>مكان العمل</t>
  </si>
  <si>
    <t>تاريخ التعيين</t>
  </si>
  <si>
    <t>نوع الموظف</t>
  </si>
  <si>
    <t>الراتب الأساسي MEWA</t>
  </si>
  <si>
    <t xml:space="preserve">الراتب الأساسي </t>
  </si>
  <si>
    <t>بدل النقل</t>
  </si>
  <si>
    <t>بدل السكن</t>
  </si>
  <si>
    <t>بدل إتصال</t>
  </si>
  <si>
    <t>بدل النقل من الوزارة‎</t>
  </si>
  <si>
    <t>بدل المناوبة</t>
  </si>
  <si>
    <t>بدل طبيعة عمل</t>
  </si>
  <si>
    <t>الإجمالي الشهري</t>
  </si>
  <si>
    <t>الإجمالي السنوي</t>
  </si>
  <si>
    <t>الإجمالي السنوي+ MEWA</t>
  </si>
  <si>
    <t>الموارد البشرية</t>
  </si>
  <si>
    <t>الخدمات المشتركة</t>
  </si>
  <si>
    <t xml:space="preserve">المقر الرئيسي </t>
  </si>
  <si>
    <t>موظف</t>
  </si>
  <si>
    <t>الشؤون الإدارية</t>
  </si>
  <si>
    <t>تقنية المعلومات</t>
  </si>
  <si>
    <t>المشتريات</t>
  </si>
  <si>
    <t>الحسابات</t>
  </si>
  <si>
    <t>المالية</t>
  </si>
  <si>
    <t>مكتب الرئيس التنفيذي</t>
  </si>
  <si>
    <t>الحوكمة والالتزام والمخاطر</t>
  </si>
  <si>
    <t>التطوير المؤسسي</t>
  </si>
  <si>
    <t>التواصل المؤسسي</t>
  </si>
  <si>
    <t>عمليات الفروع</t>
  </si>
  <si>
    <t>الفروع</t>
  </si>
  <si>
    <t>تطوير الأعمال</t>
  </si>
  <si>
    <t>الخدمات التجارية</t>
  </si>
  <si>
    <t>الإدارة الاستراتيجية</t>
  </si>
  <si>
    <t>المراجعة الداخلية</t>
  </si>
  <si>
    <t>إدارة المشاريع</t>
  </si>
  <si>
    <t>الاذونات وخدمات المحاجر</t>
  </si>
  <si>
    <t>العمليات</t>
  </si>
  <si>
    <t xml:space="preserve">الفرع </t>
  </si>
  <si>
    <t>التراخيص</t>
  </si>
  <si>
    <t>التسجيل والمختبرات</t>
  </si>
  <si>
    <t>الشهادات</t>
  </si>
  <si>
    <t>الشؤون القانونية</t>
  </si>
  <si>
    <t>سعودي قاب</t>
  </si>
  <si>
    <t>خدمة العملاء</t>
  </si>
  <si>
    <t>إدارة الأصول والاستثمار</t>
  </si>
  <si>
    <t>الخدمات النباتيةِ</t>
  </si>
  <si>
    <t>إدارة التطوير التشغيلي</t>
  </si>
  <si>
    <t>تسويق</t>
  </si>
  <si>
    <t>التخطيط والأداء المالي</t>
  </si>
  <si>
    <t>الخدمات البيطرية</t>
  </si>
  <si>
    <t>إعارة</t>
  </si>
  <si>
    <t>الاسواق و المسالخ</t>
  </si>
  <si>
    <t>عقد مؤقت</t>
  </si>
  <si>
    <t xml:space="preserve"> </t>
  </si>
  <si>
    <t xml:space="preserve">الإدارة </t>
  </si>
  <si>
    <t>عدد الموظفين</t>
  </si>
  <si>
    <t>إجمالي الراتب السنوي</t>
  </si>
  <si>
    <t>إجمالي الراتب السنوي + MEWA</t>
  </si>
  <si>
    <t>اجمالي عدد الموظفين</t>
  </si>
  <si>
    <t>مكتب رئيس القطاع</t>
  </si>
  <si>
    <t>الإجمالي</t>
  </si>
  <si>
    <t>الخدمات النباتية</t>
  </si>
  <si>
    <t>مدير الإدارة</t>
  </si>
  <si>
    <t>المجموع</t>
  </si>
  <si>
    <t>نسبة ما تدفعه الشركة من راتب الموظف المعار</t>
  </si>
  <si>
    <t>بدل تعليم</t>
  </si>
  <si>
    <t>تأينات اجتماعية</t>
  </si>
  <si>
    <t>بنوص</t>
  </si>
  <si>
    <t>تأمين طيبي</t>
  </si>
  <si>
    <t>الموقع الفعلي</t>
  </si>
  <si>
    <t>مكة المكرمة</t>
  </si>
  <si>
    <t>الغاط</t>
  </si>
  <si>
    <t>الخفجي</t>
  </si>
  <si>
    <t>شمال الرياض</t>
  </si>
  <si>
    <t>الدوادمي</t>
  </si>
  <si>
    <t>ساجر</t>
  </si>
  <si>
    <t>المجمعة</t>
  </si>
  <si>
    <t>الخرج</t>
  </si>
  <si>
    <t>وادي الدواسر</t>
  </si>
  <si>
    <t>رماح</t>
  </si>
  <si>
    <t>رابغ</t>
  </si>
  <si>
    <t>ثادق</t>
  </si>
  <si>
    <t>ضرماء</t>
  </si>
  <si>
    <t>شقراء</t>
  </si>
  <si>
    <t>الأفلاج</t>
  </si>
  <si>
    <t>عفيف</t>
  </si>
  <si>
    <t>حوطة بني تميم</t>
  </si>
  <si>
    <t>بريدة</t>
  </si>
  <si>
    <t>القويعية</t>
  </si>
  <si>
    <t>المدينة المنورة</t>
  </si>
  <si>
    <t>الدمام</t>
  </si>
  <si>
    <t>جدة</t>
  </si>
  <si>
    <t>عرعر</t>
  </si>
  <si>
    <t>جيزان</t>
  </si>
  <si>
    <t>الطائف</t>
  </si>
  <si>
    <t>الباحة</t>
  </si>
  <si>
    <t>حائل</t>
  </si>
  <si>
    <t>الشنان</t>
  </si>
  <si>
    <t>أبها</t>
  </si>
  <si>
    <t>سكاكا</t>
  </si>
  <si>
    <t>أملج</t>
  </si>
  <si>
    <t>طريف</t>
  </si>
  <si>
    <t>الاحساء</t>
  </si>
  <si>
    <t>حفر الباطن</t>
  </si>
  <si>
    <t>عنيزة</t>
  </si>
  <si>
    <t>الرس</t>
  </si>
  <si>
    <t>القنفذة</t>
  </si>
  <si>
    <t>أحد المسارحة</t>
  </si>
  <si>
    <t>صييا</t>
  </si>
  <si>
    <t>محايل عسير</t>
  </si>
  <si>
    <t>وادي بن هشبل</t>
  </si>
  <si>
    <t>بيشة</t>
  </si>
  <si>
    <t>طبرجل</t>
  </si>
  <si>
    <t>القريات</t>
  </si>
  <si>
    <t>بدر</t>
  </si>
  <si>
    <t>رفحاء</t>
  </si>
  <si>
    <t>مليجة</t>
  </si>
  <si>
    <t>البكيرية</t>
  </si>
  <si>
    <t>دومة الجندل</t>
  </si>
  <si>
    <t>سراة عبيدة</t>
  </si>
  <si>
    <t>سعيدة الصوالحة</t>
  </si>
  <si>
    <t>الرفيعة</t>
  </si>
  <si>
    <t>يبرين</t>
  </si>
  <si>
    <t>الأسياح</t>
  </si>
  <si>
    <t>النبهانية</t>
  </si>
  <si>
    <t>ضرية</t>
  </si>
  <si>
    <t>الخرمة</t>
  </si>
  <si>
    <t>ينبع</t>
  </si>
  <si>
    <t>العيص</t>
  </si>
  <si>
    <t>ظهران الجنوب</t>
  </si>
  <si>
    <t>بلقرن</t>
  </si>
  <si>
    <t>النماص</t>
  </si>
  <si>
    <t>بني عمرو</t>
  </si>
  <si>
    <t>رجال ألمع</t>
  </si>
  <si>
    <t>المجاردة</t>
  </si>
  <si>
    <t>أبوعريش</t>
  </si>
  <si>
    <t>الشقيق</t>
  </si>
  <si>
    <t>نجران</t>
  </si>
  <si>
    <t>الرقم الوظيفي</t>
  </si>
  <si>
    <t>ميناء جدة الاسلامي</t>
  </si>
  <si>
    <t>مطار الملك عبدالعزيز بجدة</t>
  </si>
  <si>
    <t>الوحدة البيطرية بعنيزة</t>
  </si>
  <si>
    <t>العيادة البيطرية بجازان,جازان</t>
  </si>
  <si>
    <t>العيادة البيطرية بالرس</t>
  </si>
  <si>
    <t>ميناء الملك عبدالله برابغ</t>
  </si>
  <si>
    <t>مكتب الوزارة بالطائف</t>
  </si>
  <si>
    <t>منفذ سلوى</t>
  </si>
  <si>
    <t>الوحدة البيطرية بالاحساء</t>
  </si>
  <si>
    <t xml:space="preserve">العيادة البيطرية المجاردة	</t>
  </si>
  <si>
    <t>العيادة البيطرية بالاسياح</t>
  </si>
  <si>
    <t>عيادة دومة الجندل</t>
  </si>
  <si>
    <t>مطار الامير نايف بالقصيم</t>
  </si>
  <si>
    <t>الوحدة البيطرية ببريدة</t>
  </si>
  <si>
    <t>العيادة البيطرية - املج</t>
  </si>
  <si>
    <t>مطار الملك خالد بالرياض</t>
  </si>
  <si>
    <t>ميناء الملك عبدالعزيز بالدمام</t>
  </si>
  <si>
    <t>ضرما</t>
  </si>
  <si>
    <t>منفذ الحديثة</t>
  </si>
  <si>
    <t>منفذ جسر الملك فهد</t>
  </si>
  <si>
    <t>الوحدة البيطرية - طريف,العيادة البيطرية - عرعر</t>
  </si>
  <si>
    <t>منفذ الخفجي</t>
  </si>
  <si>
    <t>حائل,العيادة البيطرية - حائل</t>
  </si>
  <si>
    <t>منفذ البطحاء</t>
  </si>
  <si>
    <t>فرع الوزارة بالرياض</t>
  </si>
  <si>
    <t>ميناء جازان</t>
  </si>
  <si>
    <t>منفذ الرقعي</t>
  </si>
  <si>
    <t>العيادة البيطرية - المدينة المنورة,المدينة المنورة</t>
  </si>
  <si>
    <t>ميناء نيوم (ضبا)</t>
  </si>
  <si>
    <t xml:space="preserve">العيادة البيطرية ببني عمرو	</t>
  </si>
  <si>
    <t>منفذ الربع الخالي</t>
  </si>
  <si>
    <t>العيادة البيطرية بالبكيرية</t>
  </si>
  <si>
    <t>مطار الملك فهد بالدمام</t>
  </si>
  <si>
    <t>العيادة البيطرية بينبع</t>
  </si>
  <si>
    <t>ميناء ينبع</t>
  </si>
  <si>
    <t xml:space="preserve">العيادة البيطرية أبو عريش	</t>
  </si>
  <si>
    <t>العيادة البيطرية - حائل</t>
  </si>
  <si>
    <t>العيادة البيطرية - المدينة المنورة</t>
  </si>
  <si>
    <t>مطار الامير محمد بن عبدالعزيز بالمدينة المنورة</t>
  </si>
  <si>
    <t>الوحدة البيطرية ببريدة,القصيم</t>
  </si>
  <si>
    <t>منفذ حالة عمار</t>
  </si>
  <si>
    <t>عيادة محايل عسير</t>
  </si>
  <si>
    <t>منفذ الدرة</t>
  </si>
  <si>
    <t>العيادة البيطرية بصييا</t>
  </si>
  <si>
    <t>العيادة البيطرية بمدينة سكاكا</t>
  </si>
  <si>
    <t>عيادة وادي بن هشبل</t>
  </si>
  <si>
    <t>العيادة البيطرية بالنبهانية</t>
  </si>
  <si>
    <t>عيادة سراة عبيدة</t>
  </si>
  <si>
    <t>سوق السمك المركزي بجدة</t>
  </si>
  <si>
    <t>العيادة البيطرية بالعيص</t>
  </si>
  <si>
    <t>العيادة البيطرية برابغ	,العيادة البيطرية بالقنفذة,العيادة البيطرية بجدة</t>
  </si>
  <si>
    <t>الوحدة البيطرية بالقرية العليا</t>
  </si>
  <si>
    <t>منفذ الوديعة</t>
  </si>
  <si>
    <t>العيادة البيطرية بالقنفذة</t>
  </si>
  <si>
    <t>المحجر الدولي للخيل</t>
  </si>
  <si>
    <t>العيادة البيطرية بالباحة</t>
  </si>
  <si>
    <t xml:space="preserve">العيادة البيطرية الشقيق	</t>
  </si>
  <si>
    <t>ميناء جدة الاسلامي,ميناء الملك عبدالله برابغ</t>
  </si>
  <si>
    <t>عيادة طبرجل</t>
  </si>
  <si>
    <t>العيادة البيطرية بالطائف</t>
  </si>
  <si>
    <t>عيادة بيشة</t>
  </si>
  <si>
    <t xml:space="preserve">العيادة البيطرية ببلقرن	</t>
  </si>
  <si>
    <t>العيادة البيطرية - عرعر</t>
  </si>
  <si>
    <t>الوحدة البيطرية بالخفجي</t>
  </si>
  <si>
    <t>الباحة,العيادة البيطرية بالباحة</t>
  </si>
  <si>
    <t>العيادة البيطرية بأبها</t>
  </si>
  <si>
    <t>ميناء نيوم (ضبا),تبوك</t>
  </si>
  <si>
    <t>العيادة البيطرية بجازان</t>
  </si>
  <si>
    <t>سوق الخضار والفواكه المركزي بجدة</t>
  </si>
  <si>
    <t>العيادة البيطرية بالدمام,المنطقة الشرقية</t>
  </si>
  <si>
    <t>مطار الامير نايف بالقصيم,القصيم</t>
  </si>
  <si>
    <t>عيادة بدر</t>
  </si>
  <si>
    <t xml:space="preserve">العيادة البيطرية بظهران الجنوب	</t>
  </si>
  <si>
    <t xml:space="preserve">العيادة البيطرية برابغ	</t>
  </si>
  <si>
    <t xml:space="preserve">العيادة البيطرية برجال آلمع	</t>
  </si>
  <si>
    <t>العيادة البيطرية بالخرمة,العيادة البيطرية بالطائف</t>
  </si>
  <si>
    <t>عيادة سعيدة الصوالحة</t>
  </si>
  <si>
    <t>عسير,العيادة البيطرية بأبها</t>
  </si>
  <si>
    <t>العاصمة المقدسة مسلخ المعيصم النموذجي</t>
  </si>
  <si>
    <t>عيادة رفحاء</t>
  </si>
  <si>
    <t>العيادة البيطرية بحفر الباطن</t>
  </si>
  <si>
    <t>العيادة البيطرية بأحد المسارحة</t>
  </si>
  <si>
    <t>العيادة البيطرية بالخرمة</t>
  </si>
  <si>
    <t>ميناء جدة الاسلامي,مطار الملك عبدالعزيز بجدة</t>
  </si>
  <si>
    <t>العيادة البيطرية بالدمام</t>
  </si>
  <si>
    <t>المنطقة الشرقية,ميناء الملك عبدالعزيز بالدمام</t>
  </si>
  <si>
    <t xml:space="preserve">العيادة البيطرية بيبرين	</t>
  </si>
  <si>
    <t>منفذ جديدة عرعر</t>
  </si>
  <si>
    <t>عيادة القريات</t>
  </si>
  <si>
    <t>فرع الوزارة بجازان,ميناء جازان</t>
  </si>
  <si>
    <t>نجران,الوحدة البيطرية - نجران</t>
  </si>
  <si>
    <t>العيادة البيطرية بجدة</t>
  </si>
  <si>
    <t xml:space="preserve">العيادة البيطرية بالنماص	</t>
  </si>
  <si>
    <t>محجر الخيل</t>
  </si>
  <si>
    <t>محجر الخفجي  (الشرقية)</t>
  </si>
  <si>
    <t>مطار الملك خالد الدولي</t>
  </si>
  <si>
    <t>محجر ميناء الملك عبدالله رابغ</t>
  </si>
  <si>
    <t>محجر سلوى  (الشرقية)</t>
  </si>
  <si>
    <t>منفذ الوديعة  (نجران)</t>
  </si>
  <si>
    <t>منفذ ضباء  (تبوك)</t>
  </si>
  <si>
    <t>محجر مطار الأمير محمد بن عبدالعزيز (المدينة المنورة)</t>
  </si>
  <si>
    <t>محجر ميناء ينبع  (المدينة المنورة)</t>
  </si>
  <si>
    <t>محجر مطار القصيم  (القصيم)</t>
  </si>
  <si>
    <t>محجر جسر الملك فهد  (الشرقية)</t>
  </si>
  <si>
    <t>محجر الرقعي  (الشرقية)</t>
  </si>
  <si>
    <t>محجر الحديثة  (الجوف)</t>
  </si>
  <si>
    <t>محجر مطار الملك فهد  (الشرقية)</t>
  </si>
  <si>
    <t>محجر ميناء الدمام   (الشرقية)</t>
  </si>
  <si>
    <t>محجر مطار جدة  (مكة المكرمة)</t>
  </si>
  <si>
    <t>محجر ميناء جدة الاسلامي  (مكة المكرمة)</t>
  </si>
  <si>
    <t>مختبرات مكة  (مكة المكرمة)</t>
  </si>
  <si>
    <t>محجر جديدة عرعر  (عرعر)</t>
  </si>
  <si>
    <t>منفذ جيزان  (جيزان)</t>
  </si>
  <si>
    <t>محجر الربع الخالي  (الشرقية)</t>
  </si>
  <si>
    <t>محجر البطحاء  (الشرقية)</t>
  </si>
  <si>
    <t>منفذ حالة عمار  (تبوك)</t>
  </si>
  <si>
    <t>محجر الدرة  (تبوك)</t>
  </si>
  <si>
    <t>محجر الخمرة  (مكة المكرمة)</t>
  </si>
  <si>
    <t>الخدمات المساندة</t>
  </si>
  <si>
    <t>بدل ضرر_وزارة</t>
  </si>
  <si>
    <t>مكافأة طبيب_وزارة</t>
  </si>
  <si>
    <t>مكافأة نهاية خدمة</t>
  </si>
  <si>
    <t>تعويض اجازات</t>
  </si>
  <si>
    <t xml:space="preserve">2A </t>
  </si>
  <si>
    <t xml:space="preserve">2B </t>
  </si>
  <si>
    <t xml:space="preserve">1A </t>
  </si>
  <si>
    <t xml:space="preserve"> 1C</t>
  </si>
  <si>
    <t>الإدارة العامة</t>
  </si>
  <si>
    <t>خدمات الموظفين</t>
  </si>
  <si>
    <t>تطوير الموظفين</t>
  </si>
  <si>
    <t>التحول الرقمي</t>
  </si>
  <si>
    <t>الشراء والمناقصات</t>
  </si>
  <si>
    <t>الجودة والتميز</t>
  </si>
  <si>
    <t>عمليات الشراء</t>
  </si>
  <si>
    <t>خدمات المحجر</t>
  </si>
  <si>
    <t>الفسح المركزي</t>
  </si>
  <si>
    <t>مراقبة الأداء</t>
  </si>
  <si>
    <t>الحوكمة والالتزام</t>
  </si>
  <si>
    <t>التطبيقات</t>
  </si>
  <si>
    <t>العقود والاتفاقيات</t>
  </si>
  <si>
    <t>التوظيف</t>
  </si>
  <si>
    <t>الاذونات</t>
  </si>
  <si>
    <t>الأسواق والمسالخ</t>
  </si>
  <si>
    <t>المشاريع</t>
  </si>
  <si>
    <t>الاصول والاستثمار</t>
  </si>
  <si>
    <t>الميزانية</t>
  </si>
  <si>
    <t>المدفوعات</t>
  </si>
  <si>
    <t>الإيرادات</t>
  </si>
  <si>
    <t/>
  </si>
  <si>
    <t>التطوير التنظيمي</t>
  </si>
  <si>
    <t>الأصول والاستثمار</t>
  </si>
  <si>
    <t xml:space="preserve"> العقود</t>
  </si>
  <si>
    <t xml:space="preserve"> التدقيق والتقارير المالية</t>
  </si>
  <si>
    <t xml:space="preserve"> المشاريع</t>
  </si>
  <si>
    <t xml:space="preserve"> الاستراتيجية</t>
  </si>
  <si>
    <t>التسويق</t>
  </si>
  <si>
    <t>un</t>
  </si>
  <si>
    <t>العيادات البيطرية</t>
  </si>
  <si>
    <t>وزارة البيئة والمياه والزراعة</t>
  </si>
  <si>
    <t xml:space="preserve">العقود  </t>
  </si>
  <si>
    <t>العقود</t>
  </si>
  <si>
    <t>العمر</t>
  </si>
  <si>
    <t>4</t>
  </si>
  <si>
    <t>8</t>
  </si>
  <si>
    <t>الاستراتيجية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</si>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</sst>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dd/mm/yyyy;@"/>
    <numFmt numFmtId="166" formatCode="#.##"/>
    <numFmt numFmtId="167" formatCode="####"/>
    <numFmt numFmtId="168" formatCode="###"/>
    <numFmt numFmtId="169" formatCode="#####"/>
    <numFmt numFmtId="170" formatCode="#.#"/>
  </numFmts>
  <fonts count="10" x14ac:knownFonts="1">
    <font>
      <sz val="10"/>
      <color theme="1"/>
      <name val="Arial"/>
      <family val="2"/>
    </font>
    <font>
      <b/>
      <sz val="8"/>
      <color rgb="FF000000"/>
      <name val="Verdana"/>
      <family val="2"/>
    </font>
    <font>
      <sz val="10"/>
      <color theme="1"/>
      <name val="Arial"/>
      <family val="2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sz val="10"/>
      <color theme="1"/>
      <name val="SST Arabic"/>
      <family val="2"/>
    </font>
    <font>
      <sz val="10"/>
      <color theme="0"/>
      <name val="SST Arabic"/>
      <family val="2"/>
    </font>
    <font>
      <b/>
      <sz val="10"/>
      <color theme="1"/>
      <name val="SST Arabic"/>
      <family val="2"/>
    </font>
    <font>
      <b/>
      <sz val="10"/>
      <color theme="0"/>
      <name val="SST Arabic"/>
      <family val="2"/>
    </font>
    <font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1" fillId="2" borderId="0" applyNumberFormat="0" applyBorder="0" applyProtection="0">
      <alignment horizontal="left"/>
    </xf>
    <xf numFmtId="0" fontId="3" fillId="3" borderId="1" applyNumberFormat="0" applyProtection="0">
      <alignment horizontal="left"/>
    </xf>
    <xf numFmtId="0" fontId="4" fillId="2" borderId="1" applyNumberFormat="0" applyProtection="0">
      <alignment horizontal="left"/>
    </xf>
    <xf numFmtId="9" fontId="2" fillId="0" borderId="0" applyFont="0" applyFill="0" applyBorder="0" applyAlignment="0" applyProtection="0"/>
  </cellStyleXfs>
  <cellXfs count="74">
    <xf numFmtId="0" fontId="0" fillId="0" borderId="0" xfId="0"/>
    <xf numFmtId="0" fontId="1" fillId="2" borderId="0" xfId="2" applyAlignment="1">
      <alignment horizontal="right" readingOrder="2"/>
    </xf>
    <xf numFmtId="164" fontId="0" fillId="0" borderId="0" xfId="1" applyFont="1"/>
    <xf numFmtId="164" fontId="0" fillId="0" borderId="1" xfId="1" applyFont="1" applyBorder="1"/>
    <xf numFmtId="164" fontId="4" fillId="2" borderId="1" xfId="1" applyFont="1" applyFill="1" applyBorder="1" applyAlignment="1">
      <alignment horizontal="right" readingOrder="2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164" fontId="6" fillId="4" borderId="11" xfId="1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164" fontId="6" fillId="4" borderId="1" xfId="1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64" fontId="5" fillId="0" borderId="11" xfId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4" fontId="5" fillId="0" borderId="1" xfId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4" fontId="7" fillId="0" borderId="11" xfId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164" fontId="7" fillId="0" borderId="1" xfId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14" xfId="0" applyFont="1" applyFill="1" applyBorder="1" applyAlignment="1">
      <alignment horizontal="center"/>
    </xf>
    <xf numFmtId="164" fontId="5" fillId="5" borderId="15" xfId="1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164" fontId="5" fillId="5" borderId="0" xfId="1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8" fillId="4" borderId="1" xfId="1" applyNumberFormat="1" applyFont="1" applyFill="1" applyBorder="1" applyAlignment="1">
      <alignment horizontal="center"/>
    </xf>
    <xf numFmtId="164" fontId="8" fillId="4" borderId="1" xfId="1" applyFont="1" applyFill="1" applyBorder="1" applyAlignment="1">
      <alignment horizontal="center"/>
    </xf>
    <xf numFmtId="164" fontId="0" fillId="0" borderId="0" xfId="1" applyFont="1" applyAlignment="1">
      <alignment horizontal="center"/>
    </xf>
    <xf numFmtId="0" fontId="9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9" fontId="9" fillId="6" borderId="0" xfId="5" applyFont="1" applyFill="1" applyAlignment="1">
      <alignment horizontal="center" vertical="center"/>
    </xf>
    <xf numFmtId="164" fontId="6" fillId="0" borderId="0" xfId="1" applyFont="1" applyFill="1" applyBorder="1" applyAlignment="1">
      <alignment horizontal="center"/>
    </xf>
    <xf numFmtId="0" fontId="0" fillId="0" borderId="1" xfId="0" applyBorder="1"/>
    <xf numFmtId="0" fontId="0" fillId="7" borderId="0" xfId="0" applyFill="1"/>
    <xf numFmtId="49" fontId="3" fillId="3" borderId="1" xfId="3" applyNumberFormat="1" applyAlignment="1">
      <alignment horizontal="right" readingOrder="2"/>
    </xf>
    <xf numFmtId="49" fontId="3" fillId="3" borderId="1" xfId="3" applyNumberFormat="1" applyAlignment="1">
      <alignment horizontal="right" wrapText="1" readingOrder="2"/>
    </xf>
    <xf numFmtId="0" fontId="4" fillId="2" borderId="1" xfId="4" applyNumberFormat="1" applyAlignment="1">
      <alignment horizontal="right" readingOrder="2"/>
    </xf>
    <xf numFmtId="49" fontId="4" fillId="2" borderId="1" xfId="4" applyNumberFormat="1" applyAlignment="1">
      <alignment horizontal="right" readingOrder="2"/>
    </xf>
    <xf numFmtId="165" fontId="4" fillId="2" borderId="1" xfId="4" applyNumberFormat="1" applyAlignment="1">
      <alignment horizontal="right" readingOrder="2"/>
    </xf>
    <xf numFmtId="166" fontId="4" fillId="2" borderId="1" xfId="4" applyNumberFormat="1" applyAlignment="1">
      <alignment horizontal="right" readingOrder="2"/>
    </xf>
    <xf numFmtId="167" fontId="4" fillId="2" borderId="1" xfId="4" applyNumberFormat="1" applyAlignment="1">
      <alignment horizontal="right" readingOrder="2"/>
    </xf>
    <xf numFmtId="168" fontId="4" fillId="2" borderId="1" xfId="4" applyNumberFormat="1" applyAlignment="1">
      <alignment horizontal="right" readingOrder="2"/>
    </xf>
    <xf numFmtId="168" fontId="4" fillId="7" borderId="1" xfId="4" applyNumberFormat="1" applyFill="1" applyAlignment="1">
      <alignment horizontal="right" readingOrder="2"/>
    </xf>
    <xf numFmtId="169" fontId="4" fillId="2" borderId="1" xfId="4" applyNumberFormat="1" applyAlignment="1">
      <alignment horizontal="right" readingOrder="2"/>
    </xf>
    <xf numFmtId="170" fontId="4" fillId="2" borderId="1" xfId="4" applyNumberFormat="1" applyAlignment="1">
      <alignment horizontal="right" readingOrder="2"/>
    </xf>
    <xf numFmtId="2" fontId="4" fillId="2" borderId="1" xfId="4" applyNumberFormat="1" applyAlignment="1">
      <alignment horizontal="right" readingOrder="2"/>
    </xf>
    <xf numFmtId="2" fontId="0" fillId="0" borderId="0" xfId="0" applyNumberFormat="1"/>
    <xf numFmtId="2" fontId="3" fillId="3" borderId="1" xfId="3" applyNumberFormat="1" applyAlignment="1">
      <alignment horizontal="right" readingOrder="2"/>
    </xf>
    <xf numFmtId="166" fontId="4" fillId="2" borderId="1" xfId="4" applyNumberFormat="1" applyAlignment="1">
      <alignment horizontal="center"/>
    </xf>
    <xf numFmtId="164" fontId="4" fillId="2" borderId="1" xfId="1" applyFont="1" applyFill="1" applyBorder="1" applyAlignment="1">
      <alignment horizontal="right"/>
    </xf>
    <xf numFmtId="0" fontId="8" fillId="4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5" fillId="0" borderId="7" xfId="1" applyFont="1" applyBorder="1" applyAlignment="1">
      <alignment horizontal="center"/>
    </xf>
    <xf numFmtId="164" fontId="5" fillId="0" borderId="8" xfId="1" applyFont="1" applyBorder="1" applyAlignment="1">
      <alignment horizontal="center"/>
    </xf>
    <xf numFmtId="164" fontId="5" fillId="0" borderId="9" xfId="1" applyFont="1" applyBorder="1" applyAlignment="1">
      <alignment horizontal="center"/>
    </xf>
    <xf numFmtId="0" fontId="0" fillId="8" borderId="0" xfId="0" applyFill="1"/>
    <xf numFmtId="168" fontId="4" fillId="0" borderId="1" xfId="4" applyNumberFormat="1" applyFill="1" applyAlignment="1">
      <alignment horizontal="right" readingOrder="2"/>
    </xf>
    <xf numFmtId="0" fontId="4" fillId="0" borderId="1" xfId="4" applyNumberFormat="1" applyFill="1" applyAlignment="1">
      <alignment horizontal="right" readingOrder="2"/>
    </xf>
    <xf numFmtId="0" fontId="0" fillId="0" borderId="0" xfId="0" applyFill="1"/>
  </cellXfs>
  <cellStyles count="6">
    <cellStyle name="background-color:DodgerBlue; color:White; font:font-family:Arial; font-size:9pt; font-weight:normal; font-style:normal; ; font-family:Arial; font-size:9pt; font-weight:normal; font-style:normal; border-collapse:separate; border-left:Black 1px solid; borde" xfId="3" xr:uid="{70DFE1A2-241B-48E5-A6B5-D3D522FE5E8A}"/>
    <cellStyle name="background-color:White; color:Black; font:font-family:Arial; font-size:9pt; font-weight:normal; font-style:normal; ; font-family:Arial; font-size:9pt; font-weight:normal; font-style:normal; border-collapse:separate; border-left:Black 1px solid; border-rig" xfId="4" xr:uid="{8A21D873-E5D0-453B-9BD0-F0B03D4B57A7}"/>
    <cellStyle name="Comma" xfId="1" builtinId="3"/>
    <cellStyle name="disclaimerStyle" xfId="2" xr:uid="{4D173161-4F13-46B7-A69F-EB5865F9E81D}"/>
    <cellStyle name="Normal" xfId="0" builtinId="0"/>
    <cellStyle name="Per cent 2" xfId="5" xr:uid="{CEC911D6-F3BA-419C-BDA9-C4245872FC5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ussain.almalki\Downloads\&#1578;&#1602;&#1585;&#1610;&#1585;&#1576;&#1610;&#1575;&#1606;&#1575;&#1578;&#1575;&#1604;&#1605;&#1608;&#1592;&#1601;&#1610;&#1606;-&#1605;&#1603;&#1608;&#1606;1%20(2).xlsx" TargetMode="External"/><Relationship Id="rId1" Type="http://schemas.openxmlformats.org/officeDocument/2006/relationships/externalLinkPath" Target="file:///C:\Users\hussain.almalki\Downloads\&#1578;&#1602;&#1585;&#1610;&#1585;&#1576;&#1610;&#1575;&#1606;&#1575;&#1578;&#1575;&#1604;&#1605;&#1608;&#1592;&#1601;&#1610;&#1606;-&#1605;&#1603;&#1608;&#1606;1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ناتج ملف Excel"/>
    </sheetNames>
    <sheetDataSet>
      <sheetData sheetId="0">
        <row r="1">
          <cell r="A1" t="str">
            <v>تم التصدير إلى ملف Excel على 17 يونيو, 2026</v>
          </cell>
        </row>
        <row r="3">
          <cell r="A3" t="str">
            <v>معرّف الشخص</v>
          </cell>
          <cell r="B3" t="str">
            <v>الهوية الوطنية</v>
          </cell>
          <cell r="C3" t="str">
            <v>الكنية</v>
          </cell>
          <cell r="D3" t="str">
            <v>الاسم بالانجليزي</v>
          </cell>
          <cell r="E3" t="str">
            <v>الاسم بالعربي</v>
          </cell>
          <cell r="F3" t="str">
            <v>الجنس</v>
          </cell>
          <cell r="G3" t="str">
            <v>الحالة الاجتماعية</v>
          </cell>
          <cell r="H3" t="str">
            <v>تاريخ الميلاد</v>
          </cell>
          <cell r="I3" t="str">
            <v>العمر بالسنوات</v>
          </cell>
          <cell r="J3" t="str">
            <v>العمر بالأيام</v>
          </cell>
          <cell r="K3" t="str">
            <v>عنوان البريد الإلكتروني</v>
          </cell>
          <cell r="L3" t="str">
            <v>رقم الهاتف</v>
          </cell>
          <cell r="M3" t="str">
            <v>الرقم الداخلي</v>
          </cell>
          <cell r="N3" t="str">
            <v>الجنسية</v>
          </cell>
          <cell r="O3" t="str">
            <v>Position code</v>
          </cell>
          <cell r="P3" t="str">
            <v>الوظيفة</v>
          </cell>
          <cell r="Q3" t="str">
            <v>الدرجة الوظيفية</v>
          </cell>
          <cell r="R3" t="str">
            <v>فئة التأمين</v>
          </cell>
          <cell r="S3" t="str">
            <v>قسم</v>
          </cell>
          <cell r="T3" t="str">
            <v>القسم</v>
          </cell>
          <cell r="U3" t="str">
            <v>الإدارة</v>
          </cell>
          <cell r="V3" t="str">
            <v>القطاع</v>
          </cell>
          <cell r="W3" t="str">
            <v>الموقع</v>
          </cell>
          <cell r="X3" t="str">
            <v>مكان العمل</v>
          </cell>
          <cell r="Y3" t="str">
            <v>تاريخ التعيين</v>
          </cell>
          <cell r="Z3" t="str">
            <v>الخبرة بالسنوات</v>
          </cell>
          <cell r="AA3" t="str">
            <v>الخبرة بالايام</v>
          </cell>
          <cell r="AB3" t="str">
            <v>الوضع الوظيفي</v>
          </cell>
          <cell r="AC3" t="str">
            <v>Manager ID</v>
          </cell>
          <cell r="AD3" t="str">
            <v>Manager Name</v>
          </cell>
          <cell r="AE3" t="str">
            <v>نوع الموظف</v>
          </cell>
          <cell r="AF3" t="str">
            <v>تاريخ الإنهاء</v>
          </cell>
          <cell r="AG3" t="str">
            <v>تاريخ انتهاء العقد</v>
          </cell>
          <cell r="AH3" t="str">
            <v>التخصص</v>
          </cell>
          <cell r="AI3" t="str">
            <v>الدرجة</v>
          </cell>
          <cell r="AJ3" t="str">
            <v>إجمالي المعالين</v>
          </cell>
          <cell r="AK3" t="str">
            <v>عدد الأطفال</v>
          </cell>
          <cell r="AL3" t="str">
            <v>زوج</v>
          </cell>
          <cell r="AM3" t="str">
            <v>آباء</v>
          </cell>
          <cell r="AN3" t="str">
            <v>بدل التعليم</v>
          </cell>
          <cell r="AO3" t="str">
            <v>مركز التكلفة</v>
          </cell>
          <cell r="AP3" t="str">
            <v>Bank Name</v>
          </cell>
          <cell r="AQ3" t="str">
            <v>IBAN</v>
          </cell>
          <cell r="AR3" t="str">
            <v>الراتب الأساسي</v>
          </cell>
          <cell r="AS3" t="str">
            <v>الراتب الأساسي</v>
          </cell>
          <cell r="AT3" t="str">
            <v>بدل النقل</v>
          </cell>
          <cell r="AU3" t="str">
            <v>بدل السكن</v>
          </cell>
          <cell r="AV3" t="str">
            <v>بدل إتصال</v>
          </cell>
        </row>
        <row r="4">
          <cell r="A4">
            <v>100000</v>
          </cell>
          <cell r="B4" t="str">
            <v>1059905065</v>
          </cell>
          <cell r="C4" t="str">
            <v>السيد</v>
          </cell>
          <cell r="D4" t="str">
            <v>Hussain Yahya Salman Almalki</v>
          </cell>
          <cell r="E4" t="str">
            <v>حسين يحيى سلمان المالكي</v>
          </cell>
          <cell r="F4" t="str">
            <v>Male</v>
          </cell>
          <cell r="G4" t="str">
            <v>متزوج</v>
          </cell>
          <cell r="H4">
            <v>27928</v>
          </cell>
          <cell r="I4">
            <v>50</v>
          </cell>
          <cell r="J4">
            <v>18262</v>
          </cell>
          <cell r="K4" t="str">
            <v>hussain.almalki@agriserv.sa</v>
          </cell>
          <cell r="L4" t="str">
            <v>0559307737</v>
          </cell>
          <cell r="M4" t="str">
            <v>2501</v>
          </cell>
          <cell r="N4" t="str">
            <v>المملكة العربية السعودية</v>
          </cell>
          <cell r="O4" t="str">
            <v>50000364</v>
          </cell>
          <cell r="P4" t="str">
            <v>مدير, خدمات الموظفين</v>
          </cell>
          <cell r="Q4" t="str">
            <v>8 الدرجة</v>
          </cell>
          <cell r="R4" t="str">
            <v>Class VIP</v>
          </cell>
          <cell r="S4" t="str">
            <v/>
          </cell>
          <cell r="T4" t="str">
            <v>خدمات الموظفين</v>
          </cell>
          <cell r="U4" t="str">
            <v>الموارد البشرية</v>
          </cell>
          <cell r="V4" t="str">
            <v>الخدمات المشتركة</v>
          </cell>
          <cell r="W4" t="str">
            <v>Head Quarter</v>
          </cell>
          <cell r="X4" t="str">
            <v xml:space="preserve">المقر الرئيسي </v>
          </cell>
          <cell r="Y4">
            <v>44501</v>
          </cell>
          <cell r="Z4">
            <v>4.62</v>
          </cell>
          <cell r="AA4">
            <v>1689</v>
          </cell>
          <cell r="AB4" t="str">
            <v>نشط</v>
          </cell>
          <cell r="AC4" t="str">
            <v>100004</v>
          </cell>
          <cell r="AD4" t="str">
            <v>Abdulmajeed Alzannan</v>
          </cell>
          <cell r="AE4" t="str">
            <v>موظف</v>
          </cell>
          <cell r="AF4" t="str">
            <v/>
          </cell>
          <cell r="AG4">
            <v>46326</v>
          </cell>
          <cell r="AH4" t="str">
            <v>إدارة عامة</v>
          </cell>
          <cell r="AI4" t="str">
            <v>بكالوريوس</v>
          </cell>
          <cell r="AJ4">
            <v>6</v>
          </cell>
          <cell r="AK4">
            <v>3</v>
          </cell>
          <cell r="AL4">
            <v>1</v>
          </cell>
          <cell r="AM4">
            <v>2</v>
          </cell>
          <cell r="AN4">
            <v>2</v>
          </cell>
          <cell r="AO4" t="str">
            <v>الموارد البشرية</v>
          </cell>
          <cell r="AP4" t="str">
            <v>Al Rajhi Bank</v>
          </cell>
          <cell r="AQ4" t="str">
            <v>SA2480000487608010217190</v>
          </cell>
          <cell r="AR4">
            <v>38833.7664</v>
          </cell>
          <cell r="AS4">
            <v>38833.766000000003</v>
          </cell>
          <cell r="AT4">
            <v>3000</v>
          </cell>
          <cell r="AU4">
            <v>9708.4419999999991</v>
          </cell>
          <cell r="AV4">
            <v>500</v>
          </cell>
        </row>
        <row r="5">
          <cell r="A5">
            <v>100001</v>
          </cell>
          <cell r="B5" t="str">
            <v>1055603789</v>
          </cell>
          <cell r="C5" t="str">
            <v>السيد</v>
          </cell>
          <cell r="D5" t="str">
            <v>Mohammed Mudhish Mohammed Adawi</v>
          </cell>
          <cell r="E5" t="str">
            <v>محمد مدحش محمد عداوي</v>
          </cell>
          <cell r="F5" t="str">
            <v>Male</v>
          </cell>
          <cell r="G5" t="str">
            <v>متزوج</v>
          </cell>
          <cell r="H5">
            <v>32508</v>
          </cell>
          <cell r="I5">
            <v>37</v>
          </cell>
          <cell r="J5">
            <v>13682</v>
          </cell>
          <cell r="K5" t="str">
            <v>Mohammed.Adawi@agriserv.sa</v>
          </cell>
          <cell r="L5" t="str">
            <v>0509202006</v>
          </cell>
          <cell r="M5" t="str">
            <v>2502</v>
          </cell>
          <cell r="N5" t="str">
            <v>المملكة العربية السعودية</v>
          </cell>
          <cell r="O5" t="str">
            <v>50001323</v>
          </cell>
          <cell r="P5" t="str">
            <v>مدير التدريب والتطوير</v>
          </cell>
          <cell r="Q5" t="str">
            <v>الدرجة 6</v>
          </cell>
          <cell r="R5" t="str">
            <v>Class VIP</v>
          </cell>
          <cell r="S5" t="str">
            <v/>
          </cell>
          <cell r="T5" t="str">
            <v>تطوير الموظفين</v>
          </cell>
          <cell r="U5" t="str">
            <v>الموارد البشرية</v>
          </cell>
          <cell r="V5" t="str">
            <v>الخدمات المشتركة</v>
          </cell>
          <cell r="W5" t="str">
            <v>Head Quarter</v>
          </cell>
          <cell r="X5" t="str">
            <v xml:space="preserve">المقر الرئيسي </v>
          </cell>
          <cell r="Y5">
            <v>44535</v>
          </cell>
          <cell r="Z5">
            <v>4.53</v>
          </cell>
          <cell r="AA5">
            <v>1655</v>
          </cell>
          <cell r="AB5" t="str">
            <v>نشط</v>
          </cell>
          <cell r="AC5" t="str">
            <v>100004</v>
          </cell>
          <cell r="AD5" t="str">
            <v>Abdulmajeed Alzannan</v>
          </cell>
          <cell r="AE5" t="str">
            <v>موظف</v>
          </cell>
          <cell r="AF5" t="str">
            <v/>
          </cell>
          <cell r="AG5">
            <v>46360</v>
          </cell>
          <cell r="AH5" t="str">
            <v>إدارة الأعمال</v>
          </cell>
          <cell r="AI5" t="str">
            <v>بكالوريوس</v>
          </cell>
          <cell r="AJ5">
            <v>5</v>
          </cell>
          <cell r="AK5">
            <v>2</v>
          </cell>
          <cell r="AL5">
            <v>1</v>
          </cell>
          <cell r="AM5">
            <v>2</v>
          </cell>
          <cell r="AN5" t="str">
            <v/>
          </cell>
          <cell r="AO5" t="str">
            <v>الموارد البشرية</v>
          </cell>
          <cell r="AP5" t="str">
            <v>Al Rajhi Bank</v>
          </cell>
          <cell r="AQ5" t="str">
            <v>SA7980000475608010967483</v>
          </cell>
          <cell r="AR5">
            <v>20416.80056</v>
          </cell>
          <cell r="AS5">
            <v>20416.800999999999</v>
          </cell>
          <cell r="AT5">
            <v>2041.68</v>
          </cell>
          <cell r="AU5">
            <v>5104.2</v>
          </cell>
          <cell r="AV5">
            <v>500</v>
          </cell>
        </row>
        <row r="6">
          <cell r="A6">
            <v>100004</v>
          </cell>
          <cell r="B6" t="str">
            <v>1025795152</v>
          </cell>
          <cell r="C6" t="str">
            <v>السيد</v>
          </cell>
          <cell r="D6" t="str">
            <v>Abdulmajeed Ali Saad Alzannan</v>
          </cell>
          <cell r="E6" t="str">
            <v>عبدالمجيد علي سعد آل زنان</v>
          </cell>
          <cell r="F6" t="str">
            <v>Male</v>
          </cell>
          <cell r="G6" t="str">
            <v>متزوج</v>
          </cell>
          <cell r="H6">
            <v>28285</v>
          </cell>
          <cell r="I6">
            <v>49</v>
          </cell>
          <cell r="J6">
            <v>17905</v>
          </cell>
          <cell r="K6" t="str">
            <v>Abdulmajeed.Alzannan@agriserv.sa</v>
          </cell>
          <cell r="L6" t="str">
            <v>0504778778</v>
          </cell>
          <cell r="M6" t="str">
            <v>2500</v>
          </cell>
          <cell r="N6" t="str">
            <v>المملكة العربية السعودية</v>
          </cell>
          <cell r="O6" t="str">
            <v>50001334</v>
          </cell>
          <cell r="P6" t="str">
            <v>مدير عام، الموارد البشرية</v>
          </cell>
          <cell r="Q6" t="str">
            <v>الدرجة 9</v>
          </cell>
          <cell r="R6" t="str">
            <v>Class VVIP</v>
          </cell>
          <cell r="S6" t="str">
            <v/>
          </cell>
          <cell r="T6" t="str">
            <v/>
          </cell>
          <cell r="U6" t="str">
            <v>الموارد البشرية</v>
          </cell>
          <cell r="V6" t="str">
            <v>الخدمات المشتركة</v>
          </cell>
          <cell r="W6" t="str">
            <v>Head Quarter</v>
          </cell>
          <cell r="X6" t="str">
            <v xml:space="preserve">المقر الرئيسي </v>
          </cell>
          <cell r="Y6">
            <v>44470</v>
          </cell>
          <cell r="Z6">
            <v>4.71</v>
          </cell>
          <cell r="AA6">
            <v>1720</v>
          </cell>
          <cell r="AB6" t="str">
            <v>نشط</v>
          </cell>
          <cell r="AC6" t="str">
            <v>100009</v>
          </cell>
          <cell r="AD6" t="str">
            <v>Abdullah AlOthman</v>
          </cell>
          <cell r="AE6" t="str">
            <v>موظف</v>
          </cell>
          <cell r="AF6" t="str">
            <v/>
          </cell>
          <cell r="AG6">
            <v>46295</v>
          </cell>
          <cell r="AH6" t="str">
            <v>هندسة ميكانيكا</v>
          </cell>
          <cell r="AI6" t="str">
            <v>بكالوريوس</v>
          </cell>
          <cell r="AJ6">
            <v>6</v>
          </cell>
          <cell r="AK6">
            <v>3</v>
          </cell>
          <cell r="AL6">
            <v>1</v>
          </cell>
          <cell r="AM6">
            <v>2</v>
          </cell>
          <cell r="AN6">
            <v>2</v>
          </cell>
          <cell r="AO6" t="str">
            <v>الموارد البشرية</v>
          </cell>
          <cell r="AP6" t="str">
            <v>Saudi Awwal Bank</v>
          </cell>
          <cell r="AQ6" t="str">
            <v>SA9745000000161220462001</v>
          </cell>
          <cell r="AR6">
            <v>64271.750399999997</v>
          </cell>
          <cell r="AS6">
            <v>64271.75</v>
          </cell>
          <cell r="AT6">
            <v>3500</v>
          </cell>
          <cell r="AU6">
            <v>16067.938</v>
          </cell>
          <cell r="AV6">
            <v>800</v>
          </cell>
        </row>
        <row r="7">
          <cell r="A7">
            <v>100005</v>
          </cell>
          <cell r="B7" t="str">
            <v>1005758410</v>
          </cell>
          <cell r="C7" t="str">
            <v>السيد</v>
          </cell>
          <cell r="D7" t="str">
            <v>Khalid Ibrhim Fahad Alghannam</v>
          </cell>
          <cell r="E7" t="str">
            <v>خالد إبراهيم فهد الغنام</v>
          </cell>
          <cell r="F7" t="str">
            <v>Male</v>
          </cell>
          <cell r="G7" t="str">
            <v>متزوج</v>
          </cell>
          <cell r="H7">
            <v>29182</v>
          </cell>
          <cell r="I7">
            <v>47</v>
          </cell>
          <cell r="J7">
            <v>17008</v>
          </cell>
          <cell r="K7" t="str">
            <v>Khalid.Alghannam@agriserv.sa</v>
          </cell>
          <cell r="L7" t="str">
            <v>0554136212</v>
          </cell>
          <cell r="M7" t="str">
            <v>2600</v>
          </cell>
          <cell r="N7" t="str">
            <v>المملكة العربية السعودية</v>
          </cell>
          <cell r="O7" t="str">
            <v>50001546</v>
          </cell>
          <cell r="P7" t="str">
            <v>مدير عام, الشئون الإدارية</v>
          </cell>
          <cell r="Q7" t="str">
            <v>الدرجة 9</v>
          </cell>
          <cell r="R7" t="str">
            <v>Class VIP</v>
          </cell>
          <cell r="S7" t="str">
            <v/>
          </cell>
          <cell r="T7" t="str">
            <v/>
          </cell>
          <cell r="U7" t="str">
            <v>الشؤون الإدارية</v>
          </cell>
          <cell r="V7" t="str">
            <v>الخدمات المشتركة</v>
          </cell>
          <cell r="W7" t="str">
            <v>Head Quarter</v>
          </cell>
          <cell r="X7" t="str">
            <v xml:space="preserve">المقر الرئيسي </v>
          </cell>
          <cell r="Y7">
            <v>44542</v>
          </cell>
          <cell r="Z7">
            <v>4.51</v>
          </cell>
          <cell r="AA7">
            <v>1648</v>
          </cell>
          <cell r="AB7" t="str">
            <v>نشط</v>
          </cell>
          <cell r="AC7" t="str">
            <v>100009</v>
          </cell>
          <cell r="AD7" t="str">
            <v>Abdullah AlOthman</v>
          </cell>
          <cell r="AE7" t="str">
            <v>موظف</v>
          </cell>
          <cell r="AF7" t="str">
            <v/>
          </cell>
          <cell r="AG7">
            <v>46367</v>
          </cell>
          <cell r="AH7" t="str">
            <v>إدارة الأعمال</v>
          </cell>
          <cell r="AI7" t="str">
            <v>ماجستير</v>
          </cell>
          <cell r="AJ7">
            <v>5</v>
          </cell>
          <cell r="AK7">
            <v>2</v>
          </cell>
          <cell r="AL7">
            <v>1</v>
          </cell>
          <cell r="AM7">
            <v>2</v>
          </cell>
          <cell r="AN7">
            <v>1</v>
          </cell>
          <cell r="AO7" t="str">
            <v>الشؤون الإدارية</v>
          </cell>
          <cell r="AP7" t="str">
            <v>Saudi National Bank</v>
          </cell>
          <cell r="AQ7" t="str">
            <v>SA0310000025961486000108</v>
          </cell>
          <cell r="AR7">
            <v>39975.936000000002</v>
          </cell>
          <cell r="AS7">
            <v>39975.936000000002</v>
          </cell>
          <cell r="AT7">
            <v>3500</v>
          </cell>
          <cell r="AU7">
            <v>9993.9840000000004</v>
          </cell>
          <cell r="AV7">
            <v>800</v>
          </cell>
        </row>
        <row r="8">
          <cell r="A8">
            <v>100006</v>
          </cell>
          <cell r="B8" t="str">
            <v>1011076849</v>
          </cell>
          <cell r="C8" t="str">
            <v>السيد</v>
          </cell>
          <cell r="D8" t="str">
            <v>Abdulrahman Nasser Abdul Rahman Alrasheed</v>
          </cell>
          <cell r="E8" t="str">
            <v>عبدالرحمن ناصر عبدالرحمن الرشيد</v>
          </cell>
          <cell r="F8" t="str">
            <v>Male</v>
          </cell>
          <cell r="G8" t="str">
            <v>متزوج</v>
          </cell>
          <cell r="H8">
            <v>30466</v>
          </cell>
          <cell r="I8">
            <v>43</v>
          </cell>
          <cell r="J8">
            <v>15724</v>
          </cell>
          <cell r="K8" t="str">
            <v>abdulrahman.alrasheed@agriserv.sa</v>
          </cell>
          <cell r="L8" t="str">
            <v>0504179317</v>
          </cell>
          <cell r="M8" t="str">
            <v>2000</v>
          </cell>
          <cell r="N8" t="str">
            <v>المملكة العربية السعودية</v>
          </cell>
          <cell r="O8" t="str">
            <v>50000303</v>
          </cell>
          <cell r="P8" t="str">
            <v>مساعد الرئيس للخدمات المشتركة</v>
          </cell>
          <cell r="Q8" t="str">
            <v>الدرجة 10</v>
          </cell>
          <cell r="R8" t="str">
            <v>Class VVIP</v>
          </cell>
          <cell r="S8" t="str">
            <v/>
          </cell>
          <cell r="T8" t="str">
            <v/>
          </cell>
          <cell r="U8" t="str">
            <v/>
          </cell>
          <cell r="V8" t="str">
            <v>الخدمات المشتركة</v>
          </cell>
          <cell r="W8" t="str">
            <v>Head Quarter</v>
          </cell>
          <cell r="X8" t="str">
            <v xml:space="preserve">المقر الرئيسي </v>
          </cell>
          <cell r="Y8">
            <v>44606</v>
          </cell>
          <cell r="Z8">
            <v>4.34</v>
          </cell>
          <cell r="AA8">
            <v>1584</v>
          </cell>
          <cell r="AB8" t="str">
            <v>غير نشط</v>
          </cell>
          <cell r="AC8" t="str">
            <v>100045</v>
          </cell>
          <cell r="AD8" t="str">
            <v>Omar Alsuhaibani</v>
          </cell>
          <cell r="AE8" t="str">
            <v>موظف</v>
          </cell>
          <cell r="AF8">
            <v>46066</v>
          </cell>
          <cell r="AG8">
            <v>46066</v>
          </cell>
          <cell r="AH8" t="str">
            <v>نظم المعلومات الإدارية</v>
          </cell>
          <cell r="AI8" t="str">
            <v>بكالوريوس</v>
          </cell>
          <cell r="AJ8">
            <v>4</v>
          </cell>
          <cell r="AK8">
            <v>1</v>
          </cell>
          <cell r="AL8">
            <v>1</v>
          </cell>
          <cell r="AM8">
            <v>2</v>
          </cell>
          <cell r="AN8">
            <v>1</v>
          </cell>
          <cell r="AO8" t="str">
            <v>Corporate Support Department</v>
          </cell>
          <cell r="AP8" t="str">
            <v>Inma Bank</v>
          </cell>
          <cell r="AQ8" t="str">
            <v>SA7305000068200467849000</v>
          </cell>
          <cell r="AR8">
            <v>94382.399999999994</v>
          </cell>
          <cell r="AS8">
            <v>94382.399999999994</v>
          </cell>
          <cell r="AT8">
            <v>3500</v>
          </cell>
          <cell r="AU8">
            <v>23595.599999999999</v>
          </cell>
          <cell r="AV8">
            <v>800</v>
          </cell>
        </row>
        <row r="9">
          <cell r="A9">
            <v>100007</v>
          </cell>
          <cell r="B9" t="str">
            <v>1076393196</v>
          </cell>
          <cell r="C9" t="str">
            <v>السيد</v>
          </cell>
          <cell r="D9" t="str">
            <v>Abdulaziz AlHamoud</v>
          </cell>
          <cell r="E9" t="str">
            <v>عبدالعزيز محمد عبدالعزيز الحمود</v>
          </cell>
          <cell r="F9" t="str">
            <v>Male</v>
          </cell>
          <cell r="G9" t="str">
            <v>أعزب</v>
          </cell>
          <cell r="H9">
            <v>32430</v>
          </cell>
          <cell r="I9">
            <v>38</v>
          </cell>
          <cell r="J9">
            <v>13760</v>
          </cell>
          <cell r="K9" t="str">
            <v/>
          </cell>
          <cell r="L9" t="str">
            <v>0558888336</v>
          </cell>
          <cell r="M9" t="str">
            <v/>
          </cell>
          <cell r="N9" t="str">
            <v>المملكة العربية السعودية</v>
          </cell>
          <cell r="O9" t="str">
            <v>50000645</v>
          </cell>
          <cell r="P9" t="str">
            <v>مساعد الرئيس للتخطيط واستثمارات الأصول التجارية</v>
          </cell>
          <cell r="Q9" t="str">
            <v>الدرجة 10</v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>إدارة تطوير الاعمال</v>
          </cell>
          <cell r="W9" t="str">
            <v>Al Riyadh</v>
          </cell>
          <cell r="X9" t="str">
            <v xml:space="preserve">المقر الرئيسي </v>
          </cell>
          <cell r="Y9">
            <v>44593</v>
          </cell>
          <cell r="Z9">
            <v>4.37</v>
          </cell>
          <cell r="AA9">
            <v>1597</v>
          </cell>
          <cell r="AB9" t="str">
            <v>غير نشط</v>
          </cell>
          <cell r="AC9" t="str">
            <v>100045</v>
          </cell>
          <cell r="AD9" t="str">
            <v>Omar Alsuhaibani</v>
          </cell>
          <cell r="AE9" t="str">
            <v>موظف</v>
          </cell>
          <cell r="AF9">
            <v>44957</v>
          </cell>
          <cell r="AG9" t="str">
            <v/>
          </cell>
          <cell r="AH9" t="str">
            <v/>
          </cell>
          <cell r="AI9" t="str">
            <v/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 t="str">
            <v/>
          </cell>
          <cell r="AO9" t="str">
            <v>Corporate Management &amp; Assets Investment</v>
          </cell>
          <cell r="AP9" t="str">
            <v>Al Rajhi Bank</v>
          </cell>
          <cell r="AQ9" t="str">
            <v>SA1280000501608010760779</v>
          </cell>
          <cell r="AR9">
            <v>71000</v>
          </cell>
          <cell r="AS9">
            <v>71000</v>
          </cell>
          <cell r="AT9">
            <v>3500</v>
          </cell>
          <cell r="AU9">
            <v>17750</v>
          </cell>
          <cell r="AV9">
            <v>800</v>
          </cell>
        </row>
        <row r="10">
          <cell r="A10">
            <v>100008</v>
          </cell>
          <cell r="B10" t="str">
            <v>1030941312</v>
          </cell>
          <cell r="C10" t="str">
            <v>السيد</v>
          </cell>
          <cell r="D10" t="str">
            <v>Turki Hamad Razin Almutairi</v>
          </cell>
          <cell r="E10" t="str">
            <v>تركي حمد رزين المطيري</v>
          </cell>
          <cell r="F10" t="str">
            <v>Male</v>
          </cell>
          <cell r="G10" t="str">
            <v>متزوج</v>
          </cell>
          <cell r="H10">
            <v>30440</v>
          </cell>
          <cell r="I10">
            <v>43</v>
          </cell>
          <cell r="J10">
            <v>15750</v>
          </cell>
          <cell r="K10" t="str">
            <v>turki.almutairi@agriserv.sa</v>
          </cell>
          <cell r="L10" t="str">
            <v>0505383344</v>
          </cell>
          <cell r="M10" t="str">
            <v>2202</v>
          </cell>
          <cell r="N10" t="str">
            <v>المملكة العربية السعودية</v>
          </cell>
          <cell r="O10" t="str">
            <v>50000376</v>
          </cell>
          <cell r="P10" t="str">
            <v>مدير إدارة، التحول الرقمي</v>
          </cell>
          <cell r="Q10" t="str">
            <v>8 الدرجة</v>
          </cell>
          <cell r="R10" t="str">
            <v>Class VIP</v>
          </cell>
          <cell r="S10" t="str">
            <v/>
          </cell>
          <cell r="T10" t="str">
            <v>الإبتكار والتطوير لتقنية المعلومات</v>
          </cell>
          <cell r="U10" t="str">
            <v>تقنية المعلومات</v>
          </cell>
          <cell r="V10" t="str">
            <v>الخدمات المشتركة</v>
          </cell>
          <cell r="W10" t="str">
            <v>Al Riyadh</v>
          </cell>
          <cell r="X10" t="str">
            <v xml:space="preserve">المقر الرئيسي </v>
          </cell>
          <cell r="Y10">
            <v>44621</v>
          </cell>
          <cell r="Z10">
            <v>4.3</v>
          </cell>
          <cell r="AA10">
            <v>1569</v>
          </cell>
          <cell r="AB10" t="str">
            <v>نشط</v>
          </cell>
          <cell r="AC10" t="str">
            <v>100067</v>
          </cell>
          <cell r="AD10" t="str">
            <v>Moath Almqbel</v>
          </cell>
          <cell r="AE10" t="str">
            <v>موظف</v>
          </cell>
          <cell r="AF10" t="str">
            <v/>
          </cell>
          <cell r="AG10">
            <v>46081</v>
          </cell>
          <cell r="AH10" t="str">
            <v>معلومات الأنظمة</v>
          </cell>
          <cell r="AI10" t="str">
            <v>ماجستير</v>
          </cell>
          <cell r="AJ10">
            <v>7</v>
          </cell>
          <cell r="AK10">
            <v>4</v>
          </cell>
          <cell r="AL10">
            <v>1</v>
          </cell>
          <cell r="AM10">
            <v>2</v>
          </cell>
          <cell r="AN10">
            <v>4</v>
          </cell>
          <cell r="AO10" t="str">
            <v>التحول الرقمي وتقنية المعلومات</v>
          </cell>
          <cell r="AP10" t="str">
            <v>Saudi National Bank</v>
          </cell>
          <cell r="AQ10" t="str">
            <v>SA6310000025267393000109</v>
          </cell>
          <cell r="AR10">
            <v>46980</v>
          </cell>
          <cell r="AS10">
            <v>46980</v>
          </cell>
          <cell r="AT10">
            <v>3000</v>
          </cell>
          <cell r="AU10">
            <v>11745</v>
          </cell>
          <cell r="AV10">
            <v>500</v>
          </cell>
        </row>
        <row r="11">
          <cell r="A11">
            <v>100009</v>
          </cell>
          <cell r="B11" t="str">
            <v>1032006700</v>
          </cell>
          <cell r="C11" t="str">
            <v>السيد</v>
          </cell>
          <cell r="D11" t="str">
            <v>Abdullah Ibrahim Abdullah AlOthman</v>
          </cell>
          <cell r="E11" t="str">
            <v>عبدالله إبراهيم عبدالله آل عثمان</v>
          </cell>
          <cell r="F11" t="str">
            <v>Male</v>
          </cell>
          <cell r="G11" t="str">
            <v>متزوج</v>
          </cell>
          <cell r="H11">
            <v>29800</v>
          </cell>
          <cell r="I11">
            <v>45</v>
          </cell>
          <cell r="J11">
            <v>16390</v>
          </cell>
          <cell r="K11" t="str">
            <v>Abdullah.Alothman@agriserv.sa</v>
          </cell>
          <cell r="L11" t="str">
            <v>0555992300</v>
          </cell>
          <cell r="M11" t="str">
            <v>2100</v>
          </cell>
          <cell r="N11" t="str">
            <v>المملكة العربية السعودية</v>
          </cell>
          <cell r="O11" t="str">
            <v>50001335</v>
          </cell>
          <cell r="P11" t="str">
            <v>مدير عام، المشتريات</v>
          </cell>
          <cell r="Q11" t="str">
            <v>الدرجة 9</v>
          </cell>
          <cell r="R11" t="str">
            <v>Class VVIP</v>
          </cell>
          <cell r="S11" t="str">
            <v/>
          </cell>
          <cell r="T11" t="str">
            <v/>
          </cell>
          <cell r="U11" t="str">
            <v>المشتريات</v>
          </cell>
          <cell r="V11" t="str">
            <v>الخدمات المشتركة</v>
          </cell>
          <cell r="W11" t="str">
            <v>Head Quarter</v>
          </cell>
          <cell r="X11" t="str">
            <v xml:space="preserve">المقر الرئيسي </v>
          </cell>
          <cell r="Y11">
            <v>44668</v>
          </cell>
          <cell r="Z11">
            <v>4.17</v>
          </cell>
          <cell r="AA11">
            <v>1522</v>
          </cell>
          <cell r="AB11" t="str">
            <v>نشط</v>
          </cell>
          <cell r="AC11" t="str">
            <v>100191</v>
          </cell>
          <cell r="AD11" t="str">
            <v>Nemer Alshebel</v>
          </cell>
          <cell r="AE11" t="str">
            <v>موظف</v>
          </cell>
          <cell r="AF11" t="str">
            <v/>
          </cell>
          <cell r="AG11">
            <v>46128</v>
          </cell>
          <cell r="AH11" t="str">
            <v>المالية</v>
          </cell>
          <cell r="AI11" t="str">
            <v>بكالوريوس</v>
          </cell>
          <cell r="AJ11">
            <v>5</v>
          </cell>
          <cell r="AK11">
            <v>2</v>
          </cell>
          <cell r="AL11">
            <v>1</v>
          </cell>
          <cell r="AM11">
            <v>2</v>
          </cell>
          <cell r="AN11">
            <v>2</v>
          </cell>
          <cell r="AO11" t="str">
            <v>المشتريات</v>
          </cell>
          <cell r="AP11" t="str">
            <v>Bank Al Jazirah</v>
          </cell>
          <cell r="AQ11" t="str">
            <v>SA6860100003481296350001</v>
          </cell>
          <cell r="AR11">
            <v>61567.188900000001</v>
          </cell>
          <cell r="AS11">
            <v>61567.188999999998</v>
          </cell>
          <cell r="AT11">
            <v>3500</v>
          </cell>
          <cell r="AU11">
            <v>15391.797</v>
          </cell>
          <cell r="AV11">
            <v>800</v>
          </cell>
        </row>
        <row r="12">
          <cell r="A12">
            <v>100011</v>
          </cell>
          <cell r="B12" t="str">
            <v>1099947374</v>
          </cell>
          <cell r="C12" t="str">
            <v>السيدة</v>
          </cell>
          <cell r="D12" t="str">
            <v>Deem Fahad Saleh Alfawzan</v>
          </cell>
          <cell r="E12" t="str">
            <v>ديم فهد صالح الفوزان</v>
          </cell>
          <cell r="F12" t="str">
            <v>Female</v>
          </cell>
          <cell r="G12" t="str">
            <v>متزوج</v>
          </cell>
          <cell r="H12">
            <v>34743</v>
          </cell>
          <cell r="I12">
            <v>31</v>
          </cell>
          <cell r="J12">
            <v>11447</v>
          </cell>
          <cell r="K12" t="str">
            <v>Deem.alfawzan@agriserv.sa</v>
          </cell>
          <cell r="L12" t="str">
            <v>0566564411</v>
          </cell>
          <cell r="M12" t="str">
            <v>2403</v>
          </cell>
          <cell r="N12" t="str">
            <v>المملكة العربية السعودية</v>
          </cell>
          <cell r="O12" t="str">
            <v>50000338</v>
          </cell>
          <cell r="P12" t="str">
            <v>أخصائي الحسابات العامة</v>
          </cell>
          <cell r="Q12" t="str">
            <v>الدرجة ٥</v>
          </cell>
          <cell r="R12" t="str">
            <v>Class VIP</v>
          </cell>
          <cell r="S12" t="str">
            <v/>
          </cell>
          <cell r="T12" t="str">
            <v>الحسابات</v>
          </cell>
          <cell r="U12" t="str">
            <v>المالية والمحاسبة</v>
          </cell>
          <cell r="V12" t="str">
            <v>الخدمات المشتركة</v>
          </cell>
          <cell r="W12" t="str">
            <v>Al Riyadh</v>
          </cell>
          <cell r="X12" t="str">
            <v xml:space="preserve">المقر الرئيسي </v>
          </cell>
          <cell r="Y12">
            <v>44689</v>
          </cell>
          <cell r="Z12">
            <v>4.1100000000000003</v>
          </cell>
          <cell r="AA12">
            <v>1501</v>
          </cell>
          <cell r="AB12" t="str">
            <v>غير نشط</v>
          </cell>
          <cell r="AC12" t="str">
            <v>100026</v>
          </cell>
          <cell r="AD12" t="str">
            <v>Ali Matmi</v>
          </cell>
          <cell r="AE12" t="str">
            <v>موظف</v>
          </cell>
          <cell r="AF12">
            <v>45784</v>
          </cell>
          <cell r="AG12">
            <v>45784</v>
          </cell>
          <cell r="AH12" t="str">
            <v>المحاسبة</v>
          </cell>
          <cell r="AI12" t="str">
            <v>بكالوريوس</v>
          </cell>
          <cell r="AJ12">
            <v>2</v>
          </cell>
          <cell r="AK12">
            <v>0</v>
          </cell>
          <cell r="AL12">
            <v>0</v>
          </cell>
          <cell r="AM12">
            <v>2</v>
          </cell>
          <cell r="AN12" t="str">
            <v/>
          </cell>
          <cell r="AO12" t="str">
            <v>Finance and Accounting</v>
          </cell>
          <cell r="AP12" t="str">
            <v>Inma Bank</v>
          </cell>
          <cell r="AQ12" t="str">
            <v>SA6305000068201708679000</v>
          </cell>
          <cell r="AR12">
            <v>11440</v>
          </cell>
          <cell r="AS12">
            <v>11440</v>
          </cell>
          <cell r="AT12">
            <v>1144</v>
          </cell>
          <cell r="AU12">
            <v>2860</v>
          </cell>
          <cell r="AV12" t="str">
            <v/>
          </cell>
        </row>
        <row r="13">
          <cell r="A13">
            <v>100012</v>
          </cell>
          <cell r="B13" t="str">
            <v>1083376184</v>
          </cell>
          <cell r="C13" t="str">
            <v>السيدة</v>
          </cell>
          <cell r="D13" t="str">
            <v>Maryam Khalid Mohammed Alsuhaibani</v>
          </cell>
          <cell r="E13" t="str">
            <v>مريم خالد محمد السحيباني</v>
          </cell>
          <cell r="F13" t="str">
            <v>Female</v>
          </cell>
          <cell r="G13" t="str">
            <v>متزوج</v>
          </cell>
          <cell r="H13">
            <v>34588</v>
          </cell>
          <cell r="I13">
            <v>32</v>
          </cell>
          <cell r="J13">
            <v>11602</v>
          </cell>
          <cell r="K13" t="str">
            <v>Maryam.Alsuhaibani@agriserv.sa</v>
          </cell>
          <cell r="L13" t="str">
            <v>0546806610</v>
          </cell>
          <cell r="M13" t="str">
            <v>2404</v>
          </cell>
          <cell r="N13" t="str">
            <v>المملكة العربية السعودية</v>
          </cell>
          <cell r="O13" t="str">
            <v>50001547</v>
          </cell>
          <cell r="P13" t="str">
            <v>مدير, الميزانية</v>
          </cell>
          <cell r="Q13" t="str">
            <v>الدرجة 6</v>
          </cell>
          <cell r="R13" t="str">
            <v>Class VIP</v>
          </cell>
          <cell r="S13" t="str">
            <v/>
          </cell>
          <cell r="T13" t="str">
            <v>الحسابات</v>
          </cell>
          <cell r="U13" t="str">
            <v>الحسابات</v>
          </cell>
          <cell r="V13" t="str">
            <v>المالية</v>
          </cell>
          <cell r="W13" t="str">
            <v>Head Quarter</v>
          </cell>
          <cell r="X13" t="str">
            <v xml:space="preserve">المقر الرئيسي </v>
          </cell>
          <cell r="Y13">
            <v>44689</v>
          </cell>
          <cell r="Z13">
            <v>4.1100000000000003</v>
          </cell>
          <cell r="AA13">
            <v>1501</v>
          </cell>
          <cell r="AB13" t="str">
            <v>نشط</v>
          </cell>
          <cell r="AC13" t="str">
            <v>100183</v>
          </cell>
          <cell r="AD13" t="str">
            <v>Abdulaziz Aljadaan</v>
          </cell>
          <cell r="AE13" t="str">
            <v>موظف</v>
          </cell>
          <cell r="AF13" t="str">
            <v/>
          </cell>
          <cell r="AG13">
            <v>46149</v>
          </cell>
          <cell r="AH13" t="str">
            <v>المحاسبة</v>
          </cell>
          <cell r="AI13" t="str">
            <v>بكالوريوس</v>
          </cell>
          <cell r="AJ13">
            <v>4</v>
          </cell>
          <cell r="AK13">
            <v>1</v>
          </cell>
          <cell r="AL13">
            <v>1</v>
          </cell>
          <cell r="AM13">
            <v>2</v>
          </cell>
          <cell r="AN13" t="str">
            <v/>
          </cell>
          <cell r="AO13" t="str">
            <v>التخطيط والأداء المالي</v>
          </cell>
          <cell r="AP13" t="str">
            <v>Al Rajhi Bank</v>
          </cell>
          <cell r="AQ13" t="str">
            <v>SA7580000211608010373244</v>
          </cell>
          <cell r="AR13">
            <v>18615.0825</v>
          </cell>
          <cell r="AS13">
            <v>18615.081999999999</v>
          </cell>
          <cell r="AT13">
            <v>1861.508</v>
          </cell>
          <cell r="AU13">
            <v>4653.7709999999997</v>
          </cell>
          <cell r="AV13">
            <v>500</v>
          </cell>
        </row>
        <row r="14">
          <cell r="A14">
            <v>100014</v>
          </cell>
          <cell r="B14" t="str">
            <v>1068894599</v>
          </cell>
          <cell r="C14" t="str">
            <v>السيد</v>
          </cell>
          <cell r="D14" t="str">
            <v>Majed Yousef Ibrahim Alhawas</v>
          </cell>
          <cell r="E14" t="str">
            <v>ماجد يوسف إبراهيم الحواس</v>
          </cell>
          <cell r="F14" t="str">
            <v>Male</v>
          </cell>
          <cell r="G14" t="str">
            <v>متزوج</v>
          </cell>
          <cell r="H14">
            <v>31913</v>
          </cell>
          <cell r="I14">
            <v>39</v>
          </cell>
          <cell r="J14">
            <v>14277</v>
          </cell>
          <cell r="K14" t="str">
            <v>m.alhawas@agriserv.sa</v>
          </cell>
          <cell r="L14" t="str">
            <v>0569933599</v>
          </cell>
          <cell r="M14" t="str">
            <v/>
          </cell>
          <cell r="N14" t="str">
            <v>المملكة العربية السعودية</v>
          </cell>
          <cell r="O14" t="str">
            <v>50000372</v>
          </cell>
          <cell r="P14" t="str">
            <v>أخصائي أول، السياسات والحوكمة</v>
          </cell>
          <cell r="Q14" t="str">
            <v>الدرجة 6</v>
          </cell>
          <cell r="R14" t="str">
            <v>Class VIP</v>
          </cell>
          <cell r="S14" t="str">
            <v/>
          </cell>
          <cell r="T14" t="str">
            <v/>
          </cell>
          <cell r="U14" t="str">
            <v>مكتب الرئيس التنفيذي</v>
          </cell>
          <cell r="V14" t="str">
            <v>مكتب الرئيس التنفيذي</v>
          </cell>
          <cell r="W14" t="str">
            <v>Al Riyadh</v>
          </cell>
          <cell r="X14" t="str">
            <v xml:space="preserve">المقر الرئيسي </v>
          </cell>
          <cell r="Y14">
            <v>44698</v>
          </cell>
          <cell r="Z14">
            <v>4.08</v>
          </cell>
          <cell r="AA14">
            <v>1492</v>
          </cell>
          <cell r="AB14" t="str">
            <v>نشط</v>
          </cell>
          <cell r="AC14" t="str">
            <v>10002</v>
          </cell>
          <cell r="AD14" t="str">
            <v>EC Payroll</v>
          </cell>
          <cell r="AE14" t="str">
            <v>موظف</v>
          </cell>
          <cell r="AF14" t="str">
            <v/>
          </cell>
          <cell r="AG14">
            <v>46158</v>
          </cell>
          <cell r="AH14" t="str">
            <v>قانون</v>
          </cell>
          <cell r="AI14" t="str">
            <v>بكالوريوس</v>
          </cell>
          <cell r="AJ14">
            <v>3</v>
          </cell>
          <cell r="AK14">
            <v>2</v>
          </cell>
          <cell r="AL14">
            <v>1</v>
          </cell>
          <cell r="AM14">
            <v>0</v>
          </cell>
          <cell r="AN14" t="str">
            <v/>
          </cell>
          <cell r="AO14" t="str">
            <v>عام</v>
          </cell>
          <cell r="AP14" t="str">
            <v>Banque Saudi Fransi</v>
          </cell>
          <cell r="AQ14" t="str">
            <v>SA82550000000G5414500125</v>
          </cell>
          <cell r="AR14">
            <v>18160</v>
          </cell>
          <cell r="AS14">
            <v>18160</v>
          </cell>
          <cell r="AT14">
            <v>1816</v>
          </cell>
          <cell r="AU14">
            <v>4540</v>
          </cell>
          <cell r="AV14" t="str">
            <v/>
          </cell>
        </row>
        <row r="15">
          <cell r="A15">
            <v>100015</v>
          </cell>
          <cell r="B15" t="str">
            <v>1045532171</v>
          </cell>
          <cell r="C15" t="str">
            <v>السيد</v>
          </cell>
          <cell r="D15" t="str">
            <v>Faris Aleid</v>
          </cell>
          <cell r="E15" t="str">
            <v>فارس محمد  العيد</v>
          </cell>
          <cell r="F15" t="str">
            <v>Male</v>
          </cell>
          <cell r="G15" t="str">
            <v>أعزب</v>
          </cell>
          <cell r="H15">
            <v>31762</v>
          </cell>
          <cell r="I15">
            <v>40</v>
          </cell>
          <cell r="J15">
            <v>14428</v>
          </cell>
          <cell r="K15" t="str">
            <v/>
          </cell>
          <cell r="L15" t="str">
            <v/>
          </cell>
          <cell r="M15" t="str">
            <v/>
          </cell>
          <cell r="N15" t="str">
            <v>المملكة العربية السعودية</v>
          </cell>
          <cell r="O15" t="str">
            <v>50000333</v>
          </cell>
          <cell r="P15" t="str">
            <v>مدير إدارة المالية والمحاسبة</v>
          </cell>
          <cell r="Q15" t="str">
            <v>الدرجة 9</v>
          </cell>
          <cell r="R15" t="str">
            <v/>
          </cell>
          <cell r="S15" t="str">
            <v/>
          </cell>
          <cell r="T15" t="str">
            <v/>
          </cell>
          <cell r="U15" t="str">
            <v>المالية والمحاسبة</v>
          </cell>
          <cell r="V15" t="str">
            <v>الخدمات المشتركة</v>
          </cell>
          <cell r="W15" t="str">
            <v>Al Riyadh</v>
          </cell>
          <cell r="X15" t="str">
            <v xml:space="preserve">المقر الرئيسي </v>
          </cell>
          <cell r="Y15">
            <v>44704</v>
          </cell>
          <cell r="Z15">
            <v>4.07</v>
          </cell>
          <cell r="AA15">
            <v>1486</v>
          </cell>
          <cell r="AB15" t="str">
            <v>غير نشط</v>
          </cell>
          <cell r="AC15" t="str">
            <v>100006</v>
          </cell>
          <cell r="AD15" t="str">
            <v>Abdulrahman Alrasheed</v>
          </cell>
          <cell r="AE15" t="str">
            <v>موظف</v>
          </cell>
          <cell r="AF15">
            <v>44704</v>
          </cell>
          <cell r="AG15" t="str">
            <v/>
          </cell>
          <cell r="AH15" t="str">
            <v/>
          </cell>
          <cell r="AI15" t="str">
            <v/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 t="str">
            <v/>
          </cell>
          <cell r="AO15" t="str">
            <v>Finance and Accounting</v>
          </cell>
          <cell r="AP15" t="str">
            <v>Al Rajhi Bank</v>
          </cell>
          <cell r="AQ15" t="str">
            <v>SA6480000114608010374703</v>
          </cell>
          <cell r="AR15">
            <v>47400</v>
          </cell>
          <cell r="AS15">
            <v>47400</v>
          </cell>
          <cell r="AT15">
            <v>3500</v>
          </cell>
          <cell r="AU15">
            <v>11850</v>
          </cell>
          <cell r="AV15" t="str">
            <v/>
          </cell>
        </row>
        <row r="16">
          <cell r="A16">
            <v>100016</v>
          </cell>
          <cell r="B16" t="str">
            <v>1012635031</v>
          </cell>
          <cell r="C16" t="str">
            <v>السيد</v>
          </cell>
          <cell r="D16" t="str">
            <v>Fahad Abudullah Ibrahim Alghwanam</v>
          </cell>
          <cell r="E16" t="str">
            <v>فهد عبدالله إبراهيم الغوينم</v>
          </cell>
          <cell r="F16" t="str">
            <v>Male</v>
          </cell>
          <cell r="G16" t="str">
            <v>متزوج</v>
          </cell>
          <cell r="H16">
            <v>30902</v>
          </cell>
          <cell r="I16">
            <v>42</v>
          </cell>
          <cell r="J16">
            <v>15288</v>
          </cell>
          <cell r="K16" t="str">
            <v>Fahad.alghwainm@agriserv.sa</v>
          </cell>
          <cell r="L16" t="str">
            <v>0531234764</v>
          </cell>
          <cell r="M16" t="str">
            <v>2505</v>
          </cell>
          <cell r="N16" t="str">
            <v>المملكة العربية السعودية</v>
          </cell>
          <cell r="O16" t="str">
            <v>50000365</v>
          </cell>
          <cell r="P16" t="str">
            <v>مدير، الرواتب</v>
          </cell>
          <cell r="Q16" t="str">
            <v>الدرجة 6</v>
          </cell>
          <cell r="R16" t="str">
            <v>Class VIP</v>
          </cell>
          <cell r="S16" t="str">
            <v/>
          </cell>
          <cell r="T16" t="str">
            <v>خدمات الموظفين</v>
          </cell>
          <cell r="U16" t="str">
            <v>الموارد البشرية</v>
          </cell>
          <cell r="V16" t="str">
            <v>الخدمات المشتركة</v>
          </cell>
          <cell r="W16" t="str">
            <v>Al Riyadh</v>
          </cell>
          <cell r="X16" t="str">
            <v xml:space="preserve">المقر الرئيسي </v>
          </cell>
          <cell r="Y16">
            <v>44713</v>
          </cell>
          <cell r="Z16">
            <v>4.04</v>
          </cell>
          <cell r="AA16">
            <v>1477</v>
          </cell>
          <cell r="AB16" t="str">
            <v>نشط</v>
          </cell>
          <cell r="AC16" t="str">
            <v>100000</v>
          </cell>
          <cell r="AD16" t="str">
            <v>Hussain Almalki</v>
          </cell>
          <cell r="AE16" t="str">
            <v>موظف</v>
          </cell>
          <cell r="AF16" t="str">
            <v/>
          </cell>
          <cell r="AG16">
            <v>46173</v>
          </cell>
          <cell r="AH16" t="str">
            <v>إدارة عامة</v>
          </cell>
          <cell r="AI16" t="str">
            <v>بكالوريوس</v>
          </cell>
          <cell r="AJ16">
            <v>5</v>
          </cell>
          <cell r="AK16">
            <v>3</v>
          </cell>
          <cell r="AL16">
            <v>1</v>
          </cell>
          <cell r="AM16">
            <v>1</v>
          </cell>
          <cell r="AN16" t="str">
            <v/>
          </cell>
          <cell r="AO16" t="str">
            <v>الموارد البشرية</v>
          </cell>
          <cell r="AP16" t="str">
            <v>Bank Al Jazirah</v>
          </cell>
          <cell r="AQ16" t="str">
            <v>SA4660000000324253169001</v>
          </cell>
          <cell r="AR16">
            <v>22352.526000000002</v>
          </cell>
          <cell r="AS16">
            <v>22352.526000000002</v>
          </cell>
          <cell r="AT16">
            <v>2235.2530000000002</v>
          </cell>
          <cell r="AU16">
            <v>5588.1319999999996</v>
          </cell>
          <cell r="AV16">
            <v>500</v>
          </cell>
        </row>
        <row r="17">
          <cell r="A17">
            <v>100017</v>
          </cell>
          <cell r="B17" t="str">
            <v>1030856205</v>
          </cell>
          <cell r="C17" t="str">
            <v>السيد</v>
          </cell>
          <cell r="D17" t="str">
            <v>Yasser Qasem Fahad Alqasem</v>
          </cell>
          <cell r="E17" t="str">
            <v>ياسر قاسم فهد القاسم</v>
          </cell>
          <cell r="F17" t="str">
            <v>Male</v>
          </cell>
          <cell r="G17" t="str">
            <v>أعزب</v>
          </cell>
          <cell r="H17">
            <v>31657</v>
          </cell>
          <cell r="I17">
            <v>40</v>
          </cell>
          <cell r="J17">
            <v>14533</v>
          </cell>
          <cell r="K17" t="str">
            <v>yasser.alqassem@agriserv.sa</v>
          </cell>
          <cell r="L17" t="str">
            <v>0555569873</v>
          </cell>
          <cell r="M17" t="str">
            <v/>
          </cell>
          <cell r="N17" t="str">
            <v>المملكة العربية السعودية</v>
          </cell>
          <cell r="O17" t="str">
            <v>50000659</v>
          </cell>
          <cell r="P17" t="str">
            <v>مدير تنفيذي التدقيق المالي والتحصيل</v>
          </cell>
          <cell r="Q17" t="str">
            <v>8 الدرجة</v>
          </cell>
          <cell r="R17" t="str">
            <v/>
          </cell>
          <cell r="S17" t="str">
            <v/>
          </cell>
          <cell r="T17" t="str">
            <v>تنمية الأعمال</v>
          </cell>
          <cell r="U17" t="str">
            <v>تطوير الأعمال و الاستثمارات التجارية</v>
          </cell>
          <cell r="V17" t="str">
            <v>إدارة تطوير الاعمال</v>
          </cell>
          <cell r="W17" t="str">
            <v>Al Riyadh</v>
          </cell>
          <cell r="X17" t="str">
            <v xml:space="preserve">المقر الرئيسي </v>
          </cell>
          <cell r="Y17">
            <v>44724</v>
          </cell>
          <cell r="Z17">
            <v>4.01</v>
          </cell>
          <cell r="AA17">
            <v>1466</v>
          </cell>
          <cell r="AB17" t="str">
            <v>غير نشط</v>
          </cell>
          <cell r="AC17" t="str">
            <v>100045</v>
          </cell>
          <cell r="AD17" t="str">
            <v>Omar Alsuhaibani</v>
          </cell>
          <cell r="AE17" t="str">
            <v>موظف</v>
          </cell>
          <cell r="AF17">
            <v>45454</v>
          </cell>
          <cell r="AG17">
            <v>45454</v>
          </cell>
          <cell r="AH17" t="str">
            <v/>
          </cell>
          <cell r="AI17" t="str">
            <v/>
          </cell>
          <cell r="AJ17">
            <v>1</v>
          </cell>
          <cell r="AK17">
            <v>1</v>
          </cell>
          <cell r="AL17">
            <v>0</v>
          </cell>
          <cell r="AM17">
            <v>0</v>
          </cell>
          <cell r="AN17">
            <v>1</v>
          </cell>
          <cell r="AO17" t="str">
            <v>Business Development &amp; Commercial Invest</v>
          </cell>
          <cell r="AP17" t="str">
            <v>Riyad Bank</v>
          </cell>
          <cell r="AQ17" t="str">
            <v>SA2020000002070078229940</v>
          </cell>
          <cell r="AR17">
            <v>23130</v>
          </cell>
          <cell r="AS17">
            <v>23130</v>
          </cell>
          <cell r="AT17">
            <v>2313</v>
          </cell>
          <cell r="AU17">
            <v>5782.5</v>
          </cell>
          <cell r="AV17">
            <v>500</v>
          </cell>
        </row>
        <row r="18">
          <cell r="A18">
            <v>100018</v>
          </cell>
          <cell r="B18" t="str">
            <v>1085684049</v>
          </cell>
          <cell r="C18" t="str">
            <v>السيدة</v>
          </cell>
          <cell r="D18" t="str">
            <v>Shruq Abduallah Nasser Alshehri</v>
          </cell>
          <cell r="E18" t="str">
            <v>شروق عبدالله ناصر الشهري</v>
          </cell>
          <cell r="F18" t="str">
            <v>Female</v>
          </cell>
          <cell r="G18" t="str">
            <v>أعزب</v>
          </cell>
          <cell r="H18">
            <v>34519</v>
          </cell>
          <cell r="I18">
            <v>32</v>
          </cell>
          <cell r="J18">
            <v>11671</v>
          </cell>
          <cell r="K18" t="str">
            <v>shroug.alshehri@agriserv.sa</v>
          </cell>
          <cell r="L18" t="str">
            <v>0544703297</v>
          </cell>
          <cell r="M18" t="str">
            <v/>
          </cell>
          <cell r="N18" t="str">
            <v>المملكة العربية السعودية</v>
          </cell>
          <cell r="O18" t="str">
            <v>50000411</v>
          </cell>
          <cell r="P18" t="str">
            <v>أخصائي التوظيف</v>
          </cell>
          <cell r="Q18" t="str">
            <v>الدرجة ٥</v>
          </cell>
          <cell r="R18" t="str">
            <v/>
          </cell>
          <cell r="S18" t="str">
            <v>الموارد البشرية</v>
          </cell>
          <cell r="T18" t="str">
            <v>خدمات الموظفين</v>
          </cell>
          <cell r="U18" t="str">
            <v>الموارد البشرية</v>
          </cell>
          <cell r="V18" t="str">
            <v>الخدمات المشتركة</v>
          </cell>
          <cell r="W18" t="str">
            <v>Al Riyadh</v>
          </cell>
          <cell r="X18" t="str">
            <v xml:space="preserve">المقر الرئيسي </v>
          </cell>
          <cell r="Y18">
            <v>44738</v>
          </cell>
          <cell r="Z18">
            <v>3.98</v>
          </cell>
          <cell r="AA18">
            <v>1452</v>
          </cell>
          <cell r="AB18" t="str">
            <v>غير نشط</v>
          </cell>
          <cell r="AC18" t="str">
            <v>100076</v>
          </cell>
          <cell r="AD18" t="str">
            <v>NASSER AlNASSER</v>
          </cell>
          <cell r="AE18" t="str">
            <v>موظف</v>
          </cell>
          <cell r="AF18">
            <v>45442</v>
          </cell>
          <cell r="AG18">
            <v>45833</v>
          </cell>
          <cell r="AH18" t="str">
            <v>التربية الخاصة</v>
          </cell>
          <cell r="AI18" t="str">
            <v>بكالوريوس</v>
          </cell>
          <cell r="AJ18">
            <v>2</v>
          </cell>
          <cell r="AK18">
            <v>0</v>
          </cell>
          <cell r="AL18">
            <v>0</v>
          </cell>
          <cell r="AM18">
            <v>2</v>
          </cell>
          <cell r="AN18" t="str">
            <v/>
          </cell>
          <cell r="AO18" t="str">
            <v>Human Resources</v>
          </cell>
          <cell r="AP18" t="str">
            <v>Al Rajhi Bank</v>
          </cell>
          <cell r="AQ18" t="str">
            <v>SA8380000454608016156797</v>
          </cell>
          <cell r="AR18">
            <v>10600</v>
          </cell>
          <cell r="AS18">
            <v>10600</v>
          </cell>
          <cell r="AT18">
            <v>1060</v>
          </cell>
          <cell r="AU18">
            <v>2650</v>
          </cell>
          <cell r="AV18" t="str">
            <v/>
          </cell>
        </row>
        <row r="19">
          <cell r="A19">
            <v>100021</v>
          </cell>
          <cell r="B19" t="str">
            <v>1062904667</v>
          </cell>
          <cell r="C19" t="str">
            <v>السيد</v>
          </cell>
          <cell r="D19" t="str">
            <v>Mohammed Abdulaziz Mohammed Aldehami</v>
          </cell>
          <cell r="E19" t="str">
            <v>محمد عبدالعزيز محمد الدهامي</v>
          </cell>
          <cell r="F19" t="str">
            <v>Male</v>
          </cell>
          <cell r="G19" t="str">
            <v>متزوج</v>
          </cell>
          <cell r="H19">
            <v>32744</v>
          </cell>
          <cell r="I19">
            <v>37</v>
          </cell>
          <cell r="J19">
            <v>13446</v>
          </cell>
          <cell r="K19" t="str">
            <v>Mohammad.Aldahami@agriserv.sa</v>
          </cell>
          <cell r="L19" t="str">
            <v>0505849719</v>
          </cell>
          <cell r="M19" t="str">
            <v/>
          </cell>
          <cell r="N19" t="str">
            <v>المملكة العربية السعودية</v>
          </cell>
          <cell r="O19" t="str">
            <v>50001548</v>
          </cell>
          <cell r="P19" t="str">
            <v>مدير, المنافسات</v>
          </cell>
          <cell r="Q19" t="str">
            <v>الدرجة 6</v>
          </cell>
          <cell r="R19" t="str">
            <v>Class VIP</v>
          </cell>
          <cell r="S19" t="str">
            <v/>
          </cell>
          <cell r="T19" t="str">
            <v>الشراء والمناقصات</v>
          </cell>
          <cell r="U19" t="str">
            <v>المشتريات</v>
          </cell>
          <cell r="V19" t="str">
            <v>الخدمات المشتركة</v>
          </cell>
          <cell r="W19" t="str">
            <v>Head Quarter</v>
          </cell>
          <cell r="X19" t="str">
            <v xml:space="preserve">المقر الرئيسي </v>
          </cell>
          <cell r="Y19">
            <v>44760</v>
          </cell>
          <cell r="Z19">
            <v>3.92</v>
          </cell>
          <cell r="AA19">
            <v>1430</v>
          </cell>
          <cell r="AB19" t="str">
            <v>نشط</v>
          </cell>
          <cell r="AC19" t="str">
            <v>100110</v>
          </cell>
          <cell r="AD19" t="str">
            <v>Mohannd Alsaab</v>
          </cell>
          <cell r="AE19" t="str">
            <v>موظف</v>
          </cell>
          <cell r="AF19" t="str">
            <v/>
          </cell>
          <cell r="AG19">
            <v>46220</v>
          </cell>
          <cell r="AH19" t="str">
            <v>لغات وترجمة</v>
          </cell>
          <cell r="AI19" t="str">
            <v>بكالوريوس</v>
          </cell>
          <cell r="AJ19">
            <v>5</v>
          </cell>
          <cell r="AK19">
            <v>3</v>
          </cell>
          <cell r="AL19">
            <v>1</v>
          </cell>
          <cell r="AM19">
            <v>1</v>
          </cell>
          <cell r="AN19" t="str">
            <v/>
          </cell>
          <cell r="AO19" t="str">
            <v>المشتريات</v>
          </cell>
          <cell r="AP19" t="str">
            <v>Al Rajhi Bank</v>
          </cell>
          <cell r="AQ19" t="str">
            <v>SA3380000372608010104438</v>
          </cell>
          <cell r="AR19">
            <v>14240.2785</v>
          </cell>
          <cell r="AS19">
            <v>14240.278</v>
          </cell>
          <cell r="AT19">
            <v>1424.028</v>
          </cell>
          <cell r="AU19">
            <v>3560.07</v>
          </cell>
          <cell r="AV19">
            <v>500</v>
          </cell>
        </row>
        <row r="20">
          <cell r="A20">
            <v>100022</v>
          </cell>
          <cell r="B20" t="str">
            <v>1030041741</v>
          </cell>
          <cell r="C20" t="str">
            <v>السيد</v>
          </cell>
          <cell r="D20" t="str">
            <v>Khaled Al.Msaud</v>
          </cell>
          <cell r="E20" t="str">
            <v>خالد علي عبدالرحمن آل مسعود</v>
          </cell>
          <cell r="F20" t="str">
            <v>Male</v>
          </cell>
          <cell r="G20" t="str">
            <v>متزوج</v>
          </cell>
          <cell r="H20">
            <v>25071</v>
          </cell>
          <cell r="I20">
            <v>58</v>
          </cell>
          <cell r="J20">
            <v>21119</v>
          </cell>
          <cell r="K20" t="str">
            <v>Khaled.Almsaud@agriserv.sa</v>
          </cell>
          <cell r="L20" t="str">
            <v/>
          </cell>
          <cell r="M20" t="str">
            <v/>
          </cell>
          <cell r="N20" t="str">
            <v>المملكة العربية السعودية</v>
          </cell>
          <cell r="O20" t="str">
            <v>50000443</v>
          </cell>
          <cell r="P20" t="str">
            <v>مساعد رئيس العمليات</v>
          </cell>
          <cell r="Q20" t="str">
            <v>الدرجة 10</v>
          </cell>
          <cell r="R20" t="str">
            <v/>
          </cell>
          <cell r="S20" t="str">
            <v/>
          </cell>
          <cell r="T20" t="str">
            <v/>
          </cell>
          <cell r="U20" t="str">
            <v>العمليات</v>
          </cell>
          <cell r="V20" t="str">
            <v>العمليات</v>
          </cell>
          <cell r="W20" t="str">
            <v>Al Riyadh</v>
          </cell>
          <cell r="X20" t="str">
            <v xml:space="preserve">المقر الرئيسي </v>
          </cell>
          <cell r="Y20">
            <v>44774</v>
          </cell>
          <cell r="Z20">
            <v>3.88</v>
          </cell>
          <cell r="AA20">
            <v>1416</v>
          </cell>
          <cell r="AB20" t="str">
            <v>غير نشط</v>
          </cell>
          <cell r="AC20" t="str">
            <v>100013</v>
          </cell>
          <cell r="AD20" t="str">
            <v>Abdurahman Alzoghaibi</v>
          </cell>
          <cell r="AE20" t="str">
            <v>موظف</v>
          </cell>
          <cell r="AF20">
            <v>44861</v>
          </cell>
          <cell r="AG20" t="str">
            <v/>
          </cell>
          <cell r="AH20" t="str">
            <v/>
          </cell>
          <cell r="AI20" t="str">
            <v/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 t="str">
            <v/>
          </cell>
          <cell r="AO20" t="str">
            <v>Operation Department</v>
          </cell>
          <cell r="AP20" t="str">
            <v>Al Rajhi Bank</v>
          </cell>
          <cell r="AQ20" t="str">
            <v xml:space="preserve">SA5080000344608010144041
</v>
          </cell>
          <cell r="AR20">
            <v>76560</v>
          </cell>
          <cell r="AS20">
            <v>76560</v>
          </cell>
          <cell r="AT20">
            <v>3500</v>
          </cell>
          <cell r="AU20">
            <v>19140</v>
          </cell>
          <cell r="AV20">
            <v>800</v>
          </cell>
        </row>
        <row r="21">
          <cell r="A21">
            <v>100023</v>
          </cell>
          <cell r="B21" t="str">
            <v>1068906864</v>
          </cell>
          <cell r="C21" t="str">
            <v>السيد</v>
          </cell>
          <cell r="D21" t="str">
            <v>Abdulaziz Saeed Hadi Alqahtani</v>
          </cell>
          <cell r="E21" t="str">
            <v>عبد العزيز سعيد هادي القحطاني</v>
          </cell>
          <cell r="F21" t="str">
            <v>Male</v>
          </cell>
          <cell r="G21" t="str">
            <v>متزوج</v>
          </cell>
          <cell r="H21">
            <v>32003</v>
          </cell>
          <cell r="I21">
            <v>39</v>
          </cell>
          <cell r="J21">
            <v>14187</v>
          </cell>
          <cell r="K21" t="str">
            <v>Abdulaziz.Alqahtani@agriserv.sa</v>
          </cell>
          <cell r="L21" t="str">
            <v>0599888053</v>
          </cell>
          <cell r="M21" t="str">
            <v>7303</v>
          </cell>
          <cell r="N21" t="str">
            <v>المملكة العربية السعودية</v>
          </cell>
          <cell r="O21" t="str">
            <v>50001549</v>
          </cell>
          <cell r="P21" t="str">
            <v>مدير إدارة, الجودة والتميز</v>
          </cell>
          <cell r="Q21" t="str">
            <v>8 الدرجة</v>
          </cell>
          <cell r="R21" t="str">
            <v>Class VIP</v>
          </cell>
          <cell r="S21" t="str">
            <v/>
          </cell>
          <cell r="T21" t="str">
            <v>الحوكمة والمخاطر والالتزام</v>
          </cell>
          <cell r="U21" t="str">
            <v>السياسات والإجراءات</v>
          </cell>
          <cell r="V21" t="str">
            <v>السياسات والإجراءات</v>
          </cell>
          <cell r="W21" t="str">
            <v>Head Quarter</v>
          </cell>
          <cell r="X21" t="str">
            <v xml:space="preserve">المقر الرئيسي </v>
          </cell>
          <cell r="Y21">
            <v>44774</v>
          </cell>
          <cell r="Z21">
            <v>3.88</v>
          </cell>
          <cell r="AA21">
            <v>1416</v>
          </cell>
          <cell r="AB21" t="str">
            <v>نشط</v>
          </cell>
          <cell r="AC21" t="str">
            <v>100048</v>
          </cell>
          <cell r="AD21" t="str">
            <v>Mohammed Alothman</v>
          </cell>
          <cell r="AE21" t="str">
            <v>موظف</v>
          </cell>
          <cell r="AF21" t="str">
            <v/>
          </cell>
          <cell r="AG21">
            <v>46234</v>
          </cell>
          <cell r="AH21" t="str">
            <v>هندسة تصنيع</v>
          </cell>
          <cell r="AI21" t="str">
            <v>بكالوريوس</v>
          </cell>
          <cell r="AJ21">
            <v>6</v>
          </cell>
          <cell r="AK21">
            <v>2</v>
          </cell>
          <cell r="AL21">
            <v>2</v>
          </cell>
          <cell r="AM21">
            <v>2</v>
          </cell>
          <cell r="AN21">
            <v>2</v>
          </cell>
          <cell r="AO21" t="str">
            <v>الحوكمة والمخاطر والالتزام</v>
          </cell>
          <cell r="AP21" t="str">
            <v>Al Rajhi Bank</v>
          </cell>
          <cell r="AQ21" t="str">
            <v>SA0780000220608010121915</v>
          </cell>
          <cell r="AR21">
            <v>34707.680800000002</v>
          </cell>
          <cell r="AS21">
            <v>34707.680999999997</v>
          </cell>
          <cell r="AT21">
            <v>3000</v>
          </cell>
          <cell r="AU21">
            <v>8676.92</v>
          </cell>
          <cell r="AV21">
            <v>500</v>
          </cell>
        </row>
        <row r="22">
          <cell r="A22">
            <v>100024</v>
          </cell>
          <cell r="B22" t="str">
            <v>1019311313</v>
          </cell>
          <cell r="C22" t="str">
            <v>السيدة</v>
          </cell>
          <cell r="D22" t="str">
            <v>Maha Saad Huwaidi AlShreif</v>
          </cell>
          <cell r="E22" t="str">
            <v>مها سعد هويدي الشريف</v>
          </cell>
          <cell r="F22" t="str">
            <v>Female</v>
          </cell>
          <cell r="G22" t="str">
            <v>متزوج</v>
          </cell>
          <cell r="H22">
            <v>30429</v>
          </cell>
          <cell r="I22">
            <v>43</v>
          </cell>
          <cell r="J22">
            <v>15761</v>
          </cell>
          <cell r="K22" t="str">
            <v>Maha.AlSharif@agriserv.sa</v>
          </cell>
          <cell r="L22" t="str">
            <v>0555840023</v>
          </cell>
          <cell r="M22" t="str">
            <v>2301</v>
          </cell>
          <cell r="N22" t="str">
            <v>المملكة العربية السعودية</v>
          </cell>
          <cell r="O22" t="str">
            <v>50000304</v>
          </cell>
          <cell r="P22" t="str">
            <v>مدير إدارة, التواصل المؤسسي</v>
          </cell>
          <cell r="Q22" t="str">
            <v>8 الدرجة</v>
          </cell>
          <cell r="R22" t="str">
            <v>Class VIP</v>
          </cell>
          <cell r="S22" t="str">
            <v/>
          </cell>
          <cell r="T22" t="str">
            <v/>
          </cell>
          <cell r="U22" t="str">
            <v>التواصل المؤسسي</v>
          </cell>
          <cell r="V22" t="str">
            <v>الخدمات المشتركة</v>
          </cell>
          <cell r="W22" t="str">
            <v>Head Quarter</v>
          </cell>
          <cell r="X22" t="str">
            <v xml:space="preserve">المقر الرئيسي </v>
          </cell>
          <cell r="Y22">
            <v>44651</v>
          </cell>
          <cell r="Z22">
            <v>4.21</v>
          </cell>
          <cell r="AA22">
            <v>1539</v>
          </cell>
          <cell r="AB22" t="str">
            <v>نشط</v>
          </cell>
          <cell r="AC22" t="str">
            <v>100009</v>
          </cell>
          <cell r="AD22" t="str">
            <v>Abdullah AlOthman</v>
          </cell>
          <cell r="AE22" t="str">
            <v>موظف</v>
          </cell>
          <cell r="AF22" t="str">
            <v/>
          </cell>
          <cell r="AG22">
            <v>46111</v>
          </cell>
          <cell r="AH22" t="str">
            <v>موارد بشرية</v>
          </cell>
          <cell r="AI22" t="str">
            <v>ماجستير</v>
          </cell>
          <cell r="AJ22">
            <v>4</v>
          </cell>
          <cell r="AK22">
            <v>1</v>
          </cell>
          <cell r="AL22">
            <v>1</v>
          </cell>
          <cell r="AM22">
            <v>2</v>
          </cell>
          <cell r="AN22" t="str">
            <v/>
          </cell>
          <cell r="AO22" t="str">
            <v>التواصل المؤسسي</v>
          </cell>
          <cell r="AP22" t="str">
            <v>Arab National Bank</v>
          </cell>
          <cell r="AQ22" t="str">
            <v>SA2630400108065437510011</v>
          </cell>
          <cell r="AR22">
            <v>31552.4352</v>
          </cell>
          <cell r="AS22">
            <v>31552.435000000001</v>
          </cell>
          <cell r="AT22">
            <v>3000</v>
          </cell>
          <cell r="AU22">
            <v>7888.1090000000004</v>
          </cell>
          <cell r="AV22">
            <v>500</v>
          </cell>
        </row>
        <row r="23">
          <cell r="A23">
            <v>100025</v>
          </cell>
          <cell r="B23" t="str">
            <v>1082964113</v>
          </cell>
          <cell r="C23" t="str">
            <v>السيدة</v>
          </cell>
          <cell r="D23" t="str">
            <v>Noof Fahad Al Hamidi Almuammar</v>
          </cell>
          <cell r="E23" t="str">
            <v>نوف فهد الحميدي المعمر</v>
          </cell>
          <cell r="F23" t="str">
            <v>Female</v>
          </cell>
          <cell r="G23" t="str">
            <v>أعزب</v>
          </cell>
          <cell r="H23">
            <v>34391</v>
          </cell>
          <cell r="I23">
            <v>32</v>
          </cell>
          <cell r="J23">
            <v>11799</v>
          </cell>
          <cell r="K23" t="str">
            <v>Nouf.Almuammar@agriserv.sa</v>
          </cell>
          <cell r="L23" t="str">
            <v>0531102310</v>
          </cell>
          <cell r="M23" t="str">
            <v/>
          </cell>
          <cell r="N23" t="str">
            <v>المملكة العربية السعودية</v>
          </cell>
          <cell r="O23" t="str">
            <v>50000325</v>
          </cell>
          <cell r="P23" t="str">
            <v>أخصائي المنتجات</v>
          </cell>
          <cell r="Q23" t="str">
            <v>الدرجة ٥</v>
          </cell>
          <cell r="R23" t="str">
            <v/>
          </cell>
          <cell r="S23" t="str">
            <v/>
          </cell>
          <cell r="T23" t="str">
            <v>الشراء والمناقصات</v>
          </cell>
          <cell r="U23" t="str">
            <v>المشتريات</v>
          </cell>
          <cell r="V23" t="str">
            <v>الخدمات المشتركة</v>
          </cell>
          <cell r="W23" t="str">
            <v>Al Riyadh</v>
          </cell>
          <cell r="X23" t="str">
            <v xml:space="preserve">المقر الرئيسي </v>
          </cell>
          <cell r="Y23">
            <v>44759</v>
          </cell>
          <cell r="Z23">
            <v>3.92</v>
          </cell>
          <cell r="AA23">
            <v>1431</v>
          </cell>
          <cell r="AB23" t="str">
            <v>غير نشط</v>
          </cell>
          <cell r="AC23" t="str">
            <v>100009</v>
          </cell>
          <cell r="AD23" t="str">
            <v>Abdullah AlOthman</v>
          </cell>
          <cell r="AE23" t="str">
            <v>موظف</v>
          </cell>
          <cell r="AF23">
            <v>45304</v>
          </cell>
          <cell r="AG23" t="str">
            <v/>
          </cell>
          <cell r="AH23" t="str">
            <v>إدارة عامة</v>
          </cell>
          <cell r="AI23" t="str">
            <v>بكالوريوس</v>
          </cell>
          <cell r="AJ23">
            <v>1</v>
          </cell>
          <cell r="AK23">
            <v>0</v>
          </cell>
          <cell r="AL23">
            <v>1</v>
          </cell>
          <cell r="AM23">
            <v>0</v>
          </cell>
          <cell r="AN23" t="str">
            <v/>
          </cell>
          <cell r="AO23" t="str">
            <v>Procurement</v>
          </cell>
          <cell r="AP23" t="str">
            <v>Al Rajhi Bank</v>
          </cell>
          <cell r="AQ23" t="str">
            <v>SA9080000204608010742603</v>
          </cell>
          <cell r="AR23">
            <v>11500</v>
          </cell>
          <cell r="AS23">
            <v>11500</v>
          </cell>
          <cell r="AT23">
            <v>1150</v>
          </cell>
          <cell r="AU23">
            <v>2875</v>
          </cell>
          <cell r="AV23" t="str">
            <v/>
          </cell>
        </row>
        <row r="24">
          <cell r="A24">
            <v>100026</v>
          </cell>
          <cell r="B24" t="str">
            <v>1009416874</v>
          </cell>
          <cell r="C24" t="str">
            <v>السيد</v>
          </cell>
          <cell r="D24" t="str">
            <v>Ali Ibrahim Ahmed Matmi</v>
          </cell>
          <cell r="E24" t="str">
            <v>علي إبراهيم احمد مطمي</v>
          </cell>
          <cell r="F24" t="str">
            <v>Male</v>
          </cell>
          <cell r="G24" t="str">
            <v>متزوج</v>
          </cell>
          <cell r="H24">
            <v>28648</v>
          </cell>
          <cell r="I24">
            <v>48</v>
          </cell>
          <cell r="J24">
            <v>17542</v>
          </cell>
          <cell r="K24" t="str">
            <v>ali.mutmi@agriserv.sa</v>
          </cell>
          <cell r="L24" t="str">
            <v>0561113321</v>
          </cell>
          <cell r="M24" t="str">
            <v>2400</v>
          </cell>
          <cell r="N24" t="str">
            <v>المملكة العربية السعودية</v>
          </cell>
          <cell r="O24" t="str">
            <v>50001336</v>
          </cell>
          <cell r="P24" t="str">
            <v>مدير عام، الحسابات</v>
          </cell>
          <cell r="Q24" t="str">
            <v>الدرجة 9</v>
          </cell>
          <cell r="R24" t="str">
            <v>Class VVIP</v>
          </cell>
          <cell r="S24" t="str">
            <v/>
          </cell>
          <cell r="T24" t="str">
            <v/>
          </cell>
          <cell r="U24" t="str">
            <v>الحسابات</v>
          </cell>
          <cell r="V24" t="str">
            <v>المالية</v>
          </cell>
          <cell r="W24" t="str">
            <v>Head Quarter</v>
          </cell>
          <cell r="X24" t="str">
            <v xml:space="preserve">المقر الرئيسي </v>
          </cell>
          <cell r="Y24">
            <v>44766</v>
          </cell>
          <cell r="Z24">
            <v>3.9</v>
          </cell>
          <cell r="AA24">
            <v>1424</v>
          </cell>
          <cell r="AB24" t="str">
            <v>غير نشط</v>
          </cell>
          <cell r="AC24" t="str">
            <v>100181</v>
          </cell>
          <cell r="AD24" t="str">
            <v>Mohammed Alsaab</v>
          </cell>
          <cell r="AE24" t="str">
            <v>موظف</v>
          </cell>
          <cell r="AF24">
            <v>45967</v>
          </cell>
          <cell r="AG24">
            <v>46226</v>
          </cell>
          <cell r="AH24" t="str">
            <v>إدارة الأعمال</v>
          </cell>
          <cell r="AI24" t="str">
            <v>بكالوريوس</v>
          </cell>
          <cell r="AJ24">
            <v>4</v>
          </cell>
          <cell r="AK24">
            <v>1</v>
          </cell>
          <cell r="AL24">
            <v>1</v>
          </cell>
          <cell r="AM24">
            <v>2</v>
          </cell>
          <cell r="AN24" t="str">
            <v/>
          </cell>
          <cell r="AO24" t="str">
            <v>Finance and Accounting</v>
          </cell>
          <cell r="AP24" t="str">
            <v>Bank Al Bilad</v>
          </cell>
          <cell r="AQ24" t="str">
            <v>SA9415000430104084660004</v>
          </cell>
          <cell r="AR24">
            <v>64115.584000000003</v>
          </cell>
          <cell r="AS24">
            <v>64115.584000000003</v>
          </cell>
          <cell r="AT24">
            <v>3500</v>
          </cell>
          <cell r="AU24">
            <v>16028.896000000001</v>
          </cell>
          <cell r="AV24">
            <v>800</v>
          </cell>
        </row>
        <row r="25">
          <cell r="A25">
            <v>100033</v>
          </cell>
          <cell r="B25" t="str">
            <v>1000865301</v>
          </cell>
          <cell r="C25" t="str">
            <v>السيدة</v>
          </cell>
          <cell r="D25" t="str">
            <v>Rana Yousef Mohammed Aldayhan</v>
          </cell>
          <cell r="E25" t="str">
            <v>رنا يوسف محمد الديحان</v>
          </cell>
          <cell r="F25" t="str">
            <v>Female</v>
          </cell>
          <cell r="G25" t="str">
            <v>متزوج</v>
          </cell>
          <cell r="H25">
            <v>28889</v>
          </cell>
          <cell r="I25">
            <v>47</v>
          </cell>
          <cell r="J25">
            <v>17301</v>
          </cell>
          <cell r="K25" t="str">
            <v>Rana.Aldehan@agriserv.sa</v>
          </cell>
          <cell r="L25" t="str">
            <v>0569621846</v>
          </cell>
          <cell r="M25" t="str">
            <v>2302</v>
          </cell>
          <cell r="N25" t="str">
            <v>المملكة العربية السعودية</v>
          </cell>
          <cell r="O25" t="str">
            <v>50000312</v>
          </cell>
          <cell r="P25" t="str">
            <v>أخصائي أول، العلامة التجارية وتطوير المحتوى</v>
          </cell>
          <cell r="Q25" t="str">
            <v>الدرجة ٥</v>
          </cell>
          <cell r="R25" t="str">
            <v>Class A</v>
          </cell>
          <cell r="S25" t="str">
            <v>العلامة التجارية</v>
          </cell>
          <cell r="T25" t="str">
            <v>إدارة العلامة التجارية والفعاليات</v>
          </cell>
          <cell r="U25" t="str">
            <v>التواصل المؤسسي</v>
          </cell>
          <cell r="V25" t="str">
            <v>الخدمات المشتركة</v>
          </cell>
          <cell r="W25" t="str">
            <v>Al Riyadh</v>
          </cell>
          <cell r="X25" t="str">
            <v xml:space="preserve">المقر الرئيسي </v>
          </cell>
          <cell r="Y25">
            <v>44808</v>
          </cell>
          <cell r="Z25">
            <v>3.78</v>
          </cell>
          <cell r="AA25">
            <v>1382</v>
          </cell>
          <cell r="AB25" t="str">
            <v>نشط</v>
          </cell>
          <cell r="AC25" t="str">
            <v>100024</v>
          </cell>
          <cell r="AD25" t="str">
            <v>Maha AlShreif</v>
          </cell>
          <cell r="AE25" t="str">
            <v>موظف</v>
          </cell>
          <cell r="AF25" t="str">
            <v/>
          </cell>
          <cell r="AG25">
            <v>46268</v>
          </cell>
          <cell r="AH25" t="str">
            <v>تربية فنية</v>
          </cell>
          <cell r="AI25" t="str">
            <v>بكالوريوس</v>
          </cell>
          <cell r="AJ25">
            <v>6</v>
          </cell>
          <cell r="AK25">
            <v>4</v>
          </cell>
          <cell r="AL25">
            <v>1</v>
          </cell>
          <cell r="AM25">
            <v>1</v>
          </cell>
          <cell r="AN25" t="str">
            <v/>
          </cell>
          <cell r="AO25" t="str">
            <v>التواصل المؤسسي</v>
          </cell>
          <cell r="AP25" t="str">
            <v>Saudi National Bank</v>
          </cell>
          <cell r="AQ25" t="str">
            <v>SA3610000053700002813904</v>
          </cell>
          <cell r="AR25">
            <v>15228.8344</v>
          </cell>
          <cell r="AS25">
            <v>15228.834000000001</v>
          </cell>
          <cell r="AT25">
            <v>1522.883</v>
          </cell>
          <cell r="AU25">
            <v>3807.2089999999998</v>
          </cell>
          <cell r="AV25">
            <v>300</v>
          </cell>
        </row>
        <row r="26">
          <cell r="A26">
            <v>100034</v>
          </cell>
          <cell r="B26" t="str">
            <v>1057878199</v>
          </cell>
          <cell r="C26" t="str">
            <v>السيدة</v>
          </cell>
          <cell r="D26" t="str">
            <v>Alaa Abdulaziz Atallah Alqubail</v>
          </cell>
          <cell r="E26" t="str">
            <v>الاء عبدالعزيز عطا الله القبلي</v>
          </cell>
          <cell r="F26" t="str">
            <v>Female</v>
          </cell>
          <cell r="G26" t="str">
            <v>أعزب</v>
          </cell>
          <cell r="H26">
            <v>32481</v>
          </cell>
          <cell r="I26">
            <v>38</v>
          </cell>
          <cell r="J26">
            <v>13709</v>
          </cell>
          <cell r="K26" t="str">
            <v>Alaa.Alqubali@agriserv.sa</v>
          </cell>
          <cell r="L26" t="str">
            <v>0505434303</v>
          </cell>
          <cell r="M26" t="str">
            <v/>
          </cell>
          <cell r="N26" t="str">
            <v>المملكة العربية السعودية</v>
          </cell>
          <cell r="O26" t="str">
            <v>50000680</v>
          </cell>
          <cell r="P26" t="str">
            <v>محلل أول إدارة المشاريع</v>
          </cell>
          <cell r="Q26" t="str">
            <v>الدرجة ٥</v>
          </cell>
          <cell r="R26" t="str">
            <v/>
          </cell>
          <cell r="S26" t="str">
            <v/>
          </cell>
          <cell r="T26" t="str">
            <v>إدارة البرامج الرئيسية</v>
          </cell>
          <cell r="U26" t="str">
            <v>مراقبة الأداء</v>
          </cell>
          <cell r="V26" t="str">
            <v>إدارة تطوير الاعمال</v>
          </cell>
          <cell r="W26" t="str">
            <v>Al Riyadh</v>
          </cell>
          <cell r="X26" t="str">
            <v xml:space="preserve">المقر الرئيسي </v>
          </cell>
          <cell r="Y26">
            <v>44805</v>
          </cell>
          <cell r="Z26">
            <v>3.79</v>
          </cell>
          <cell r="AA26">
            <v>1385</v>
          </cell>
          <cell r="AB26" t="str">
            <v>غير نشط</v>
          </cell>
          <cell r="AC26" t="str">
            <v/>
          </cell>
          <cell r="AD26" t="str">
            <v xml:space="preserve"> </v>
          </cell>
          <cell r="AE26" t="str">
            <v>موظف</v>
          </cell>
          <cell r="AF26">
            <v>45169</v>
          </cell>
          <cell r="AG26" t="str">
            <v/>
          </cell>
          <cell r="AH26" t="str">
            <v>لغات وترجمة</v>
          </cell>
          <cell r="AI26" t="str">
            <v>بكالوريوس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 t="str">
            <v/>
          </cell>
          <cell r="AO26" t="str">
            <v>Performance Monitoring</v>
          </cell>
          <cell r="AP26" t="str">
            <v>Inma Bank</v>
          </cell>
          <cell r="AQ26" t="str">
            <v>SA4205000068204510750000</v>
          </cell>
          <cell r="AR26">
            <v>16000</v>
          </cell>
          <cell r="AS26">
            <v>16000</v>
          </cell>
          <cell r="AT26">
            <v>1600</v>
          </cell>
          <cell r="AU26">
            <v>4000</v>
          </cell>
          <cell r="AV26">
            <v>300</v>
          </cell>
        </row>
        <row r="27">
          <cell r="A27">
            <v>100035</v>
          </cell>
          <cell r="B27" t="str">
            <v>2079081093</v>
          </cell>
          <cell r="C27" t="str">
            <v>السيد</v>
          </cell>
          <cell r="D27" t="str">
            <v>Faisal Salem Ahmed Bagis</v>
          </cell>
          <cell r="E27" t="str">
            <v>فيصل سالم أحمد باقيس</v>
          </cell>
          <cell r="F27" t="str">
            <v>Male</v>
          </cell>
          <cell r="G27" t="str">
            <v>متزوج</v>
          </cell>
          <cell r="H27">
            <v>31305</v>
          </cell>
          <cell r="I27">
            <v>41</v>
          </cell>
          <cell r="J27">
            <v>14885</v>
          </cell>
          <cell r="K27" t="str">
            <v>Faisal.Baqais@agriserv.sa</v>
          </cell>
          <cell r="L27" t="str">
            <v>0551177551</v>
          </cell>
          <cell r="M27" t="str">
            <v>2102</v>
          </cell>
          <cell r="N27" t="str">
            <v>اليمن</v>
          </cell>
          <cell r="O27" t="str">
            <v>50001551</v>
          </cell>
          <cell r="P27" t="str">
            <v>مستشار, إدارة المشتريات</v>
          </cell>
          <cell r="Q27" t="str">
            <v>8 الدرجة</v>
          </cell>
          <cell r="R27" t="str">
            <v>Class VIP</v>
          </cell>
          <cell r="S27" t="str">
            <v/>
          </cell>
          <cell r="T27" t="str">
            <v>إدارة العقود</v>
          </cell>
          <cell r="U27" t="str">
            <v>المشتريات</v>
          </cell>
          <cell r="V27" t="str">
            <v>الخدمات المشتركة</v>
          </cell>
          <cell r="W27" t="str">
            <v>Head Quarter</v>
          </cell>
          <cell r="X27" t="str">
            <v xml:space="preserve">المقر الرئيسي </v>
          </cell>
          <cell r="Y27">
            <v>44837</v>
          </cell>
          <cell r="Z27">
            <v>3.7</v>
          </cell>
          <cell r="AA27">
            <v>1353</v>
          </cell>
          <cell r="AB27" t="str">
            <v>نشط</v>
          </cell>
          <cell r="AC27" t="str">
            <v>100110</v>
          </cell>
          <cell r="AD27" t="str">
            <v>Mohannd Alsaab</v>
          </cell>
          <cell r="AE27" t="str">
            <v>موظف</v>
          </cell>
          <cell r="AF27" t="str">
            <v/>
          </cell>
          <cell r="AG27">
            <v>46297</v>
          </cell>
          <cell r="AH27" t="str">
            <v>أصول الدين</v>
          </cell>
          <cell r="AI27" t="str">
            <v>بكالوريوس</v>
          </cell>
          <cell r="AJ27">
            <v>5</v>
          </cell>
          <cell r="AK27">
            <v>3</v>
          </cell>
          <cell r="AL27">
            <v>1</v>
          </cell>
          <cell r="AM27">
            <v>1</v>
          </cell>
          <cell r="AN27">
            <v>3</v>
          </cell>
          <cell r="AO27" t="str">
            <v>المشتريات</v>
          </cell>
          <cell r="AP27" t="str">
            <v>Bank Al Bilad</v>
          </cell>
          <cell r="AQ27" t="str">
            <v>SA3715000432105112160008</v>
          </cell>
          <cell r="AR27">
            <v>32086.4565</v>
          </cell>
          <cell r="AS27">
            <v>32086.455999999998</v>
          </cell>
          <cell r="AT27">
            <v>3000</v>
          </cell>
          <cell r="AU27">
            <v>8021.6139999999996</v>
          </cell>
          <cell r="AV27">
            <v>500</v>
          </cell>
        </row>
        <row r="28">
          <cell r="A28">
            <v>100036</v>
          </cell>
          <cell r="B28" t="str">
            <v>1033234103</v>
          </cell>
          <cell r="C28" t="str">
            <v>السيد</v>
          </cell>
          <cell r="D28" t="str">
            <v>Ibrahim Salim Ibrahim Alkhuzam</v>
          </cell>
          <cell r="E28" t="str">
            <v>إبراهيم سالم إبراهيم الخزام</v>
          </cell>
          <cell r="F28" t="str">
            <v>Male</v>
          </cell>
          <cell r="G28" t="str">
            <v>متزوج</v>
          </cell>
          <cell r="H28">
            <v>30117</v>
          </cell>
          <cell r="I28">
            <v>44</v>
          </cell>
          <cell r="J28">
            <v>16073</v>
          </cell>
          <cell r="K28" t="str">
            <v>Ibrahim.Alkhuzam@agriserv.sa</v>
          </cell>
          <cell r="L28" t="str">
            <v>0504876998</v>
          </cell>
          <cell r="M28" t="str">
            <v>5102</v>
          </cell>
          <cell r="N28" t="str">
            <v>المملكة العربية السعودية</v>
          </cell>
          <cell r="O28" t="str">
            <v>50001328</v>
          </cell>
          <cell r="P28" t="str">
            <v>مدير إدارة متابعة الفروع</v>
          </cell>
          <cell r="Q28" t="str">
            <v>8 الدرجة</v>
          </cell>
          <cell r="R28" t="str">
            <v>Class VIP</v>
          </cell>
          <cell r="S28" t="str">
            <v/>
          </cell>
          <cell r="T28" t="str">
            <v>عمليات الفروع-المقر الرئيسي</v>
          </cell>
          <cell r="U28" t="str">
            <v>عمليات الفروع</v>
          </cell>
          <cell r="V28" t="str">
            <v>الفروع</v>
          </cell>
          <cell r="W28" t="str">
            <v>Head Quarter</v>
          </cell>
          <cell r="X28" t="str">
            <v xml:space="preserve">المقر الرئيسي </v>
          </cell>
          <cell r="Y28">
            <v>44836</v>
          </cell>
          <cell r="Z28">
            <v>3.71</v>
          </cell>
          <cell r="AA28">
            <v>1354</v>
          </cell>
          <cell r="AB28" t="str">
            <v>نشط</v>
          </cell>
          <cell r="AC28" t="str">
            <v>100140</v>
          </cell>
          <cell r="AD28" t="str">
            <v>Majed Alfaraj</v>
          </cell>
          <cell r="AE28" t="str">
            <v>موظف</v>
          </cell>
          <cell r="AF28" t="str">
            <v/>
          </cell>
          <cell r="AG28">
            <v>46296</v>
          </cell>
          <cell r="AH28" t="str">
            <v>إدارة الأعمال</v>
          </cell>
          <cell r="AI28" t="str">
            <v>بكالوريوس</v>
          </cell>
          <cell r="AJ28">
            <v>7</v>
          </cell>
          <cell r="AK28">
            <v>4</v>
          </cell>
          <cell r="AL28">
            <v>1</v>
          </cell>
          <cell r="AM28">
            <v>2</v>
          </cell>
          <cell r="AN28">
            <v>3</v>
          </cell>
          <cell r="AO28" t="str">
            <v>عمليات الفروع</v>
          </cell>
          <cell r="AP28" t="str">
            <v>Al Rajhi Bank</v>
          </cell>
          <cell r="AQ28" t="str">
            <v>SA3080000166608010169985</v>
          </cell>
          <cell r="AR28">
            <v>35410.718719999997</v>
          </cell>
          <cell r="AS28">
            <v>35410.718999999997</v>
          </cell>
          <cell r="AT28">
            <v>3000</v>
          </cell>
          <cell r="AU28">
            <v>8852.68</v>
          </cell>
          <cell r="AV28">
            <v>500</v>
          </cell>
        </row>
        <row r="29">
          <cell r="A29">
            <v>100039</v>
          </cell>
          <cell r="B29" t="str">
            <v>1000945939</v>
          </cell>
          <cell r="C29" t="str">
            <v>السيد</v>
          </cell>
          <cell r="D29" t="str">
            <v>Waleed Alnassir</v>
          </cell>
          <cell r="E29" t="str">
            <v>وليد ابراهيم  الناصر</v>
          </cell>
          <cell r="F29" t="str">
            <v>Male</v>
          </cell>
          <cell r="G29" t="str">
            <v>أعزب</v>
          </cell>
          <cell r="H29">
            <v>28406</v>
          </cell>
          <cell r="I29">
            <v>49</v>
          </cell>
          <cell r="J29">
            <v>17784</v>
          </cell>
          <cell r="K29" t="str">
            <v>Waleed.Alnasser@agriserv.sa</v>
          </cell>
          <cell r="L29" t="str">
            <v>0555116116</v>
          </cell>
          <cell r="M29" t="str">
            <v/>
          </cell>
          <cell r="N29" t="str">
            <v>المملكة العربية السعودية</v>
          </cell>
          <cell r="O29" t="str">
            <v>50000679</v>
          </cell>
          <cell r="P29" t="str">
            <v>أخصائي أول تنفيذ البرنامج</v>
          </cell>
          <cell r="Q29" t="str">
            <v>الدرجة 6</v>
          </cell>
          <cell r="R29" t="str">
            <v/>
          </cell>
          <cell r="S29" t="str">
            <v/>
          </cell>
          <cell r="T29" t="str">
            <v>إدارة البرامج الرئيسية</v>
          </cell>
          <cell r="U29" t="str">
            <v>مراقبة الأداء</v>
          </cell>
          <cell r="V29" t="str">
            <v>إدارة تطوير الاعمال</v>
          </cell>
          <cell r="W29" t="str">
            <v>Al Riyadh</v>
          </cell>
          <cell r="X29" t="str">
            <v xml:space="preserve">المقر الرئيسي </v>
          </cell>
          <cell r="Y29">
            <v>44836</v>
          </cell>
          <cell r="Z29">
            <v>3.71</v>
          </cell>
          <cell r="AA29">
            <v>1354</v>
          </cell>
          <cell r="AB29" t="str">
            <v>غير نشط</v>
          </cell>
          <cell r="AC29" t="str">
            <v>100000</v>
          </cell>
          <cell r="AD29" t="str">
            <v>Hussain Almalki</v>
          </cell>
          <cell r="AE29" t="str">
            <v>موظف</v>
          </cell>
          <cell r="AF29">
            <v>45016</v>
          </cell>
          <cell r="AG29" t="str">
            <v/>
          </cell>
          <cell r="AH29" t="str">
            <v/>
          </cell>
          <cell r="AI29" t="str">
            <v/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 t="str">
            <v/>
          </cell>
          <cell r="AO29" t="str">
            <v>Performance Monitoring</v>
          </cell>
          <cell r="AP29" t="str">
            <v>Inma Bank</v>
          </cell>
          <cell r="AQ29" t="str">
            <v>SA0905000068200378046000</v>
          </cell>
          <cell r="AR29">
            <v>19800</v>
          </cell>
          <cell r="AS29">
            <v>19800</v>
          </cell>
          <cell r="AT29">
            <v>1980</v>
          </cell>
          <cell r="AU29">
            <v>4950</v>
          </cell>
          <cell r="AV29">
            <v>500</v>
          </cell>
        </row>
        <row r="30">
          <cell r="A30">
            <v>100040</v>
          </cell>
          <cell r="B30" t="str">
            <v>1013468069</v>
          </cell>
          <cell r="C30" t="str">
            <v>السيد</v>
          </cell>
          <cell r="D30" t="str">
            <v>Ahmad Tharwat</v>
          </cell>
          <cell r="E30" t="str">
            <v>احمد جميل  ثروت</v>
          </cell>
          <cell r="F30" t="str">
            <v>Male</v>
          </cell>
          <cell r="G30" t="str">
            <v>متزوج</v>
          </cell>
          <cell r="H30">
            <v>31328</v>
          </cell>
          <cell r="I30">
            <v>41</v>
          </cell>
          <cell r="J30">
            <v>14862</v>
          </cell>
          <cell r="K30" t="str">
            <v>ahmed.tharwat@agriserv.sa</v>
          </cell>
          <cell r="L30" t="str">
            <v>0544975744</v>
          </cell>
          <cell r="M30" t="str">
            <v/>
          </cell>
          <cell r="N30" t="str">
            <v>المملكة العربية السعودية</v>
          </cell>
          <cell r="O30" t="str">
            <v>50000625</v>
          </cell>
          <cell r="P30" t="str">
            <v>مساعد مشرف الخدمات الاستشارية للتسويق التجاري للثروة النباتية</v>
          </cell>
          <cell r="Q30" t="str">
            <v>الدرجة 7</v>
          </cell>
          <cell r="R30" t="str">
            <v/>
          </cell>
          <cell r="S30" t="str">
            <v/>
          </cell>
          <cell r="T30" t="str">
            <v>الخدمات الاستشارية للتسويق التجاري للثروة النباتية</v>
          </cell>
          <cell r="U30" t="str">
            <v>الخدمات الصحية و الإرشاد ودعم التسويق للثروة النباتية</v>
          </cell>
          <cell r="V30" t="str">
            <v>العمليات</v>
          </cell>
          <cell r="W30" t="str">
            <v>Al Riyadh</v>
          </cell>
          <cell r="X30" t="str">
            <v xml:space="preserve">المقر الرئيسي </v>
          </cell>
          <cell r="Y30">
            <v>44836</v>
          </cell>
          <cell r="Z30">
            <v>3.71</v>
          </cell>
          <cell r="AA30">
            <v>1354</v>
          </cell>
          <cell r="AB30" t="str">
            <v>غير نشط</v>
          </cell>
          <cell r="AC30" t="str">
            <v>400003</v>
          </cell>
          <cell r="AD30" t="str">
            <v>Ibrahim Bukhari</v>
          </cell>
          <cell r="AE30" t="str">
            <v>موظف</v>
          </cell>
          <cell r="AF30">
            <v>45046</v>
          </cell>
          <cell r="AG30" t="str">
            <v/>
          </cell>
          <cell r="AH30" t="str">
            <v/>
          </cell>
          <cell r="AI30" t="str">
            <v/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 t="str">
            <v/>
          </cell>
          <cell r="AO30" t="str">
            <v>Corp Extension &amp; Protection</v>
          </cell>
          <cell r="AP30" t="str">
            <v>Inma Bank</v>
          </cell>
          <cell r="AQ30" t="str">
            <v>SA6105000068202402075000</v>
          </cell>
          <cell r="AR30">
            <v>24820</v>
          </cell>
          <cell r="AS30">
            <v>24820</v>
          </cell>
          <cell r="AT30">
            <v>2482</v>
          </cell>
          <cell r="AU30">
            <v>6205</v>
          </cell>
          <cell r="AV30">
            <v>500</v>
          </cell>
        </row>
        <row r="31">
          <cell r="A31">
            <v>100041</v>
          </cell>
          <cell r="B31" t="str">
            <v>1109916583</v>
          </cell>
          <cell r="C31" t="str">
            <v>السيد</v>
          </cell>
          <cell r="D31" t="str">
            <v>Azzam Alotaibi</v>
          </cell>
          <cell r="E31" t="str">
            <v>عزام مساعد عقاب العتيبي</v>
          </cell>
          <cell r="F31" t="str">
            <v>Male</v>
          </cell>
          <cell r="G31" t="str">
            <v>متزوج</v>
          </cell>
          <cell r="H31">
            <v>35674</v>
          </cell>
          <cell r="I31">
            <v>29</v>
          </cell>
          <cell r="J31">
            <v>10516</v>
          </cell>
          <cell r="K31" t="str">
            <v/>
          </cell>
          <cell r="L31" t="str">
            <v/>
          </cell>
          <cell r="M31" t="str">
            <v/>
          </cell>
          <cell r="N31" t="str">
            <v>المملكة العربية السعودية</v>
          </cell>
          <cell r="O31" t="str">
            <v>50000428</v>
          </cell>
          <cell r="P31" t="str">
            <v>محلل أول الخدمات الإدارية الحكومية</v>
          </cell>
          <cell r="Q31" t="str">
            <v>الدرجة 4</v>
          </cell>
          <cell r="R31" t="str">
            <v/>
          </cell>
          <cell r="S31" t="str">
            <v>الخدمات الإدارية الحكومية</v>
          </cell>
          <cell r="T31" t="str">
            <v>الشؤون الإدارية</v>
          </cell>
          <cell r="U31" t="str">
            <v/>
          </cell>
          <cell r="V31" t="str">
            <v>الخدمات المشتركة</v>
          </cell>
          <cell r="W31" t="str">
            <v>Al Riyadh</v>
          </cell>
          <cell r="X31" t="str">
            <v xml:space="preserve">الفرع </v>
          </cell>
          <cell r="Y31">
            <v>44836</v>
          </cell>
          <cell r="Z31">
            <v>3.71</v>
          </cell>
          <cell r="AA31">
            <v>1354</v>
          </cell>
          <cell r="AB31" t="str">
            <v>غير نشط</v>
          </cell>
          <cell r="AC31" t="str">
            <v/>
          </cell>
          <cell r="AD31" t="str">
            <v xml:space="preserve"> </v>
          </cell>
          <cell r="AE31" t="str">
            <v>موظف</v>
          </cell>
          <cell r="AF31">
            <v>44917</v>
          </cell>
          <cell r="AG31" t="str">
            <v/>
          </cell>
          <cell r="AH31" t="str">
            <v/>
          </cell>
          <cell r="AI31" t="str">
            <v/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 t="str">
            <v/>
          </cell>
          <cell r="AO31" t="str">
            <v>Administrative Affairs</v>
          </cell>
          <cell r="AP31" t="str">
            <v>Al Rajhi Bank</v>
          </cell>
          <cell r="AQ31" t="str">
            <v>SA6680000597608019992220</v>
          </cell>
          <cell r="AR31">
            <v>12600</v>
          </cell>
          <cell r="AS31">
            <v>12600</v>
          </cell>
          <cell r="AT31">
            <v>1260</v>
          </cell>
          <cell r="AU31">
            <v>3150</v>
          </cell>
          <cell r="AV31" t="str">
            <v/>
          </cell>
        </row>
        <row r="32">
          <cell r="A32">
            <v>100042</v>
          </cell>
          <cell r="B32" t="str">
            <v>1088674153</v>
          </cell>
          <cell r="C32" t="str">
            <v>السيد</v>
          </cell>
          <cell r="D32" t="str">
            <v>Omar Abdulaziz Mohammed Ababtain</v>
          </cell>
          <cell r="E32" t="str">
            <v>عمر عبدالعزيز محمد أبا بطين</v>
          </cell>
          <cell r="F32" t="str">
            <v>Male</v>
          </cell>
          <cell r="G32" t="str">
            <v>متزوج</v>
          </cell>
          <cell r="H32">
            <v>31687</v>
          </cell>
          <cell r="I32">
            <v>40</v>
          </cell>
          <cell r="J32">
            <v>14503</v>
          </cell>
          <cell r="K32" t="str">
            <v>omar.ababtain@agriserv.sa</v>
          </cell>
          <cell r="L32" t="str">
            <v>0508050305</v>
          </cell>
          <cell r="M32" t="str">
            <v>6103</v>
          </cell>
          <cell r="N32" t="str">
            <v>المملكة العربية السعودية</v>
          </cell>
          <cell r="O32" t="str">
            <v>50001088</v>
          </cell>
          <cell r="P32" t="str">
            <v>مدير إدارة، التسعير</v>
          </cell>
          <cell r="Q32" t="str">
            <v>8 الدرجة</v>
          </cell>
          <cell r="R32" t="str">
            <v>Class VIP</v>
          </cell>
          <cell r="S32" t="str">
            <v/>
          </cell>
          <cell r="T32" t="str">
            <v/>
          </cell>
          <cell r="U32" t="str">
            <v>تطوير الأعمال</v>
          </cell>
          <cell r="V32" t="str">
            <v>الخدمات التجارية</v>
          </cell>
          <cell r="W32" t="str">
            <v>Al Riyadh</v>
          </cell>
          <cell r="X32" t="str">
            <v xml:space="preserve">المقر الرئيسي </v>
          </cell>
          <cell r="Y32">
            <v>44871</v>
          </cell>
          <cell r="Z32">
            <v>3.61</v>
          </cell>
          <cell r="AA32">
            <v>1319</v>
          </cell>
          <cell r="AB32" t="str">
            <v>نشط</v>
          </cell>
          <cell r="AC32" t="str">
            <v>100154</v>
          </cell>
          <cell r="AD32" t="str">
            <v>Turki Alkhalaif</v>
          </cell>
          <cell r="AE32" t="str">
            <v>موظف</v>
          </cell>
          <cell r="AF32" t="str">
            <v/>
          </cell>
          <cell r="AG32">
            <v>46331</v>
          </cell>
          <cell r="AH32" t="str">
            <v>إدارة الأعمال</v>
          </cell>
          <cell r="AI32" t="str">
            <v>بكالوريوس</v>
          </cell>
          <cell r="AJ32">
            <v>7</v>
          </cell>
          <cell r="AK32">
            <v>5</v>
          </cell>
          <cell r="AL32">
            <v>1</v>
          </cell>
          <cell r="AM32">
            <v>1</v>
          </cell>
          <cell r="AN32">
            <v>3</v>
          </cell>
          <cell r="AO32" t="str">
            <v>تطوير الأعمال</v>
          </cell>
          <cell r="AP32" t="str">
            <v>Riyad Bank</v>
          </cell>
          <cell r="AQ32" t="str">
            <v>SA6320000002124139349940</v>
          </cell>
          <cell r="AR32">
            <v>45503.473599999998</v>
          </cell>
          <cell r="AS32">
            <v>45503.474000000002</v>
          </cell>
          <cell r="AT32">
            <v>3000</v>
          </cell>
          <cell r="AU32">
            <v>11375.868</v>
          </cell>
          <cell r="AV32">
            <v>500</v>
          </cell>
        </row>
        <row r="33">
          <cell r="A33">
            <v>100043</v>
          </cell>
          <cell r="B33" t="str">
            <v>1031343716</v>
          </cell>
          <cell r="C33" t="str">
            <v>السيد</v>
          </cell>
          <cell r="D33" t="str">
            <v>Raed Abdulkareem Ibrahim Alluhaidan</v>
          </cell>
          <cell r="E33" t="str">
            <v>رائد عبدالكريم ابراهيم اللحيدان</v>
          </cell>
          <cell r="F33" t="str">
            <v>Male</v>
          </cell>
          <cell r="G33" t="str">
            <v>متزوج</v>
          </cell>
          <cell r="H33">
            <v>29523</v>
          </cell>
          <cell r="I33">
            <v>46</v>
          </cell>
          <cell r="J33">
            <v>16667</v>
          </cell>
          <cell r="K33" t="str">
            <v>raed.alluhaidan@agriserv.sa</v>
          </cell>
          <cell r="L33" t="str">
            <v>0554252521</v>
          </cell>
          <cell r="M33" t="str">
            <v>7200</v>
          </cell>
          <cell r="N33" t="str">
            <v>المملكة العربية السعودية</v>
          </cell>
          <cell r="O33" t="str">
            <v>50001337</v>
          </cell>
          <cell r="P33" t="str">
            <v>مدير عام، الاستراتيجية والتخطيط</v>
          </cell>
          <cell r="Q33" t="str">
            <v>الدرجة 9</v>
          </cell>
          <cell r="R33" t="str">
            <v>Class VVIP</v>
          </cell>
          <cell r="S33" t="str">
            <v/>
          </cell>
          <cell r="T33" t="str">
            <v/>
          </cell>
          <cell r="U33" t="str">
            <v>الاستراتجية</v>
          </cell>
          <cell r="V33" t="str">
            <v>التخطيط والاستراتجية</v>
          </cell>
          <cell r="W33" t="str">
            <v>Head Quarter</v>
          </cell>
          <cell r="X33" t="str">
            <v xml:space="preserve">المقر الرئيسي </v>
          </cell>
          <cell r="Y33">
            <v>44878</v>
          </cell>
          <cell r="Z33">
            <v>3.59</v>
          </cell>
          <cell r="AA33">
            <v>1312</v>
          </cell>
          <cell r="AB33" t="str">
            <v>نشط</v>
          </cell>
          <cell r="AC33" t="str">
            <v>100191</v>
          </cell>
          <cell r="AD33" t="str">
            <v>Nemer Alshebel</v>
          </cell>
          <cell r="AE33" t="str">
            <v>موظف</v>
          </cell>
          <cell r="AF33" t="str">
            <v/>
          </cell>
          <cell r="AG33">
            <v>46338</v>
          </cell>
          <cell r="AH33" t="str">
            <v>إدارة الأعمال</v>
          </cell>
          <cell r="AI33" t="str">
            <v>ماجستير</v>
          </cell>
          <cell r="AJ33">
            <v>4</v>
          </cell>
          <cell r="AK33">
            <v>3</v>
          </cell>
          <cell r="AL33">
            <v>1</v>
          </cell>
          <cell r="AM33">
            <v>0</v>
          </cell>
          <cell r="AN33">
            <v>3</v>
          </cell>
          <cell r="AO33" t="str">
            <v>مكتب الادارة الاستراتيجية</v>
          </cell>
          <cell r="AP33" t="str">
            <v>Saudi National Bank</v>
          </cell>
          <cell r="AQ33" t="str">
            <v>SA7710000053700003012307</v>
          </cell>
          <cell r="AR33">
            <v>62398.801919999998</v>
          </cell>
          <cell r="AS33">
            <v>62398.802000000003</v>
          </cell>
          <cell r="AT33">
            <v>3500</v>
          </cell>
          <cell r="AU33">
            <v>15599.7</v>
          </cell>
          <cell r="AV33">
            <v>800</v>
          </cell>
        </row>
        <row r="34">
          <cell r="A34">
            <v>100044</v>
          </cell>
          <cell r="B34" t="str">
            <v>1013260573</v>
          </cell>
          <cell r="C34" t="str">
            <v>السيد</v>
          </cell>
          <cell r="D34" t="str">
            <v>Essam Abullah Mohammed Alnasayyn</v>
          </cell>
          <cell r="E34" t="str">
            <v>عصام عبدالله محمد النصيان</v>
          </cell>
          <cell r="F34" t="str">
            <v>Male</v>
          </cell>
          <cell r="G34" t="str">
            <v>متزوج</v>
          </cell>
          <cell r="H34">
            <v>26383</v>
          </cell>
          <cell r="I34">
            <v>54</v>
          </cell>
          <cell r="J34">
            <v>19807</v>
          </cell>
          <cell r="K34" t="str">
            <v>essam.alnasayn@agriserv.sa</v>
          </cell>
          <cell r="L34" t="str">
            <v>0505403955</v>
          </cell>
          <cell r="M34" t="str">
            <v>8200</v>
          </cell>
          <cell r="N34" t="str">
            <v>المملكة العربية السعودية</v>
          </cell>
          <cell r="O34" t="str">
            <v>50001338</v>
          </cell>
          <cell r="P34" t="str">
            <v>مدير عام، المراجعة الداخلية</v>
          </cell>
          <cell r="Q34" t="str">
            <v>الدرجة 9</v>
          </cell>
          <cell r="R34" t="str">
            <v>Class VVIP</v>
          </cell>
          <cell r="S34" t="str">
            <v/>
          </cell>
          <cell r="T34" t="str">
            <v/>
          </cell>
          <cell r="U34" t="str">
            <v>المراجعة الداخلية المؤسسية</v>
          </cell>
          <cell r="V34" t="str">
            <v>المراجعة الداخلية</v>
          </cell>
          <cell r="W34" t="str">
            <v>Head Quarter</v>
          </cell>
          <cell r="X34" t="str">
            <v xml:space="preserve">المقر الرئيسي </v>
          </cell>
          <cell r="Y34">
            <v>44885</v>
          </cell>
          <cell r="Z34">
            <v>3.57</v>
          </cell>
          <cell r="AA34">
            <v>1305</v>
          </cell>
          <cell r="AB34" t="str">
            <v>نشط</v>
          </cell>
          <cell r="AC34" t="str">
            <v>100191</v>
          </cell>
          <cell r="AD34" t="str">
            <v>Nemer Alshebel</v>
          </cell>
          <cell r="AE34" t="str">
            <v>موظف</v>
          </cell>
          <cell r="AF34" t="str">
            <v/>
          </cell>
          <cell r="AG34">
            <v>46345</v>
          </cell>
          <cell r="AH34" t="str">
            <v>كيمياء</v>
          </cell>
          <cell r="AI34" t="str">
            <v>بكالوريوس</v>
          </cell>
          <cell r="AJ34">
            <v>6</v>
          </cell>
          <cell r="AK34">
            <v>3</v>
          </cell>
          <cell r="AL34">
            <v>1</v>
          </cell>
          <cell r="AM34">
            <v>2</v>
          </cell>
          <cell r="AN34">
            <v>2</v>
          </cell>
          <cell r="AO34" t="str">
            <v>المراجعة الداخلية</v>
          </cell>
          <cell r="AP34" t="str">
            <v>Al Rajhi Bank</v>
          </cell>
          <cell r="AQ34" t="str">
            <v>SA5180000204608018505051</v>
          </cell>
          <cell r="AR34">
            <v>55692</v>
          </cell>
          <cell r="AS34">
            <v>55692</v>
          </cell>
          <cell r="AT34">
            <v>3500</v>
          </cell>
          <cell r="AU34">
            <v>13923</v>
          </cell>
          <cell r="AV34">
            <v>800</v>
          </cell>
        </row>
        <row r="35">
          <cell r="A35">
            <v>100045</v>
          </cell>
          <cell r="B35" t="str">
            <v>1010916474</v>
          </cell>
          <cell r="C35" t="str">
            <v>السيد</v>
          </cell>
          <cell r="D35" t="str">
            <v>Omar Mohammed Omar Alsuhaibani</v>
          </cell>
          <cell r="E35" t="str">
            <v>عمر محمد عمر السحيباني</v>
          </cell>
          <cell r="F35" t="str">
            <v>Male</v>
          </cell>
          <cell r="G35" t="str">
            <v>متزوج</v>
          </cell>
          <cell r="H35">
            <v>29079</v>
          </cell>
          <cell r="I35">
            <v>47</v>
          </cell>
          <cell r="J35">
            <v>17111</v>
          </cell>
          <cell r="K35" t="str">
            <v>ceo@agriserv.sa</v>
          </cell>
          <cell r="L35" t="str">
            <v>0544555888</v>
          </cell>
          <cell r="M35" t="str">
            <v>1000</v>
          </cell>
          <cell r="N35" t="str">
            <v>المملكة العربية السعودية</v>
          </cell>
          <cell r="O35" t="str">
            <v>50000906</v>
          </cell>
          <cell r="P35" t="str">
            <v>الرئيس التنفيذي</v>
          </cell>
          <cell r="Q35" t="str">
            <v>غير مقييم</v>
          </cell>
          <cell r="R35" t="str">
            <v>Class VVIP</v>
          </cell>
          <cell r="S35" t="str">
            <v/>
          </cell>
          <cell r="T35" t="str">
            <v/>
          </cell>
          <cell r="U35" t="str">
            <v>مكتب الرئيس التنفيذي</v>
          </cell>
          <cell r="V35" t="str">
            <v>مكتب الرئيس التنفيذي</v>
          </cell>
          <cell r="W35" t="str">
            <v>Al Riyadh</v>
          </cell>
          <cell r="X35" t="str">
            <v xml:space="preserve">المقر الرئيسي </v>
          </cell>
          <cell r="Y35">
            <v>44878</v>
          </cell>
          <cell r="Z35">
            <v>3.59</v>
          </cell>
          <cell r="AA35">
            <v>1312</v>
          </cell>
          <cell r="AB35" t="str">
            <v>غير نشط</v>
          </cell>
          <cell r="AC35" t="str">
            <v>10002</v>
          </cell>
          <cell r="AD35" t="str">
            <v>EC Payroll</v>
          </cell>
          <cell r="AE35" t="str">
            <v>موظف</v>
          </cell>
          <cell r="AF35">
            <v>46081</v>
          </cell>
          <cell r="AG35">
            <v>46338</v>
          </cell>
          <cell r="AH35" t="str">
            <v>إدارة هندسية</v>
          </cell>
          <cell r="AI35" t="str">
            <v>ماجستير</v>
          </cell>
          <cell r="AJ35">
            <v>5</v>
          </cell>
          <cell r="AK35">
            <v>4</v>
          </cell>
          <cell r="AL35">
            <v>1</v>
          </cell>
          <cell r="AM35">
            <v>0</v>
          </cell>
          <cell r="AN35">
            <v>3</v>
          </cell>
          <cell r="AO35" t="str">
            <v>CEO Office</v>
          </cell>
          <cell r="AP35" t="str">
            <v>Saudi Investment Bank</v>
          </cell>
          <cell r="AQ35" t="str">
            <v>SA7165000000127A73286001</v>
          </cell>
          <cell r="AR35">
            <v>139955.62</v>
          </cell>
          <cell r="AS35">
            <v>139955.62</v>
          </cell>
          <cell r="AT35">
            <v>3500</v>
          </cell>
          <cell r="AU35">
            <v>34988.9</v>
          </cell>
          <cell r="AV35">
            <v>800</v>
          </cell>
        </row>
        <row r="36">
          <cell r="A36">
            <v>100046</v>
          </cell>
          <cell r="B36" t="str">
            <v>1045414990</v>
          </cell>
          <cell r="C36" t="str">
            <v>السيد</v>
          </cell>
          <cell r="D36" t="str">
            <v>Ali Ali Ali AlQahtani</v>
          </cell>
          <cell r="E36" t="str">
            <v>علي علي صالح القحطاني</v>
          </cell>
          <cell r="F36" t="str">
            <v>Male</v>
          </cell>
          <cell r="G36" t="str">
            <v/>
          </cell>
          <cell r="H36">
            <v>30869</v>
          </cell>
          <cell r="I36">
            <v>42</v>
          </cell>
          <cell r="J36">
            <v>15321</v>
          </cell>
          <cell r="K36" t="str">
            <v>Ali.Alqahtani@agriserv.sa</v>
          </cell>
          <cell r="L36" t="str">
            <v>0553777525</v>
          </cell>
          <cell r="M36" t="str">
            <v/>
          </cell>
          <cell r="N36" t="str">
            <v>المملكة العربية السعودية</v>
          </cell>
          <cell r="O36" t="str">
            <v>50000653</v>
          </cell>
          <cell r="P36" t="str">
            <v>مدير إدارة تطوير الأعمال والاستثمارات التجارية</v>
          </cell>
          <cell r="Q36" t="str">
            <v>الدرجة 9</v>
          </cell>
          <cell r="R36" t="str">
            <v/>
          </cell>
          <cell r="S36" t="str">
            <v/>
          </cell>
          <cell r="T36" t="str">
            <v/>
          </cell>
          <cell r="U36" t="str">
            <v>تطوير الأعمال و الاستثمارات التجارية</v>
          </cell>
          <cell r="V36" t="str">
            <v>إدارة تطوير الاعمال</v>
          </cell>
          <cell r="W36" t="str">
            <v>Head Quarter</v>
          </cell>
          <cell r="X36" t="str">
            <v xml:space="preserve">المقر الرئيسي </v>
          </cell>
          <cell r="Y36">
            <v>44958</v>
          </cell>
          <cell r="Z36">
            <v>3.37</v>
          </cell>
          <cell r="AA36">
            <v>1232</v>
          </cell>
          <cell r="AB36" t="str">
            <v>غير نشط</v>
          </cell>
          <cell r="AC36" t="str">
            <v>100045</v>
          </cell>
          <cell r="AD36" t="str">
            <v>Omar Alsuhaibani</v>
          </cell>
          <cell r="AE36" t="str">
            <v>موظف</v>
          </cell>
          <cell r="AF36">
            <v>45431</v>
          </cell>
          <cell r="AG36" t="str">
            <v/>
          </cell>
          <cell r="AH36" t="str">
            <v>إدارة الأعمال</v>
          </cell>
          <cell r="AI36" t="str">
            <v>ماجستير</v>
          </cell>
          <cell r="AJ36">
            <v>12</v>
          </cell>
          <cell r="AK36">
            <v>9</v>
          </cell>
          <cell r="AL36">
            <v>1</v>
          </cell>
          <cell r="AM36">
            <v>2</v>
          </cell>
          <cell r="AN36">
            <v>4</v>
          </cell>
          <cell r="AO36" t="str">
            <v>Business Development &amp; Commercial Invest</v>
          </cell>
          <cell r="AP36" t="str">
            <v>Bank Al Jazirah</v>
          </cell>
          <cell r="AQ36" t="str">
            <v>SA4160100032680919770001</v>
          </cell>
          <cell r="AR36">
            <v>70200</v>
          </cell>
          <cell r="AS36">
            <v>70200</v>
          </cell>
          <cell r="AT36">
            <v>3500</v>
          </cell>
          <cell r="AU36">
            <v>17550</v>
          </cell>
          <cell r="AV36">
            <v>800</v>
          </cell>
        </row>
        <row r="37">
          <cell r="A37">
            <v>100047</v>
          </cell>
          <cell r="B37" t="str">
            <v>1071856254</v>
          </cell>
          <cell r="C37" t="str">
            <v>السيد</v>
          </cell>
          <cell r="D37" t="str">
            <v>Meshari Abdulaziz Abdullah Alnfisah</v>
          </cell>
          <cell r="E37" t="str">
            <v>مشاري عبدالعزيز عبدالله النفيسه</v>
          </cell>
          <cell r="F37" t="str">
            <v>Male</v>
          </cell>
          <cell r="G37" t="str">
            <v>أعزب</v>
          </cell>
          <cell r="H37">
            <v>33234</v>
          </cell>
          <cell r="I37">
            <v>35</v>
          </cell>
          <cell r="J37">
            <v>12956</v>
          </cell>
          <cell r="K37" t="str">
            <v>Meshari.Alnafisah@agriserv.sa</v>
          </cell>
          <cell r="L37" t="str">
            <v>0534355536</v>
          </cell>
          <cell r="M37" t="str">
            <v>1001</v>
          </cell>
          <cell r="N37" t="str">
            <v>المملكة العربية السعودية</v>
          </cell>
          <cell r="O37" t="str">
            <v>50001089</v>
          </cell>
          <cell r="P37" t="str">
            <v>سكرتير الرئيس التنفيذي</v>
          </cell>
          <cell r="Q37" t="str">
            <v>الدرجة 7</v>
          </cell>
          <cell r="R37" t="str">
            <v>Class VIP</v>
          </cell>
          <cell r="S37" t="str">
            <v/>
          </cell>
          <cell r="T37" t="str">
            <v/>
          </cell>
          <cell r="U37" t="str">
            <v>مكتب الرئيس التنفيذي</v>
          </cell>
          <cell r="V37" t="str">
            <v>مكتب الرئيس التنفيذي</v>
          </cell>
          <cell r="W37" t="str">
            <v>Al Riyadh</v>
          </cell>
          <cell r="X37" t="str">
            <v xml:space="preserve">المقر الرئيسي </v>
          </cell>
          <cell r="Y37">
            <v>44969</v>
          </cell>
          <cell r="Z37">
            <v>3.34</v>
          </cell>
          <cell r="AA37">
            <v>1221</v>
          </cell>
          <cell r="AB37" t="str">
            <v>نشط</v>
          </cell>
          <cell r="AC37" t="str">
            <v>100191</v>
          </cell>
          <cell r="AD37" t="str">
            <v>Nemer Alshebel</v>
          </cell>
          <cell r="AE37" t="str">
            <v>موظف</v>
          </cell>
          <cell r="AF37" t="str">
            <v/>
          </cell>
          <cell r="AG37">
            <v>46064</v>
          </cell>
          <cell r="AH37" t="str">
            <v>إدارة الأعمال</v>
          </cell>
          <cell r="AI37" t="str">
            <v>بكالوريوس</v>
          </cell>
          <cell r="AJ37">
            <v>2</v>
          </cell>
          <cell r="AK37">
            <v>0</v>
          </cell>
          <cell r="AL37">
            <v>0</v>
          </cell>
          <cell r="AM37">
            <v>2</v>
          </cell>
          <cell r="AN37" t="str">
            <v/>
          </cell>
          <cell r="AO37" t="str">
            <v>عام</v>
          </cell>
          <cell r="AP37" t="str">
            <v>Al Rajhi Bank</v>
          </cell>
          <cell r="AQ37" t="str">
            <v>SA9680000134608010168069</v>
          </cell>
          <cell r="AR37">
            <v>20728.259999999998</v>
          </cell>
          <cell r="AS37">
            <v>20728.259999999998</v>
          </cell>
          <cell r="AT37">
            <v>2072.826</v>
          </cell>
          <cell r="AU37">
            <v>5182.0649999999996</v>
          </cell>
          <cell r="AV37">
            <v>500</v>
          </cell>
        </row>
        <row r="38">
          <cell r="A38">
            <v>100048</v>
          </cell>
          <cell r="B38" t="str">
            <v>1069019030</v>
          </cell>
          <cell r="C38" t="str">
            <v>السيد</v>
          </cell>
          <cell r="D38" t="str">
            <v>Mohammed Zaid Mohammed Alothman</v>
          </cell>
          <cell r="E38" t="str">
            <v>محمد زيد محمد العثمان</v>
          </cell>
          <cell r="F38" t="str">
            <v>Male</v>
          </cell>
          <cell r="G38" t="str">
            <v>أعزب</v>
          </cell>
          <cell r="H38">
            <v>31636</v>
          </cell>
          <cell r="I38">
            <v>40</v>
          </cell>
          <cell r="J38">
            <v>14554</v>
          </cell>
          <cell r="K38" t="str">
            <v>mohammed.Alothman@agriserv.sa</v>
          </cell>
          <cell r="L38" t="str">
            <v>0556466469</v>
          </cell>
          <cell r="M38" t="str">
            <v>7300</v>
          </cell>
          <cell r="N38" t="str">
            <v>المملكة العربية السعودية</v>
          </cell>
          <cell r="O38" t="str">
            <v>50000650</v>
          </cell>
          <cell r="P38" t="str">
            <v>مدير عام، الحوكمة والمخاطر والالتزام</v>
          </cell>
          <cell r="Q38" t="str">
            <v>الدرجة 9</v>
          </cell>
          <cell r="R38" t="str">
            <v>Class VIP</v>
          </cell>
          <cell r="S38" t="str">
            <v/>
          </cell>
          <cell r="T38" t="str">
            <v>الحوكمة والمخاطر والالتزام</v>
          </cell>
          <cell r="U38" t="str">
            <v>السياسات والإجراءات</v>
          </cell>
          <cell r="V38" t="str">
            <v>السياسات والإجراءات</v>
          </cell>
          <cell r="W38" t="str">
            <v>Head Quarter</v>
          </cell>
          <cell r="X38" t="str">
            <v xml:space="preserve">المقر الرئيسي </v>
          </cell>
          <cell r="Y38">
            <v>44986</v>
          </cell>
          <cell r="Z38">
            <v>3.3</v>
          </cell>
          <cell r="AA38">
            <v>1204</v>
          </cell>
          <cell r="AB38" t="str">
            <v>نشط</v>
          </cell>
          <cell r="AC38" t="str">
            <v>10002</v>
          </cell>
          <cell r="AD38" t="str">
            <v>EC Payroll</v>
          </cell>
          <cell r="AE38" t="str">
            <v>موظف</v>
          </cell>
          <cell r="AF38" t="str">
            <v/>
          </cell>
          <cell r="AG38">
            <v>46081</v>
          </cell>
          <cell r="AH38" t="str">
            <v>موارد بشرية</v>
          </cell>
          <cell r="AI38" t="str">
            <v>ماجستير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 t="str">
            <v/>
          </cell>
          <cell r="AO38" t="str">
            <v>الحوكمة والمخاطر والالتزام</v>
          </cell>
          <cell r="AP38" t="str">
            <v>Bank Al Jazirah</v>
          </cell>
          <cell r="AQ38" t="str">
            <v>SA5660100031481109786001</v>
          </cell>
          <cell r="AR38">
            <v>52525.709600000002</v>
          </cell>
          <cell r="AS38">
            <v>52525.71</v>
          </cell>
          <cell r="AT38">
            <v>3500</v>
          </cell>
          <cell r="AU38">
            <v>13131.427</v>
          </cell>
          <cell r="AV38">
            <v>800</v>
          </cell>
        </row>
        <row r="39">
          <cell r="A39">
            <v>100049</v>
          </cell>
          <cell r="B39" t="str">
            <v>1071412660</v>
          </cell>
          <cell r="C39" t="str">
            <v>السيد</v>
          </cell>
          <cell r="D39" t="str">
            <v>Sultan Abdulaziz Abdullah Bingarid</v>
          </cell>
          <cell r="E39" t="str">
            <v>سلطان عبدالعزيز عبدالله بن جريد</v>
          </cell>
          <cell r="F39" t="str">
            <v>Male</v>
          </cell>
          <cell r="G39" t="str">
            <v>متزوج</v>
          </cell>
          <cell r="H39">
            <v>31514</v>
          </cell>
          <cell r="I39">
            <v>40</v>
          </cell>
          <cell r="J39">
            <v>14676</v>
          </cell>
          <cell r="K39" t="str">
            <v>sultan.aljuried@agriserv.sa</v>
          </cell>
          <cell r="L39" t="str">
            <v>0538800500</v>
          </cell>
          <cell r="M39" t="str">
            <v>7100</v>
          </cell>
          <cell r="N39" t="str">
            <v>المملكة العربية السعودية</v>
          </cell>
          <cell r="O39" t="str">
            <v>50001313</v>
          </cell>
          <cell r="P39" t="str">
            <v>مدير عام إدارة المشاريع</v>
          </cell>
          <cell r="Q39" t="str">
            <v>الدرجة 9</v>
          </cell>
          <cell r="R39" t="str">
            <v>Class VVIP</v>
          </cell>
          <cell r="S39" t="str">
            <v/>
          </cell>
          <cell r="T39" t="str">
            <v/>
          </cell>
          <cell r="U39" t="str">
            <v>الاستراتيجية والتخطيط</v>
          </cell>
          <cell r="V39" t="str">
            <v>إدارة المشاريع</v>
          </cell>
          <cell r="W39" t="str">
            <v>Al Riyadh</v>
          </cell>
          <cell r="X39" t="str">
            <v xml:space="preserve">المقر الرئيسي </v>
          </cell>
          <cell r="Y39">
            <v>44990</v>
          </cell>
          <cell r="Z39">
            <v>3.29</v>
          </cell>
          <cell r="AA39">
            <v>1200</v>
          </cell>
          <cell r="AB39" t="str">
            <v>نشط</v>
          </cell>
          <cell r="AC39" t="str">
            <v>100191</v>
          </cell>
          <cell r="AD39" t="str">
            <v>Nemer Alshebel</v>
          </cell>
          <cell r="AE39" t="str">
            <v>موظف</v>
          </cell>
          <cell r="AF39" t="str">
            <v/>
          </cell>
          <cell r="AG39">
            <v>46085</v>
          </cell>
          <cell r="AH39" t="str">
            <v>علوم كمبيوتر</v>
          </cell>
          <cell r="AI39" t="str">
            <v>ماجستير</v>
          </cell>
          <cell r="AJ39">
            <v>5</v>
          </cell>
          <cell r="AK39">
            <v>2</v>
          </cell>
          <cell r="AL39">
            <v>1</v>
          </cell>
          <cell r="AM39">
            <v>2</v>
          </cell>
          <cell r="AN39">
            <v>2</v>
          </cell>
          <cell r="AO39" t="str">
            <v>مكتب إدارة المشاريع</v>
          </cell>
          <cell r="AP39" t="str">
            <v>Saudi Awwal Bank</v>
          </cell>
          <cell r="AQ39" t="str">
            <v>SA0545000000014208326001</v>
          </cell>
          <cell r="AR39">
            <v>59728.864000000001</v>
          </cell>
          <cell r="AS39">
            <v>59728.864000000001</v>
          </cell>
          <cell r="AT39">
            <v>3500</v>
          </cell>
          <cell r="AU39">
            <v>14932.216</v>
          </cell>
          <cell r="AV39">
            <v>800</v>
          </cell>
        </row>
        <row r="40">
          <cell r="A40">
            <v>100050</v>
          </cell>
          <cell r="B40" t="str">
            <v>1077047502</v>
          </cell>
          <cell r="C40" t="str">
            <v>السيد</v>
          </cell>
          <cell r="D40" t="str">
            <v>Sager Tarek Abdulaziz Almuaikel</v>
          </cell>
          <cell r="E40" t="str">
            <v>صقر طارق عبدالعزيز المعيقل</v>
          </cell>
          <cell r="F40" t="str">
            <v>Male</v>
          </cell>
          <cell r="G40" t="str">
            <v>أعزب</v>
          </cell>
          <cell r="H40">
            <v>33740</v>
          </cell>
          <cell r="I40">
            <v>34</v>
          </cell>
          <cell r="J40">
            <v>12450</v>
          </cell>
          <cell r="K40" t="str">
            <v>Sager.Almuaikel@agriserv.sa</v>
          </cell>
          <cell r="L40" t="str">
            <v>0552333359</v>
          </cell>
          <cell r="M40" t="str">
            <v/>
          </cell>
          <cell r="N40" t="str">
            <v>المملكة العربية السعودية</v>
          </cell>
          <cell r="O40" t="str">
            <v>50000386</v>
          </cell>
          <cell r="P40" t="str">
            <v>مدير التنفيذي إدارة المكاتب والمرافق</v>
          </cell>
          <cell r="Q40" t="str">
            <v>الدرجة 6</v>
          </cell>
          <cell r="R40" t="str">
            <v/>
          </cell>
          <cell r="S40" t="str">
            <v>إدارة المكاتب والمرافق</v>
          </cell>
          <cell r="T40" t="str">
            <v>الشؤون الإدارية</v>
          </cell>
          <cell r="U40" t="str">
            <v>الخدمات المشتركة</v>
          </cell>
          <cell r="V40" t="str">
            <v>الخدمات المشتركة</v>
          </cell>
          <cell r="W40" t="str">
            <v>Al Riyadh</v>
          </cell>
          <cell r="X40" t="str">
            <v xml:space="preserve">المقر الرئيسي </v>
          </cell>
          <cell r="Y40">
            <v>44986</v>
          </cell>
          <cell r="Z40">
            <v>3.3</v>
          </cell>
          <cell r="AA40">
            <v>1204</v>
          </cell>
          <cell r="AB40" t="str">
            <v>غير نشط</v>
          </cell>
          <cell r="AC40" t="str">
            <v>100005</v>
          </cell>
          <cell r="AD40" t="str">
            <v>Khalid Alghannam</v>
          </cell>
          <cell r="AE40" t="str">
            <v>موظف</v>
          </cell>
          <cell r="AF40">
            <v>45437</v>
          </cell>
          <cell r="AG40" t="str">
            <v/>
          </cell>
          <cell r="AH40" t="str">
            <v>هندسة ميكانيكا</v>
          </cell>
          <cell r="AI40" t="str">
            <v>بكالوريوس</v>
          </cell>
          <cell r="AJ40">
            <v>2</v>
          </cell>
          <cell r="AK40">
            <v>0</v>
          </cell>
          <cell r="AL40">
            <v>0</v>
          </cell>
          <cell r="AM40">
            <v>2</v>
          </cell>
          <cell r="AN40" t="str">
            <v/>
          </cell>
          <cell r="AO40" t="str">
            <v>Administrative Affairs</v>
          </cell>
          <cell r="AP40" t="str">
            <v>Al Rajhi Bank</v>
          </cell>
          <cell r="AQ40" t="str">
            <v>SA8780000585608016084603</v>
          </cell>
          <cell r="AR40">
            <v>20477.669999999998</v>
          </cell>
          <cell r="AS40">
            <v>20477.669999999998</v>
          </cell>
          <cell r="AT40">
            <v>2047.7670000000001</v>
          </cell>
          <cell r="AU40">
            <v>5119.4179999999997</v>
          </cell>
          <cell r="AV40">
            <v>500</v>
          </cell>
        </row>
        <row r="41">
          <cell r="A41">
            <v>100051</v>
          </cell>
          <cell r="B41" t="str">
            <v>1003595491</v>
          </cell>
          <cell r="C41" t="str">
            <v>السيد</v>
          </cell>
          <cell r="D41" t="str">
            <v>Mohammed Mutlaq Saeed Alrajban</v>
          </cell>
          <cell r="E41" t="str">
            <v>محمد مطلق سعيد الرجبان</v>
          </cell>
          <cell r="F41" t="str">
            <v>Male</v>
          </cell>
          <cell r="G41" t="str">
            <v>متزوج</v>
          </cell>
          <cell r="H41">
            <v>24559</v>
          </cell>
          <cell r="I41">
            <v>59</v>
          </cell>
          <cell r="J41">
            <v>21631</v>
          </cell>
          <cell r="K41" t="str">
            <v>Mohammed.Alragban@agriserv.sa</v>
          </cell>
          <cell r="L41" t="str">
            <v>0504106401</v>
          </cell>
          <cell r="M41" t="str">
            <v>6101</v>
          </cell>
          <cell r="N41" t="str">
            <v>المملكة العربية السعودية</v>
          </cell>
          <cell r="O41" t="str">
            <v>50001040</v>
          </cell>
          <cell r="P41" t="str">
            <v>مدير تنفيذي محجر الخيل</v>
          </cell>
          <cell r="Q41" t="str">
            <v>الدرجة 7</v>
          </cell>
          <cell r="R41" t="str">
            <v>Class VIP</v>
          </cell>
          <cell r="S41" t="str">
            <v>محجر الخيل</v>
          </cell>
          <cell r="T41" t="str">
            <v>خدمات المحجر</v>
          </cell>
          <cell r="U41" t="str">
            <v>الاذونات وخدمات المحاجر</v>
          </cell>
          <cell r="V41" t="str">
            <v>العمليات</v>
          </cell>
          <cell r="W41" t="str">
            <v>Al Riyadh</v>
          </cell>
          <cell r="X41" t="str">
            <v xml:space="preserve">الفرع </v>
          </cell>
          <cell r="Y41">
            <v>44999</v>
          </cell>
          <cell r="Z41">
            <v>3.26</v>
          </cell>
          <cell r="AA41">
            <v>1191</v>
          </cell>
          <cell r="AB41" t="str">
            <v>نشط</v>
          </cell>
          <cell r="AC41" t="str">
            <v>100137</v>
          </cell>
          <cell r="AD41" t="str">
            <v>IBRAHIM ALNOWAISER</v>
          </cell>
          <cell r="AE41" t="str">
            <v>موظف</v>
          </cell>
          <cell r="AF41" t="str">
            <v/>
          </cell>
          <cell r="AG41">
            <v>46094</v>
          </cell>
          <cell r="AH41" t="str">
            <v>تاريخ</v>
          </cell>
          <cell r="AI41" t="str">
            <v>بكالوريوس</v>
          </cell>
          <cell r="AJ41">
            <v>3</v>
          </cell>
          <cell r="AK41">
            <v>2</v>
          </cell>
          <cell r="AL41">
            <v>1</v>
          </cell>
          <cell r="AM41">
            <v>0</v>
          </cell>
          <cell r="AN41" t="str">
            <v/>
          </cell>
          <cell r="AO41" t="str">
            <v>الاذونات وخدمات المحاجر</v>
          </cell>
          <cell r="AP41" t="str">
            <v>Saudi Awwal Bank</v>
          </cell>
          <cell r="AQ41" t="str">
            <v>SA4345000000001004217001</v>
          </cell>
          <cell r="AR41">
            <v>27344.171399999999</v>
          </cell>
          <cell r="AS41">
            <v>27344.170999999998</v>
          </cell>
          <cell r="AT41">
            <v>2734.4169999999999</v>
          </cell>
          <cell r="AU41">
            <v>6836.0429999999997</v>
          </cell>
          <cell r="AV41">
            <v>500</v>
          </cell>
        </row>
        <row r="42">
          <cell r="A42">
            <v>100052</v>
          </cell>
          <cell r="B42" t="str">
            <v>1011747175</v>
          </cell>
          <cell r="C42" t="str">
            <v>السيد</v>
          </cell>
          <cell r="D42" t="str">
            <v>Abdullah Saad Abdullah Almodaihsh</v>
          </cell>
          <cell r="E42" t="str">
            <v>عبدالله سعد عبدالله المديهش</v>
          </cell>
          <cell r="F42" t="str">
            <v>Male</v>
          </cell>
          <cell r="G42" t="str">
            <v/>
          </cell>
          <cell r="H42">
            <v>23796</v>
          </cell>
          <cell r="I42">
            <v>61</v>
          </cell>
          <cell r="J42">
            <v>22394</v>
          </cell>
          <cell r="K42" t="str">
            <v/>
          </cell>
          <cell r="L42" t="str">
            <v>0505247531</v>
          </cell>
          <cell r="M42" t="str">
            <v/>
          </cell>
          <cell r="N42" t="str">
            <v>المملكة العربية السعودية</v>
          </cell>
          <cell r="O42" t="str">
            <v>50001091</v>
          </cell>
          <cell r="P42" t="str">
            <v>مستشار تسجيل الأسمدة</v>
          </cell>
          <cell r="Q42" t="str">
            <v>الدرجة 6</v>
          </cell>
          <cell r="R42" t="str">
            <v/>
          </cell>
          <cell r="S42" t="str">
            <v/>
          </cell>
          <cell r="T42" t="str">
            <v>تدقيق ومراجعة المستندات</v>
          </cell>
          <cell r="U42" t="str">
            <v>التسجيل والمختبرات</v>
          </cell>
          <cell r="V42" t="str">
            <v>العمليات</v>
          </cell>
          <cell r="W42" t="str">
            <v>Al Riyadh</v>
          </cell>
          <cell r="X42" t="str">
            <v xml:space="preserve">المقر الرئيسي </v>
          </cell>
          <cell r="Y42">
            <v>45018</v>
          </cell>
          <cell r="Z42">
            <v>3.21</v>
          </cell>
          <cell r="AA42">
            <v>1172</v>
          </cell>
          <cell r="AB42" t="str">
            <v>غير نشط</v>
          </cell>
          <cell r="AC42" t="str">
            <v>400040</v>
          </cell>
          <cell r="AD42" t="str">
            <v>Hani Barniyah</v>
          </cell>
          <cell r="AE42" t="str">
            <v>موظف</v>
          </cell>
          <cell r="AF42">
            <v>45384</v>
          </cell>
          <cell r="AG42" t="str">
            <v/>
          </cell>
          <cell r="AH42" t="str">
            <v/>
          </cell>
          <cell r="AI42" t="str">
            <v/>
          </cell>
          <cell r="AJ42">
            <v>2</v>
          </cell>
          <cell r="AK42">
            <v>1</v>
          </cell>
          <cell r="AL42">
            <v>1</v>
          </cell>
          <cell r="AM42">
            <v>0</v>
          </cell>
          <cell r="AN42" t="str">
            <v/>
          </cell>
          <cell r="AO42" t="str">
            <v>Certificates and Others Documents</v>
          </cell>
          <cell r="AP42" t="str">
            <v>Arab National Bank</v>
          </cell>
          <cell r="AQ42" t="str">
            <v>SA7530400108081368670013</v>
          </cell>
          <cell r="AR42">
            <v>16000</v>
          </cell>
          <cell r="AS42">
            <v>16000</v>
          </cell>
          <cell r="AT42" t="str">
            <v/>
          </cell>
          <cell r="AU42">
            <v>4000</v>
          </cell>
          <cell r="AV42" t="str">
            <v/>
          </cell>
        </row>
        <row r="43">
          <cell r="A43">
            <v>100053</v>
          </cell>
          <cell r="B43" t="str">
            <v>1035249679</v>
          </cell>
          <cell r="C43" t="str">
            <v>السيد</v>
          </cell>
          <cell r="D43" t="str">
            <v>Hamad Mohammed Saad Alarifi</v>
          </cell>
          <cell r="E43" t="str">
            <v>حمد محمد سعد العريفي</v>
          </cell>
          <cell r="F43" t="str">
            <v>Male</v>
          </cell>
          <cell r="G43" t="str">
            <v>متزوج</v>
          </cell>
          <cell r="H43">
            <v>27938</v>
          </cell>
          <cell r="I43">
            <v>50</v>
          </cell>
          <cell r="J43">
            <v>18252</v>
          </cell>
          <cell r="K43" t="str">
            <v>Hamad.AlArifi@agriserv.sa</v>
          </cell>
          <cell r="L43" t="str">
            <v>0555556856</v>
          </cell>
          <cell r="M43" t="str">
            <v>4000</v>
          </cell>
          <cell r="N43" t="str">
            <v>المملكة العربية السعودية</v>
          </cell>
          <cell r="O43" t="str">
            <v>50000911</v>
          </cell>
          <cell r="P43" t="str">
            <v>مساعد رئيس التراخيص</v>
          </cell>
          <cell r="Q43" t="str">
            <v>الدرجة 10</v>
          </cell>
          <cell r="R43" t="str">
            <v>Class VVIP</v>
          </cell>
          <cell r="S43" t="str">
            <v/>
          </cell>
          <cell r="T43" t="str">
            <v/>
          </cell>
          <cell r="U43" t="str">
            <v/>
          </cell>
          <cell r="V43" t="str">
            <v>التراخيص</v>
          </cell>
          <cell r="W43" t="str">
            <v>Al Riyadh</v>
          </cell>
          <cell r="X43" t="str">
            <v xml:space="preserve">المقر الرئيسي </v>
          </cell>
          <cell r="Y43">
            <v>45042</v>
          </cell>
          <cell r="Z43">
            <v>3.14</v>
          </cell>
          <cell r="AA43">
            <v>1148</v>
          </cell>
          <cell r="AB43" t="str">
            <v>نشط</v>
          </cell>
          <cell r="AC43" t="str">
            <v>100191</v>
          </cell>
          <cell r="AD43" t="str">
            <v>Nemer Alshebel</v>
          </cell>
          <cell r="AE43" t="str">
            <v>موظف</v>
          </cell>
          <cell r="AF43" t="str">
            <v/>
          </cell>
          <cell r="AG43">
            <v>46137</v>
          </cell>
          <cell r="AH43" t="str">
            <v>جغرافيا</v>
          </cell>
          <cell r="AI43" t="str">
            <v>بكالوريوس</v>
          </cell>
          <cell r="AJ43">
            <v>7</v>
          </cell>
          <cell r="AK43">
            <v>5</v>
          </cell>
          <cell r="AL43">
            <v>1</v>
          </cell>
          <cell r="AM43">
            <v>1</v>
          </cell>
          <cell r="AN43">
            <v>4</v>
          </cell>
          <cell r="AO43" t="str">
            <v>عام</v>
          </cell>
          <cell r="AP43" t="str">
            <v>Arab National Bank</v>
          </cell>
          <cell r="AQ43" t="str">
            <v>SA6630400108050003900013</v>
          </cell>
          <cell r="AR43">
            <v>87644.76</v>
          </cell>
          <cell r="AS43">
            <v>87644.76</v>
          </cell>
          <cell r="AT43">
            <v>3500</v>
          </cell>
          <cell r="AU43">
            <v>21911.19</v>
          </cell>
          <cell r="AV43">
            <v>800</v>
          </cell>
        </row>
        <row r="44">
          <cell r="A44">
            <v>100054</v>
          </cell>
          <cell r="B44" t="str">
            <v>1101438222</v>
          </cell>
          <cell r="C44" t="str">
            <v>الآنسة</v>
          </cell>
          <cell r="D44" t="str">
            <v>Nouf Mohammed Sultan Bin Sultan</v>
          </cell>
          <cell r="E44" t="str">
            <v>نوف محمد سلطان بن سلطان</v>
          </cell>
          <cell r="F44" t="str">
            <v>Female</v>
          </cell>
          <cell r="G44" t="str">
            <v>أعزب</v>
          </cell>
          <cell r="H44">
            <v>36009</v>
          </cell>
          <cell r="I44">
            <v>28</v>
          </cell>
          <cell r="J44">
            <v>10181</v>
          </cell>
          <cell r="K44" t="str">
            <v>Nouf.Binsultan@agriserv.sa</v>
          </cell>
          <cell r="L44" t="str">
            <v>0553302470</v>
          </cell>
          <cell r="M44" t="str">
            <v>3407</v>
          </cell>
          <cell r="N44" t="str">
            <v>المملكة العربية السعودية</v>
          </cell>
          <cell r="O44" t="str">
            <v>50001556</v>
          </cell>
          <cell r="P44" t="str">
            <v>أخصائي أول، تسجيل مدخلات زراعية</v>
          </cell>
          <cell r="Q44" t="str">
            <v>الدرجة ٥</v>
          </cell>
          <cell r="R44" t="str">
            <v>Class A</v>
          </cell>
          <cell r="S44" t="str">
            <v/>
          </cell>
          <cell r="T44" t="str">
            <v>تدقيق ومراجعة المستندات</v>
          </cell>
          <cell r="U44" t="str">
            <v>التسجيل والمختبرات</v>
          </cell>
          <cell r="V44" t="str">
            <v>التراخيص</v>
          </cell>
          <cell r="W44" t="str">
            <v>Head Quarter</v>
          </cell>
          <cell r="X44" t="str">
            <v xml:space="preserve">المقر الرئيسي </v>
          </cell>
          <cell r="Y44">
            <v>45063</v>
          </cell>
          <cell r="Z44">
            <v>3.09</v>
          </cell>
          <cell r="AA44">
            <v>1127</v>
          </cell>
          <cell r="AB44" t="str">
            <v>نشط</v>
          </cell>
          <cell r="AC44" t="str">
            <v>100145</v>
          </cell>
          <cell r="AD44" t="str">
            <v>Hani Barniyah</v>
          </cell>
          <cell r="AE44" t="str">
            <v>موظف</v>
          </cell>
          <cell r="AF44" t="str">
            <v/>
          </cell>
          <cell r="AG44">
            <v>46158</v>
          </cell>
          <cell r="AH44" t="str">
            <v>علوم نبات</v>
          </cell>
          <cell r="AI44" t="str">
            <v>بكالوريوس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 t="str">
            <v/>
          </cell>
          <cell r="AO44" t="str">
            <v>التسجيل</v>
          </cell>
          <cell r="AP44" t="str">
            <v>Bank Al Bilad</v>
          </cell>
          <cell r="AQ44" t="str">
            <v>SA6515000429143804530006</v>
          </cell>
          <cell r="AR44">
            <v>10580.409</v>
          </cell>
          <cell r="AS44">
            <v>10580.409</v>
          </cell>
          <cell r="AT44">
            <v>1058.0409999999999</v>
          </cell>
          <cell r="AU44">
            <v>2645.1019999999999</v>
          </cell>
          <cell r="AV44" t="str">
            <v/>
          </cell>
        </row>
        <row r="45">
          <cell r="A45">
            <v>100055</v>
          </cell>
          <cell r="B45" t="str">
            <v>2545711448</v>
          </cell>
          <cell r="C45" t="str">
            <v>السيد</v>
          </cell>
          <cell r="D45" t="str">
            <v>Samir Abdelazim Mohammed Abduljalil</v>
          </cell>
          <cell r="E45" t="str">
            <v>سمير عبدالعظيم محمد عبدالجليل</v>
          </cell>
          <cell r="F45" t="str">
            <v>Male</v>
          </cell>
          <cell r="G45" t="str">
            <v>متزوج</v>
          </cell>
          <cell r="H45">
            <v>25368</v>
          </cell>
          <cell r="I45">
            <v>57</v>
          </cell>
          <cell r="J45">
            <v>20822</v>
          </cell>
          <cell r="K45" t="str">
            <v>Samir.Abdelazim@agriserv.sa</v>
          </cell>
          <cell r="L45" t="str">
            <v>0531242342</v>
          </cell>
          <cell r="M45" t="str">
            <v/>
          </cell>
          <cell r="N45" t="str">
            <v>مصر</v>
          </cell>
          <cell r="O45" t="str">
            <v>50000488</v>
          </cell>
          <cell r="P45" t="str">
            <v>مهندس زراعي</v>
          </cell>
          <cell r="Q45" t="str">
            <v>الدرجة ٥</v>
          </cell>
          <cell r="R45" t="str">
            <v>Class A</v>
          </cell>
          <cell r="S45" t="str">
            <v/>
          </cell>
          <cell r="T45" t="str">
            <v>الدراسة الفنية</v>
          </cell>
          <cell r="U45" t="str">
            <v>التسجيل والمختبرات</v>
          </cell>
          <cell r="V45" t="str">
            <v>التراخيص</v>
          </cell>
          <cell r="W45" t="str">
            <v>Head Quarter</v>
          </cell>
          <cell r="X45" t="str">
            <v xml:space="preserve">المقر الرئيسي </v>
          </cell>
          <cell r="Y45">
            <v>45047</v>
          </cell>
          <cell r="Z45">
            <v>3.13</v>
          </cell>
          <cell r="AA45">
            <v>1143</v>
          </cell>
          <cell r="AB45" t="str">
            <v>نشط</v>
          </cell>
          <cell r="AC45" t="str">
            <v>100145</v>
          </cell>
          <cell r="AD45" t="str">
            <v>Hani Barniyah</v>
          </cell>
          <cell r="AE45" t="str">
            <v>موظف</v>
          </cell>
          <cell r="AF45" t="str">
            <v/>
          </cell>
          <cell r="AG45">
            <v>46142</v>
          </cell>
          <cell r="AH45" t="str">
            <v>علم الزراعة</v>
          </cell>
          <cell r="AI45" t="str">
            <v>دكتوراة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 t="str">
            <v/>
          </cell>
          <cell r="AO45" t="str">
            <v>التسجيل</v>
          </cell>
          <cell r="AP45" t="str">
            <v>Al Rajhi Bank</v>
          </cell>
          <cell r="AQ45" t="str">
            <v>SA4580000613608016056896</v>
          </cell>
          <cell r="AR45">
            <v>11874.044</v>
          </cell>
          <cell r="AS45">
            <v>11874.044</v>
          </cell>
          <cell r="AT45">
            <v>1187.404</v>
          </cell>
          <cell r="AU45">
            <v>2968.511</v>
          </cell>
          <cell r="AV45" t="str">
            <v/>
          </cell>
        </row>
        <row r="46">
          <cell r="A46">
            <v>100056</v>
          </cell>
          <cell r="B46" t="str">
            <v>1101323622</v>
          </cell>
          <cell r="C46" t="str">
            <v>الآنسة</v>
          </cell>
          <cell r="D46" t="str">
            <v>Alanoud Ibrahim Mohammed Almutawwa</v>
          </cell>
          <cell r="E46" t="str">
            <v>العنود إبراهيم محمد المطوع</v>
          </cell>
          <cell r="F46" t="str">
            <v>Female</v>
          </cell>
          <cell r="G46" t="str">
            <v>أعزب</v>
          </cell>
          <cell r="H46">
            <v>35748</v>
          </cell>
          <cell r="I46">
            <v>29</v>
          </cell>
          <cell r="J46">
            <v>10442</v>
          </cell>
          <cell r="K46" t="str">
            <v>Alanoud.Almutawwa@agriserv.sa</v>
          </cell>
          <cell r="L46" t="str">
            <v>0503317277</v>
          </cell>
          <cell r="M46" t="str">
            <v>4202</v>
          </cell>
          <cell r="N46" t="str">
            <v>المملكة العربية السعودية</v>
          </cell>
          <cell r="O46" t="str">
            <v>50001557</v>
          </cell>
          <cell r="P46" t="str">
            <v>أخصائي أول، التصاريح الزراعية</v>
          </cell>
          <cell r="Q46" t="str">
            <v>الدرجة ٥</v>
          </cell>
          <cell r="R46" t="str">
            <v>Class A</v>
          </cell>
          <cell r="S46" t="str">
            <v/>
          </cell>
          <cell r="T46" t="str">
            <v/>
          </cell>
          <cell r="U46" t="str">
            <v>الشهادات</v>
          </cell>
          <cell r="V46" t="str">
            <v>التراخيص</v>
          </cell>
          <cell r="W46" t="str">
            <v>Head Quarter</v>
          </cell>
          <cell r="X46" t="str">
            <v xml:space="preserve">المقر الرئيسي </v>
          </cell>
          <cell r="Y46">
            <v>45081</v>
          </cell>
          <cell r="Z46">
            <v>3.04</v>
          </cell>
          <cell r="AA46">
            <v>1109</v>
          </cell>
          <cell r="AB46" t="str">
            <v>نشط</v>
          </cell>
          <cell r="AC46" t="str">
            <v>100127</v>
          </cell>
          <cell r="AD46" t="str">
            <v>Abdullah Alotaibi</v>
          </cell>
          <cell r="AE46" t="str">
            <v>موظف</v>
          </cell>
          <cell r="AF46" t="str">
            <v/>
          </cell>
          <cell r="AG46">
            <v>46176</v>
          </cell>
          <cell r="AH46" t="str">
            <v>لغات وترجمة</v>
          </cell>
          <cell r="AI46" t="str">
            <v>بكالوريوس</v>
          </cell>
          <cell r="AJ46">
            <v>2</v>
          </cell>
          <cell r="AK46">
            <v>0</v>
          </cell>
          <cell r="AL46">
            <v>0</v>
          </cell>
          <cell r="AM46">
            <v>2</v>
          </cell>
          <cell r="AN46" t="str">
            <v/>
          </cell>
          <cell r="AO46" t="str">
            <v>التراخيص والشهادات</v>
          </cell>
          <cell r="AP46" t="str">
            <v>Al Rajhi Bank</v>
          </cell>
          <cell r="AQ46" t="str">
            <v>SA8180000260608016022100</v>
          </cell>
          <cell r="AR46">
            <v>10550.232</v>
          </cell>
          <cell r="AS46">
            <v>10550.232</v>
          </cell>
          <cell r="AT46">
            <v>1055.0229999999999</v>
          </cell>
          <cell r="AU46">
            <v>2637.558</v>
          </cell>
          <cell r="AV46" t="str">
            <v/>
          </cell>
        </row>
        <row r="47">
          <cell r="A47">
            <v>100057</v>
          </cell>
          <cell r="B47" t="str">
            <v>1100748134</v>
          </cell>
          <cell r="C47" t="str">
            <v>السيد</v>
          </cell>
          <cell r="D47" t="str">
            <v>Salman Saleh Suleiman Alamer</v>
          </cell>
          <cell r="E47" t="str">
            <v>سلمان صالح سليمان العامر</v>
          </cell>
          <cell r="F47" t="str">
            <v>Male</v>
          </cell>
          <cell r="G47" t="str">
            <v>أعزب</v>
          </cell>
          <cell r="H47">
            <v>35461</v>
          </cell>
          <cell r="I47">
            <v>29</v>
          </cell>
          <cell r="J47">
            <v>10729</v>
          </cell>
          <cell r="K47" t="str">
            <v>Salman.Alamer@agriserv.sa</v>
          </cell>
          <cell r="L47" t="str">
            <v>0501680224</v>
          </cell>
          <cell r="M47" t="str">
            <v/>
          </cell>
          <cell r="N47" t="str">
            <v>المملكة العربية السعودية</v>
          </cell>
          <cell r="O47" t="str">
            <v>50001093</v>
          </cell>
          <cell r="P47" t="str">
            <v>أخصائي إدارة المشاريع</v>
          </cell>
          <cell r="Q47" t="str">
            <v>الدرجة ٥</v>
          </cell>
          <cell r="R47" t="str">
            <v/>
          </cell>
          <cell r="S47" t="str">
            <v/>
          </cell>
          <cell r="T47" t="str">
            <v>إدارة البرامج الرئيسية</v>
          </cell>
          <cell r="U47" t="str">
            <v>مراقبة الأداء</v>
          </cell>
          <cell r="V47" t="str">
            <v>إدارة المشاريع</v>
          </cell>
          <cell r="W47" t="str">
            <v>Al Riyadh</v>
          </cell>
          <cell r="X47" t="str">
            <v xml:space="preserve">المقر الرئيسي </v>
          </cell>
          <cell r="Y47">
            <v>45081</v>
          </cell>
          <cell r="Z47">
            <v>3.04</v>
          </cell>
          <cell r="AA47">
            <v>1109</v>
          </cell>
          <cell r="AB47" t="str">
            <v>غير نشط</v>
          </cell>
          <cell r="AC47" t="str">
            <v>100049</v>
          </cell>
          <cell r="AD47" t="str">
            <v>Sultan Bingarid</v>
          </cell>
          <cell r="AE47" t="str">
            <v>موظف</v>
          </cell>
          <cell r="AF47">
            <v>45446</v>
          </cell>
          <cell r="AG47">
            <v>45811</v>
          </cell>
          <cell r="AH47" t="str">
            <v>هندسة ميكانيكا</v>
          </cell>
          <cell r="AI47" t="str">
            <v>بكالوريوس</v>
          </cell>
          <cell r="AJ47">
            <v>2</v>
          </cell>
          <cell r="AK47">
            <v>0</v>
          </cell>
          <cell r="AL47">
            <v>0</v>
          </cell>
          <cell r="AM47">
            <v>2</v>
          </cell>
          <cell r="AN47" t="str">
            <v/>
          </cell>
          <cell r="AO47" t="str">
            <v>Performance Monitoring</v>
          </cell>
          <cell r="AP47" t="str">
            <v>Al Rajhi Bank</v>
          </cell>
          <cell r="AQ47" t="str">
            <v>SA5180000340608010225315</v>
          </cell>
          <cell r="AR47">
            <v>10287.43</v>
          </cell>
          <cell r="AS47">
            <v>10287.43</v>
          </cell>
          <cell r="AT47">
            <v>1028.7429999999999</v>
          </cell>
          <cell r="AU47">
            <v>2571.8580000000002</v>
          </cell>
          <cell r="AV47" t="str">
            <v/>
          </cell>
        </row>
        <row r="48">
          <cell r="A48">
            <v>100058</v>
          </cell>
          <cell r="B48" t="str">
            <v>1048519803</v>
          </cell>
          <cell r="C48" t="str">
            <v>السيد</v>
          </cell>
          <cell r="D48" t="str">
            <v>Hassan Jamaan Ramadan Alzahrani</v>
          </cell>
          <cell r="E48" t="str">
            <v>حسن جمعان رمضان الزهراني</v>
          </cell>
          <cell r="F48" t="str">
            <v>Male</v>
          </cell>
          <cell r="G48" t="str">
            <v>متزوج</v>
          </cell>
          <cell r="H48">
            <v>30441</v>
          </cell>
          <cell r="I48">
            <v>43</v>
          </cell>
          <cell r="J48">
            <v>15749</v>
          </cell>
          <cell r="K48" t="str">
            <v>Hassan.Alzahrani@agriserv.sa</v>
          </cell>
          <cell r="L48" t="str">
            <v>0507770792</v>
          </cell>
          <cell r="M48" t="str">
            <v>8100</v>
          </cell>
          <cell r="N48" t="str">
            <v>المملكة العربية السعودية</v>
          </cell>
          <cell r="O48" t="str">
            <v>50001339</v>
          </cell>
          <cell r="P48" t="str">
            <v>مدير عام، الشؤون القانونية</v>
          </cell>
          <cell r="Q48" t="str">
            <v>الدرجة 9</v>
          </cell>
          <cell r="R48" t="str">
            <v>Class VVIP</v>
          </cell>
          <cell r="S48" t="str">
            <v/>
          </cell>
          <cell r="T48" t="str">
            <v/>
          </cell>
          <cell r="U48" t="str">
            <v/>
          </cell>
          <cell r="V48" t="str">
            <v>الشؤون القانونية</v>
          </cell>
          <cell r="W48" t="str">
            <v>Head Quarter</v>
          </cell>
          <cell r="X48" t="str">
            <v xml:space="preserve">المقر الرئيسي </v>
          </cell>
          <cell r="Y48">
            <v>45081</v>
          </cell>
          <cell r="Z48">
            <v>3.04</v>
          </cell>
          <cell r="AA48">
            <v>1109</v>
          </cell>
          <cell r="AB48" t="str">
            <v>نشط</v>
          </cell>
          <cell r="AC48" t="str">
            <v>100191</v>
          </cell>
          <cell r="AD48" t="str">
            <v>Nemer Alshebel</v>
          </cell>
          <cell r="AE48" t="str">
            <v>موظف</v>
          </cell>
          <cell r="AF48" t="str">
            <v/>
          </cell>
          <cell r="AG48">
            <v>46176</v>
          </cell>
          <cell r="AH48" t="str">
            <v>قانون</v>
          </cell>
          <cell r="AI48" t="str">
            <v>ماجستير</v>
          </cell>
          <cell r="AJ48">
            <v>4</v>
          </cell>
          <cell r="AK48">
            <v>2</v>
          </cell>
          <cell r="AL48">
            <v>1</v>
          </cell>
          <cell r="AM48">
            <v>1</v>
          </cell>
          <cell r="AN48">
            <v>2</v>
          </cell>
          <cell r="AO48" t="str">
            <v>الشؤون القانونية</v>
          </cell>
          <cell r="AP48" t="str">
            <v>Saudi National Bank</v>
          </cell>
          <cell r="AQ48" t="str">
            <v>SA5510000011100112024209</v>
          </cell>
          <cell r="AR48">
            <v>65060.205000000002</v>
          </cell>
          <cell r="AS48">
            <v>65060.205000000002</v>
          </cell>
          <cell r="AT48">
            <v>3500</v>
          </cell>
          <cell r="AU48">
            <v>16265.050999999999</v>
          </cell>
          <cell r="AV48">
            <v>800</v>
          </cell>
        </row>
        <row r="49">
          <cell r="A49">
            <v>100059</v>
          </cell>
          <cell r="B49" t="str">
            <v>1086475645</v>
          </cell>
          <cell r="C49" t="str">
            <v>السيد</v>
          </cell>
          <cell r="D49" t="str">
            <v>Mohammed Saad Naser Almutawa</v>
          </cell>
          <cell r="E49" t="str">
            <v>محمد سعد ناصر المطوع</v>
          </cell>
          <cell r="F49" t="str">
            <v>Male</v>
          </cell>
          <cell r="G49" t="str">
            <v>أعزب</v>
          </cell>
          <cell r="H49">
            <v>34880</v>
          </cell>
          <cell r="I49">
            <v>31</v>
          </cell>
          <cell r="J49">
            <v>11310</v>
          </cell>
          <cell r="K49" t="str">
            <v>Mohammed.Almutawa@agriserv.sa</v>
          </cell>
          <cell r="L49" t="str">
            <v>0599033775</v>
          </cell>
          <cell r="M49" t="str">
            <v/>
          </cell>
          <cell r="N49" t="str">
            <v>المملكة العربية السعودية</v>
          </cell>
          <cell r="O49" t="str">
            <v>50000463</v>
          </cell>
          <cell r="P49" t="str">
            <v>محلل أول تسجيل المنتجات الحيوانية</v>
          </cell>
          <cell r="Q49" t="str">
            <v>الدرجة 4</v>
          </cell>
          <cell r="R49" t="str">
            <v>Class A</v>
          </cell>
          <cell r="S49" t="str">
            <v/>
          </cell>
          <cell r="T49" t="str">
            <v>تدقيق ومراجعة المستندات</v>
          </cell>
          <cell r="U49" t="str">
            <v>التسجيل والمختبرات</v>
          </cell>
          <cell r="V49" t="str">
            <v>التراخيص</v>
          </cell>
          <cell r="W49" t="str">
            <v>Al Riyadh</v>
          </cell>
          <cell r="X49" t="str">
            <v xml:space="preserve">المقر الرئيسي </v>
          </cell>
          <cell r="Y49">
            <v>45088</v>
          </cell>
          <cell r="Z49">
            <v>3.02</v>
          </cell>
          <cell r="AA49">
            <v>1102</v>
          </cell>
          <cell r="AB49" t="str">
            <v>غير نشط</v>
          </cell>
          <cell r="AC49" t="str">
            <v>100054</v>
          </cell>
          <cell r="AD49" t="str">
            <v>Nouf Bin Sultan</v>
          </cell>
          <cell r="AE49" t="str">
            <v>موظف</v>
          </cell>
          <cell r="AF49">
            <v>45603</v>
          </cell>
          <cell r="AG49">
            <v>45818</v>
          </cell>
          <cell r="AH49" t="str">
            <v>انتاج نباتى</v>
          </cell>
          <cell r="AI49" t="str">
            <v>بكالوريوس</v>
          </cell>
          <cell r="AJ49">
            <v>2</v>
          </cell>
          <cell r="AK49">
            <v>0</v>
          </cell>
          <cell r="AL49">
            <v>0</v>
          </cell>
          <cell r="AM49">
            <v>2</v>
          </cell>
          <cell r="AN49" t="str">
            <v/>
          </cell>
          <cell r="AO49" t="str">
            <v>Livestock Extension &amp; Protection</v>
          </cell>
          <cell r="AP49" t="str">
            <v>Al Rajhi Bank</v>
          </cell>
          <cell r="AQ49" t="str">
            <v>SA2580000564608010055406</v>
          </cell>
          <cell r="AR49">
            <v>8678.8700000000008</v>
          </cell>
          <cell r="AS49">
            <v>8678.8700000000008</v>
          </cell>
          <cell r="AT49">
            <v>867.88699999999994</v>
          </cell>
          <cell r="AU49">
            <v>2169.7179999999998</v>
          </cell>
          <cell r="AV49" t="str">
            <v/>
          </cell>
        </row>
        <row r="50">
          <cell r="A50">
            <v>100060</v>
          </cell>
          <cell r="B50" t="str">
            <v>1074681527</v>
          </cell>
          <cell r="C50" t="str">
            <v>السيد</v>
          </cell>
          <cell r="D50" t="str">
            <v>Abdulhamid Mohammed Abdulaziz Aljami</v>
          </cell>
          <cell r="E50" t="str">
            <v>عبدالحميد محمد عبدالعزيز الجامع</v>
          </cell>
          <cell r="F50" t="str">
            <v>Male</v>
          </cell>
          <cell r="G50" t="str">
            <v>أعزب</v>
          </cell>
          <cell r="H50">
            <v>33503</v>
          </cell>
          <cell r="I50">
            <v>35</v>
          </cell>
          <cell r="J50">
            <v>12687</v>
          </cell>
          <cell r="K50" t="str">
            <v>Abdulhamid.Aljamea@agriserv.sa</v>
          </cell>
          <cell r="L50" t="str">
            <v>0566990915</v>
          </cell>
          <cell r="M50" t="str">
            <v/>
          </cell>
          <cell r="N50" t="str">
            <v>المملكة العربية السعودية</v>
          </cell>
          <cell r="O50" t="str">
            <v>50001558</v>
          </cell>
          <cell r="P50" t="str">
            <v>مدير، شهادات الجودة الزراعية</v>
          </cell>
          <cell r="Q50" t="str">
            <v>الدرجة 6</v>
          </cell>
          <cell r="R50" t="str">
            <v>Class VIP</v>
          </cell>
          <cell r="S50" t="str">
            <v/>
          </cell>
          <cell r="T50" t="str">
            <v>مختبرات الثروة النباتية</v>
          </cell>
          <cell r="U50" t="str">
            <v>الخدمات الصحية و الإرشاد ودعم التسويق للثروة النباتية</v>
          </cell>
          <cell r="V50" t="str">
            <v>التراخيص</v>
          </cell>
          <cell r="W50" t="str">
            <v>Al Riyadh</v>
          </cell>
          <cell r="X50" t="str">
            <v xml:space="preserve">المقر الرئيسي </v>
          </cell>
          <cell r="Y50">
            <v>45089</v>
          </cell>
          <cell r="Z50">
            <v>3.01</v>
          </cell>
          <cell r="AA50">
            <v>1101</v>
          </cell>
          <cell r="AB50" t="str">
            <v>نشط</v>
          </cell>
          <cell r="AC50" t="str">
            <v>100145</v>
          </cell>
          <cell r="AD50" t="str">
            <v>Hani Barniyah</v>
          </cell>
          <cell r="AE50" t="str">
            <v>موظف</v>
          </cell>
          <cell r="AF50" t="str">
            <v/>
          </cell>
          <cell r="AG50">
            <v>46549</v>
          </cell>
          <cell r="AH50" t="str">
            <v>علوم الزراعية والأغذية</v>
          </cell>
          <cell r="AI50" t="str">
            <v>بكالوريوس</v>
          </cell>
          <cell r="AJ50">
            <v>3</v>
          </cell>
          <cell r="AK50">
            <v>1</v>
          </cell>
          <cell r="AL50">
            <v>0</v>
          </cell>
          <cell r="AM50">
            <v>2</v>
          </cell>
          <cell r="AN50" t="str">
            <v/>
          </cell>
          <cell r="AO50" t="str">
            <v>التسجيل</v>
          </cell>
          <cell r="AP50" t="str">
            <v>Saudi National Bank</v>
          </cell>
          <cell r="AQ50" t="str">
            <v>SA1010000009054827000103</v>
          </cell>
          <cell r="AR50">
            <v>10504.977000000001</v>
          </cell>
          <cell r="AS50">
            <v>10504.977000000001</v>
          </cell>
          <cell r="AT50">
            <v>1050.498</v>
          </cell>
          <cell r="AU50">
            <v>2626.2440000000001</v>
          </cell>
          <cell r="AV50">
            <v>500</v>
          </cell>
        </row>
        <row r="51">
          <cell r="A51">
            <v>100061</v>
          </cell>
          <cell r="B51" t="str">
            <v>1046987507</v>
          </cell>
          <cell r="C51" t="str">
            <v>السيد</v>
          </cell>
          <cell r="D51" t="str">
            <v>Musaed Ibrahim ALI Alyahya</v>
          </cell>
          <cell r="E51" t="str">
            <v>مساعد إبراهيم علي اليحيا</v>
          </cell>
          <cell r="F51" t="str">
            <v>Male</v>
          </cell>
          <cell r="G51" t="str">
            <v>أعزب</v>
          </cell>
          <cell r="H51">
            <v>31559</v>
          </cell>
          <cell r="I51">
            <v>40</v>
          </cell>
          <cell r="J51">
            <v>14631</v>
          </cell>
          <cell r="K51" t="str">
            <v>Musaed.Alyahya@agriserv.sa</v>
          </cell>
          <cell r="L51" t="str">
            <v>0555600799</v>
          </cell>
          <cell r="M51" t="str">
            <v/>
          </cell>
          <cell r="N51" t="str">
            <v>المملكة العربية السعودية</v>
          </cell>
          <cell r="O51" t="str">
            <v>50001094</v>
          </cell>
          <cell r="P51" t="str">
            <v>مدير أول مشاريع تطوير الاعمال</v>
          </cell>
          <cell r="Q51" t="str">
            <v>8 الدرجة</v>
          </cell>
          <cell r="R51" t="str">
            <v/>
          </cell>
          <cell r="S51" t="str">
            <v/>
          </cell>
          <cell r="T51" t="str">
            <v>تنمية الأعمال</v>
          </cell>
          <cell r="U51" t="str">
            <v>إدارة الأصول والاستثمار</v>
          </cell>
          <cell r="V51" t="str">
            <v>إدارة الأصول والاستثمار</v>
          </cell>
          <cell r="W51" t="str">
            <v>Al Riyadh</v>
          </cell>
          <cell r="X51" t="str">
            <v xml:space="preserve">المقر الرئيسي </v>
          </cell>
          <cell r="Y51">
            <v>45095</v>
          </cell>
          <cell r="Z51">
            <v>3</v>
          </cell>
          <cell r="AA51">
            <v>1095</v>
          </cell>
          <cell r="AB51" t="str">
            <v>غير نشط</v>
          </cell>
          <cell r="AC51" t="str">
            <v>100045</v>
          </cell>
          <cell r="AD51" t="str">
            <v>Omar Alsuhaibani</v>
          </cell>
          <cell r="AE51" t="str">
            <v>موظف</v>
          </cell>
          <cell r="AF51">
            <v>45460</v>
          </cell>
          <cell r="AG51" t="str">
            <v/>
          </cell>
          <cell r="AH51" t="str">
            <v>إدارة الأعمال</v>
          </cell>
          <cell r="AI51" t="str">
            <v>بكالوريوس</v>
          </cell>
          <cell r="AJ51">
            <v>5</v>
          </cell>
          <cell r="AK51">
            <v>3</v>
          </cell>
          <cell r="AL51">
            <v>1</v>
          </cell>
          <cell r="AM51">
            <v>1</v>
          </cell>
          <cell r="AN51">
            <v>2</v>
          </cell>
          <cell r="AO51" t="str">
            <v>Business Development &amp; Commercial Invest</v>
          </cell>
          <cell r="AP51" t="str">
            <v>Saudi National Bank</v>
          </cell>
          <cell r="AQ51" t="str">
            <v>SA8510000026152403000102</v>
          </cell>
          <cell r="AR51">
            <v>38862</v>
          </cell>
          <cell r="AS51">
            <v>38862</v>
          </cell>
          <cell r="AT51">
            <v>3000</v>
          </cell>
          <cell r="AU51">
            <v>9715.5</v>
          </cell>
          <cell r="AV51">
            <v>500</v>
          </cell>
        </row>
        <row r="52">
          <cell r="A52">
            <v>100062</v>
          </cell>
          <cell r="B52" t="str">
            <v>1110512645</v>
          </cell>
          <cell r="C52" t="str">
            <v>الآنسة</v>
          </cell>
          <cell r="D52" t="str">
            <v>Lubna Abdulmonem Qassem Totonji</v>
          </cell>
          <cell r="E52" t="str">
            <v>لبنى عبدالمنعم قاسم توتونجي</v>
          </cell>
          <cell r="F52" t="str">
            <v>Female</v>
          </cell>
          <cell r="G52" t="str">
            <v>أعزب</v>
          </cell>
          <cell r="H52">
            <v>35979</v>
          </cell>
          <cell r="I52">
            <v>28</v>
          </cell>
          <cell r="J52">
            <v>10211</v>
          </cell>
          <cell r="K52" t="str">
            <v>lubna.totonji@agriserv.sa</v>
          </cell>
          <cell r="L52" t="str">
            <v>0553939706</v>
          </cell>
          <cell r="M52" t="str">
            <v>4102</v>
          </cell>
          <cell r="N52" t="str">
            <v>المملكة العربية السعودية</v>
          </cell>
          <cell r="O52" t="str">
            <v>50001559</v>
          </cell>
          <cell r="P52" t="str">
            <v>أخصائي أول، الشهادات الزراعية</v>
          </cell>
          <cell r="Q52" t="str">
            <v>الدرجة ٥</v>
          </cell>
          <cell r="R52" t="str">
            <v>Class A</v>
          </cell>
          <cell r="S52" t="str">
            <v/>
          </cell>
          <cell r="T52" t="str">
            <v>الشهادات والمستندات الرسمية</v>
          </cell>
          <cell r="U52" t="str">
            <v>الشهادات</v>
          </cell>
          <cell r="V52" t="str">
            <v>التراخيص</v>
          </cell>
          <cell r="W52" t="str">
            <v>Al Riyadh</v>
          </cell>
          <cell r="X52" t="str">
            <v xml:space="preserve">المقر الرئيسي </v>
          </cell>
          <cell r="Y52">
            <v>45111</v>
          </cell>
          <cell r="Z52">
            <v>2.95</v>
          </cell>
          <cell r="AA52">
            <v>1079</v>
          </cell>
          <cell r="AB52" t="str">
            <v>نشط</v>
          </cell>
          <cell r="AC52" t="str">
            <v>100128</v>
          </cell>
          <cell r="AD52" t="str">
            <v>Abdalaziz Alkhamshi</v>
          </cell>
          <cell r="AE52" t="str">
            <v>موظف</v>
          </cell>
          <cell r="AF52" t="str">
            <v/>
          </cell>
          <cell r="AG52">
            <v>46206</v>
          </cell>
          <cell r="AH52" t="str">
            <v>لغات وترجمة</v>
          </cell>
          <cell r="AI52" t="str">
            <v>بكالوريوس</v>
          </cell>
          <cell r="AJ52">
            <v>2</v>
          </cell>
          <cell r="AK52">
            <v>0</v>
          </cell>
          <cell r="AL52">
            <v>0</v>
          </cell>
          <cell r="AM52">
            <v>2</v>
          </cell>
          <cell r="AN52" t="str">
            <v/>
          </cell>
          <cell r="AO52" t="str">
            <v>التراخيص والشهادات</v>
          </cell>
          <cell r="AP52" t="str">
            <v>Saudi Awwal Bank</v>
          </cell>
          <cell r="AQ52" t="str">
            <v>SA0745000000075253393001</v>
          </cell>
          <cell r="AR52">
            <v>10198.188</v>
          </cell>
          <cell r="AS52">
            <v>10198.188</v>
          </cell>
          <cell r="AT52">
            <v>1019.819</v>
          </cell>
          <cell r="AU52">
            <v>2549.547</v>
          </cell>
          <cell r="AV52" t="str">
            <v/>
          </cell>
        </row>
        <row r="53">
          <cell r="A53">
            <v>100063</v>
          </cell>
          <cell r="B53" t="str">
            <v>1014402745</v>
          </cell>
          <cell r="C53" t="str">
            <v>السيد</v>
          </cell>
          <cell r="D53" t="str">
            <v>Hazza Alafnas Nazel Alruwaili</v>
          </cell>
          <cell r="E53" t="str">
            <v>هزاع الافنس نازل الرويلي</v>
          </cell>
          <cell r="F53" t="str">
            <v>Male</v>
          </cell>
          <cell r="G53" t="str">
            <v>متزوج</v>
          </cell>
          <cell r="H53">
            <v>23856</v>
          </cell>
          <cell r="I53">
            <v>61</v>
          </cell>
          <cell r="J53">
            <v>22334</v>
          </cell>
          <cell r="K53" t="str">
            <v>Hazza.Alruwaili@agriserv.sa</v>
          </cell>
          <cell r="L53" t="str">
            <v>0548307270</v>
          </cell>
          <cell r="M53" t="str">
            <v>5004</v>
          </cell>
          <cell r="N53" t="str">
            <v>المملكة العربية السعودية</v>
          </cell>
          <cell r="O53" t="str">
            <v>50001552</v>
          </cell>
          <cell r="P53" t="str">
            <v>مستشار، ادارة الفروع</v>
          </cell>
          <cell r="Q53" t="str">
            <v>الدرجة 7</v>
          </cell>
          <cell r="R53" t="str">
            <v>Class VIP</v>
          </cell>
          <cell r="S53" t="str">
            <v/>
          </cell>
          <cell r="T53" t="str">
            <v/>
          </cell>
          <cell r="U53" t="str">
            <v>عمليات الفروع</v>
          </cell>
          <cell r="V53" t="str">
            <v>الفروع</v>
          </cell>
          <cell r="W53" t="str">
            <v>Head Quarter</v>
          </cell>
          <cell r="X53" t="str">
            <v xml:space="preserve">المقر الرئيسي </v>
          </cell>
          <cell r="Y53">
            <v>45120</v>
          </cell>
          <cell r="Z53">
            <v>2.93</v>
          </cell>
          <cell r="AA53">
            <v>1070</v>
          </cell>
          <cell r="AB53" t="str">
            <v>نشط</v>
          </cell>
          <cell r="AC53" t="str">
            <v>100140</v>
          </cell>
          <cell r="AD53" t="str">
            <v>Majed Alfaraj</v>
          </cell>
          <cell r="AE53" t="str">
            <v>موظف</v>
          </cell>
          <cell r="AF53">
            <v>46215</v>
          </cell>
          <cell r="AG53">
            <v>46215</v>
          </cell>
          <cell r="AH53" t="str">
            <v>المحاصيل والمراعي</v>
          </cell>
          <cell r="AI53" t="str">
            <v>بكالوريوس</v>
          </cell>
          <cell r="AJ53">
            <v>6</v>
          </cell>
          <cell r="AK53">
            <v>5</v>
          </cell>
          <cell r="AL53">
            <v>1</v>
          </cell>
          <cell r="AM53">
            <v>0</v>
          </cell>
          <cell r="AN53">
            <v>2</v>
          </cell>
          <cell r="AO53" t="str">
            <v>عمليات الفروع</v>
          </cell>
          <cell r="AP53" t="str">
            <v>Arab National Bank</v>
          </cell>
          <cell r="AQ53" t="str">
            <v>SA2430400108006627850012</v>
          </cell>
          <cell r="AR53">
            <v>27895.857599999999</v>
          </cell>
          <cell r="AS53">
            <v>27895.858</v>
          </cell>
          <cell r="AT53">
            <v>2789.5859999999998</v>
          </cell>
          <cell r="AU53">
            <v>6973.9639999999999</v>
          </cell>
          <cell r="AV53">
            <v>500</v>
          </cell>
        </row>
        <row r="54">
          <cell r="A54">
            <v>100064</v>
          </cell>
          <cell r="B54" t="str">
            <v>1061412134</v>
          </cell>
          <cell r="C54" t="str">
            <v>السيدة</v>
          </cell>
          <cell r="D54" t="str">
            <v>Manal Mohammed Degeather Aldughaither</v>
          </cell>
          <cell r="E54" t="str">
            <v>منال محمد دغيثر الدغيثر</v>
          </cell>
          <cell r="F54" t="str">
            <v>Female</v>
          </cell>
          <cell r="G54" t="str">
            <v/>
          </cell>
          <cell r="H54">
            <v>31035</v>
          </cell>
          <cell r="I54">
            <v>41</v>
          </cell>
          <cell r="J54">
            <v>15155</v>
          </cell>
          <cell r="K54" t="str">
            <v>Manal.Aldughaither@agriserv.sa</v>
          </cell>
          <cell r="L54" t="str">
            <v>0581943280</v>
          </cell>
          <cell r="M54" t="str">
            <v/>
          </cell>
          <cell r="N54" t="str">
            <v>المملكة العربية السعودية</v>
          </cell>
          <cell r="O54" t="str">
            <v>50000437</v>
          </cell>
          <cell r="P54" t="str">
            <v>مدير العقود</v>
          </cell>
          <cell r="Q54" t="str">
            <v>الدرجة 6</v>
          </cell>
          <cell r="R54" t="str">
            <v/>
          </cell>
          <cell r="S54" t="str">
            <v/>
          </cell>
          <cell r="T54" t="str">
            <v>إدارة العقود</v>
          </cell>
          <cell r="U54" t="str">
            <v>المشتريات</v>
          </cell>
          <cell r="V54" t="str">
            <v>الخدمات المشتركة</v>
          </cell>
          <cell r="W54" t="str">
            <v>Al Riyadh</v>
          </cell>
          <cell r="X54" t="str">
            <v xml:space="preserve">المقر الرئيسي </v>
          </cell>
          <cell r="Y54">
            <v>45139</v>
          </cell>
          <cell r="Z54">
            <v>2.88</v>
          </cell>
          <cell r="AA54">
            <v>1051</v>
          </cell>
          <cell r="AB54" t="str">
            <v>غير نشط</v>
          </cell>
          <cell r="AC54" t="str">
            <v>100009</v>
          </cell>
          <cell r="AD54" t="str">
            <v>Abdullah AlOthman</v>
          </cell>
          <cell r="AE54" t="str">
            <v>موظف</v>
          </cell>
          <cell r="AF54">
            <v>45316</v>
          </cell>
          <cell r="AG54" t="str">
            <v/>
          </cell>
          <cell r="AH54" t="str">
            <v>إدارة الأعمال</v>
          </cell>
          <cell r="AI54" t="str">
            <v>بكالوريوس</v>
          </cell>
          <cell r="AJ54">
            <v>5</v>
          </cell>
          <cell r="AK54">
            <v>3</v>
          </cell>
          <cell r="AL54">
            <v>1</v>
          </cell>
          <cell r="AM54">
            <v>1</v>
          </cell>
          <cell r="AN54" t="str">
            <v/>
          </cell>
          <cell r="AO54" t="str">
            <v>Legal Affairs Department</v>
          </cell>
          <cell r="AP54" t="str">
            <v>Inma Bank</v>
          </cell>
          <cell r="AQ54" t="str">
            <v>SA8905000068202202180000</v>
          </cell>
          <cell r="AR54">
            <v>13630</v>
          </cell>
          <cell r="AS54">
            <v>13630</v>
          </cell>
          <cell r="AT54">
            <v>1363</v>
          </cell>
          <cell r="AU54">
            <v>3407.5</v>
          </cell>
          <cell r="AV54">
            <v>500</v>
          </cell>
        </row>
        <row r="55">
          <cell r="A55">
            <v>100065</v>
          </cell>
          <cell r="B55" t="str">
            <v>1066853373</v>
          </cell>
          <cell r="C55" t="str">
            <v>السيد</v>
          </cell>
          <cell r="D55" t="str">
            <v>Ibrahim Abdullah Mohammed Alresheedi</v>
          </cell>
          <cell r="E55" t="str">
            <v>إبراهيم عبدالله محمد الرشيدي</v>
          </cell>
          <cell r="F55" t="str">
            <v>Male</v>
          </cell>
          <cell r="G55" t="str">
            <v>متزوج</v>
          </cell>
          <cell r="H55">
            <v>32890</v>
          </cell>
          <cell r="I55">
            <v>36</v>
          </cell>
          <cell r="J55">
            <v>13300</v>
          </cell>
          <cell r="K55" t="str">
            <v>Ibrahim.Alresheedi@agriserv.sa</v>
          </cell>
          <cell r="L55" t="str">
            <v>0583997871</v>
          </cell>
          <cell r="M55" t="str">
            <v>2401</v>
          </cell>
          <cell r="N55" t="str">
            <v>المملكة العربية السعودية</v>
          </cell>
          <cell r="O55" t="str">
            <v>50001560</v>
          </cell>
          <cell r="P55" t="str">
            <v>مدير، الإيرادات</v>
          </cell>
          <cell r="Q55" t="str">
            <v>الدرجة 6</v>
          </cell>
          <cell r="R55" t="str">
            <v>Class VIP</v>
          </cell>
          <cell r="S55" t="str">
            <v>الموازنة</v>
          </cell>
          <cell r="T55" t="str">
            <v>التخطيط والأداء المالي</v>
          </cell>
          <cell r="U55" t="str">
            <v>الحسابات</v>
          </cell>
          <cell r="V55" t="str">
            <v>المالية</v>
          </cell>
          <cell r="W55" t="str">
            <v>Head Quarter</v>
          </cell>
          <cell r="X55" t="str">
            <v xml:space="preserve">المقر الرئيسي </v>
          </cell>
          <cell r="Y55">
            <v>45140</v>
          </cell>
          <cell r="Z55">
            <v>2.87</v>
          </cell>
          <cell r="AA55">
            <v>1050</v>
          </cell>
          <cell r="AB55" t="str">
            <v>نشط</v>
          </cell>
          <cell r="AC55" t="str">
            <v>100189</v>
          </cell>
          <cell r="AD55" t="str">
            <v>Abdullah Bin Nawman</v>
          </cell>
          <cell r="AE55" t="str">
            <v>موظف</v>
          </cell>
          <cell r="AF55" t="str">
            <v/>
          </cell>
          <cell r="AG55">
            <v>46235</v>
          </cell>
          <cell r="AH55" t="str">
            <v>المحاسبة</v>
          </cell>
          <cell r="AI55" t="str">
            <v>بكالوريوس</v>
          </cell>
          <cell r="AJ55">
            <v>6</v>
          </cell>
          <cell r="AK55">
            <v>4</v>
          </cell>
          <cell r="AL55">
            <v>1</v>
          </cell>
          <cell r="AM55">
            <v>1</v>
          </cell>
          <cell r="AN55" t="str">
            <v/>
          </cell>
          <cell r="AO55" t="str">
            <v>الحسابات</v>
          </cell>
          <cell r="AP55" t="str">
            <v>Al Rajhi Bank</v>
          </cell>
          <cell r="AQ55" t="str">
            <v>SA6580000495608010013516</v>
          </cell>
          <cell r="AR55">
            <v>14654.764800000001</v>
          </cell>
          <cell r="AS55">
            <v>14654.764999999999</v>
          </cell>
          <cell r="AT55">
            <v>1465.4760000000001</v>
          </cell>
          <cell r="AU55">
            <v>3663.6909999999998</v>
          </cell>
          <cell r="AV55">
            <v>500</v>
          </cell>
        </row>
        <row r="56">
          <cell r="A56">
            <v>100066</v>
          </cell>
          <cell r="B56" t="str">
            <v>1122053562</v>
          </cell>
          <cell r="C56" t="str">
            <v>السيد</v>
          </cell>
          <cell r="D56" t="str">
            <v>Faris Abdullah Mohammed Alolayqi</v>
          </cell>
          <cell r="E56" t="str">
            <v>فارس عبدالله محمد العليقي</v>
          </cell>
          <cell r="F56" t="str">
            <v>Male</v>
          </cell>
          <cell r="G56" t="str">
            <v>أعزب</v>
          </cell>
          <cell r="H56">
            <v>36166</v>
          </cell>
          <cell r="I56">
            <v>27</v>
          </cell>
          <cell r="J56">
            <v>10024</v>
          </cell>
          <cell r="K56" t="str">
            <v>FARIS.ALOLAYQI@agriserv.sa</v>
          </cell>
          <cell r="L56" t="str">
            <v>0509410165</v>
          </cell>
          <cell r="M56" t="str">
            <v>3305</v>
          </cell>
          <cell r="N56" t="str">
            <v>المملكة العربية السعودية</v>
          </cell>
          <cell r="O56" t="str">
            <v>50001561</v>
          </cell>
          <cell r="P56" t="str">
            <v>أخصائي أول، الأذونات الزراعية</v>
          </cell>
          <cell r="Q56" t="str">
            <v>الدرجة ٥</v>
          </cell>
          <cell r="R56" t="str">
            <v>Class A</v>
          </cell>
          <cell r="S56" t="str">
            <v/>
          </cell>
          <cell r="T56" t="str">
            <v>الاذونات</v>
          </cell>
          <cell r="U56" t="str">
            <v>الاذونات وخدمات المحاجر</v>
          </cell>
          <cell r="V56" t="str">
            <v>العمليات</v>
          </cell>
          <cell r="W56" t="str">
            <v>Al Riyadh</v>
          </cell>
          <cell r="X56" t="str">
            <v xml:space="preserve">المقر الرئيسي </v>
          </cell>
          <cell r="Y56">
            <v>45146</v>
          </cell>
          <cell r="Z56">
            <v>2.86</v>
          </cell>
          <cell r="AA56">
            <v>1044</v>
          </cell>
          <cell r="AB56" t="str">
            <v>نشط</v>
          </cell>
          <cell r="AC56" t="str">
            <v>100135</v>
          </cell>
          <cell r="AD56" t="str">
            <v>Abdulrahman Alzahrani</v>
          </cell>
          <cell r="AE56" t="str">
            <v>موظف</v>
          </cell>
          <cell r="AF56" t="str">
            <v/>
          </cell>
          <cell r="AG56">
            <v>46241</v>
          </cell>
          <cell r="AH56" t="str">
            <v>طب بيطري</v>
          </cell>
          <cell r="AI56" t="str">
            <v>بكالوريوس</v>
          </cell>
          <cell r="AJ56">
            <v>1</v>
          </cell>
          <cell r="AK56">
            <v>0</v>
          </cell>
          <cell r="AL56">
            <v>0</v>
          </cell>
          <cell r="AM56">
            <v>1</v>
          </cell>
          <cell r="AN56" t="str">
            <v/>
          </cell>
          <cell r="AO56" t="str">
            <v>الاذونات وخدمات المحاجر</v>
          </cell>
          <cell r="AP56" t="str">
            <v>Al Rajhi Bank</v>
          </cell>
          <cell r="AQ56" t="str">
            <v>SA2680000493608010665770</v>
          </cell>
          <cell r="AR56">
            <v>11375.594999999999</v>
          </cell>
          <cell r="AS56">
            <v>11375.594999999999</v>
          </cell>
          <cell r="AT56">
            <v>1137.56</v>
          </cell>
          <cell r="AU56">
            <v>2843.8989999999999</v>
          </cell>
          <cell r="AV56" t="str">
            <v/>
          </cell>
        </row>
        <row r="57">
          <cell r="A57">
            <v>100067</v>
          </cell>
          <cell r="B57" t="str">
            <v>1078598552</v>
          </cell>
          <cell r="C57" t="str">
            <v>السيد</v>
          </cell>
          <cell r="D57" t="str">
            <v>Moath Abdulrhaman null Almqbel</v>
          </cell>
          <cell r="E57" t="str">
            <v>معاذ عبدالرحمن مقبل المقبل</v>
          </cell>
          <cell r="F57" t="str">
            <v>Male</v>
          </cell>
          <cell r="G57" t="str">
            <v>متزوج</v>
          </cell>
          <cell r="H57">
            <v>32929</v>
          </cell>
          <cell r="I57">
            <v>36</v>
          </cell>
          <cell r="J57">
            <v>13261</v>
          </cell>
          <cell r="K57" t="str">
            <v>Moath.Almqbel@agriserv.sa</v>
          </cell>
          <cell r="L57" t="str">
            <v>0530074488</v>
          </cell>
          <cell r="M57" t="str">
            <v>2200</v>
          </cell>
          <cell r="N57" t="str">
            <v>المملكة العربية السعودية</v>
          </cell>
          <cell r="O57" t="str">
            <v>50001329</v>
          </cell>
          <cell r="P57" t="str">
            <v>مدير عام إدارة تقنية المعلومات</v>
          </cell>
          <cell r="Q57" t="str">
            <v>الدرجة 9</v>
          </cell>
          <cell r="R57" t="str">
            <v>Class VVIP</v>
          </cell>
          <cell r="S57" t="str">
            <v/>
          </cell>
          <cell r="T57" t="str">
            <v>استراتيجية تقنية المعلومات</v>
          </cell>
          <cell r="U57" t="str">
            <v>تقنية المعلومات</v>
          </cell>
          <cell r="V57" t="str">
            <v>الخدمات المشتركة</v>
          </cell>
          <cell r="W57" t="str">
            <v>Al Riyadh</v>
          </cell>
          <cell r="X57" t="str">
            <v xml:space="preserve">المقر الرئيسي </v>
          </cell>
          <cell r="Y57">
            <v>45151</v>
          </cell>
          <cell r="Z57">
            <v>2.84</v>
          </cell>
          <cell r="AA57">
            <v>1039</v>
          </cell>
          <cell r="AB57" t="str">
            <v>نشط</v>
          </cell>
          <cell r="AC57" t="str">
            <v>100009</v>
          </cell>
          <cell r="AD57" t="str">
            <v>Abdullah AlOthman</v>
          </cell>
          <cell r="AE57" t="str">
            <v>موظف</v>
          </cell>
          <cell r="AF57" t="str">
            <v/>
          </cell>
          <cell r="AG57">
            <v>46246</v>
          </cell>
          <cell r="AH57" t="str">
            <v>نظم المعلومات الإدارية</v>
          </cell>
          <cell r="AI57" t="str">
            <v>ماجستير</v>
          </cell>
          <cell r="AJ57">
            <v>5</v>
          </cell>
          <cell r="AK57">
            <v>2</v>
          </cell>
          <cell r="AL57">
            <v>1</v>
          </cell>
          <cell r="AM57">
            <v>2</v>
          </cell>
          <cell r="AN57">
            <v>1</v>
          </cell>
          <cell r="AO57" t="str">
            <v>التحول الرقمي وتقنية المعلومات</v>
          </cell>
          <cell r="AP57" t="str">
            <v>Riyad Bank</v>
          </cell>
          <cell r="AQ57" t="str">
            <v>SA5120000002863406659940</v>
          </cell>
          <cell r="AR57">
            <v>55288.688000000002</v>
          </cell>
          <cell r="AS57">
            <v>55288.688000000002</v>
          </cell>
          <cell r="AT57">
            <v>3500</v>
          </cell>
          <cell r="AU57">
            <v>13822.172</v>
          </cell>
          <cell r="AV57">
            <v>800</v>
          </cell>
        </row>
        <row r="58">
          <cell r="A58">
            <v>100068</v>
          </cell>
          <cell r="B58" t="str">
            <v>1040705111</v>
          </cell>
          <cell r="C58" t="str">
            <v>السيد</v>
          </cell>
          <cell r="D58" t="str">
            <v>Yahya Saleh Ali Halawi</v>
          </cell>
          <cell r="E58" t="str">
            <v>يحيى صالح علي حلوي</v>
          </cell>
          <cell r="F58" t="str">
            <v>Male</v>
          </cell>
          <cell r="G58" t="str">
            <v>متزوج</v>
          </cell>
          <cell r="H58">
            <v>29268</v>
          </cell>
          <cell r="I58">
            <v>46</v>
          </cell>
          <cell r="J58">
            <v>16922</v>
          </cell>
          <cell r="K58" t="str">
            <v>Yahya.Halawi@Agriserv.sa</v>
          </cell>
          <cell r="L58" t="str">
            <v>0566991300</v>
          </cell>
          <cell r="M58" t="str">
            <v>2402</v>
          </cell>
          <cell r="N58" t="str">
            <v>المملكة العربية السعودية</v>
          </cell>
          <cell r="O58" t="str">
            <v>50001555</v>
          </cell>
          <cell r="P58" t="str">
            <v>مدير، المدفوعات</v>
          </cell>
          <cell r="Q58" t="str">
            <v>الدرجة 6</v>
          </cell>
          <cell r="R58" t="str">
            <v>Class VIP</v>
          </cell>
          <cell r="S58" t="str">
            <v>المقبوضات</v>
          </cell>
          <cell r="T58" t="str">
            <v>الحسابات</v>
          </cell>
          <cell r="U58" t="str">
            <v>الحسابات</v>
          </cell>
          <cell r="V58" t="str">
            <v>المالية</v>
          </cell>
          <cell r="W58" t="str">
            <v>Al Riyadh</v>
          </cell>
          <cell r="X58" t="str">
            <v xml:space="preserve">المقر الرئيسي </v>
          </cell>
          <cell r="Y58">
            <v>45151</v>
          </cell>
          <cell r="Z58">
            <v>2.84</v>
          </cell>
          <cell r="AA58">
            <v>1039</v>
          </cell>
          <cell r="AB58" t="str">
            <v>نشط</v>
          </cell>
          <cell r="AC58" t="str">
            <v>100189</v>
          </cell>
          <cell r="AD58" t="str">
            <v>Abdullah Bin Nawman</v>
          </cell>
          <cell r="AE58" t="str">
            <v>موظف</v>
          </cell>
          <cell r="AF58" t="str">
            <v/>
          </cell>
          <cell r="AG58">
            <v>46246</v>
          </cell>
          <cell r="AH58" t="str">
            <v>إدارة الأعمال</v>
          </cell>
          <cell r="AI58" t="str">
            <v>بكالوريوس</v>
          </cell>
          <cell r="AJ58">
            <v>6</v>
          </cell>
          <cell r="AK58">
            <v>4</v>
          </cell>
          <cell r="AL58">
            <v>1</v>
          </cell>
          <cell r="AM58">
            <v>1</v>
          </cell>
          <cell r="AN58" t="str">
            <v/>
          </cell>
          <cell r="AO58" t="str">
            <v>الحسابات</v>
          </cell>
          <cell r="AP58" t="str">
            <v>Riyad Bank</v>
          </cell>
          <cell r="AQ58" t="str">
            <v>SA0820000001510257949941</v>
          </cell>
          <cell r="AR58">
            <v>19699.554</v>
          </cell>
          <cell r="AS58">
            <v>19699.554</v>
          </cell>
          <cell r="AT58">
            <v>1969.9549999999999</v>
          </cell>
          <cell r="AU58">
            <v>4924.8879999999999</v>
          </cell>
          <cell r="AV58">
            <v>500</v>
          </cell>
        </row>
        <row r="59">
          <cell r="A59">
            <v>100069</v>
          </cell>
          <cell r="B59" t="str">
            <v>1068517497</v>
          </cell>
          <cell r="C59" t="str">
            <v>السيد</v>
          </cell>
          <cell r="D59" t="str">
            <v>Asim Saleh Nasser Alnasser</v>
          </cell>
          <cell r="E59" t="str">
            <v>عاصم صالح ناصر الناصر</v>
          </cell>
          <cell r="F59" t="str">
            <v>Male</v>
          </cell>
          <cell r="G59" t="str">
            <v>أعزب</v>
          </cell>
          <cell r="H59">
            <v>32996</v>
          </cell>
          <cell r="I59">
            <v>36</v>
          </cell>
          <cell r="J59">
            <v>13194</v>
          </cell>
          <cell r="K59" t="str">
            <v>Asim.Alnasser@Agriserv.sa</v>
          </cell>
          <cell r="L59" t="str">
            <v>0556140748</v>
          </cell>
          <cell r="M59" t="str">
            <v>2303</v>
          </cell>
          <cell r="N59" t="str">
            <v>المملكة العربية السعودية</v>
          </cell>
          <cell r="O59" t="str">
            <v>50000308</v>
          </cell>
          <cell r="P59" t="str">
            <v>أخصائي ,تطوير محتوى</v>
          </cell>
          <cell r="Q59" t="str">
            <v>الدرجة 4</v>
          </cell>
          <cell r="R59" t="str">
            <v>Class A</v>
          </cell>
          <cell r="S59" t="str">
            <v/>
          </cell>
          <cell r="T59" t="str">
            <v>التواصل الداخلي</v>
          </cell>
          <cell r="U59" t="str">
            <v>التواصل المؤسسي</v>
          </cell>
          <cell r="V59" t="str">
            <v>الخدمات المشتركة</v>
          </cell>
          <cell r="W59" t="str">
            <v>Al Riyadh</v>
          </cell>
          <cell r="X59" t="str">
            <v xml:space="preserve">المقر الرئيسي </v>
          </cell>
          <cell r="Y59">
            <v>45151</v>
          </cell>
          <cell r="Z59">
            <v>2.84</v>
          </cell>
          <cell r="AA59">
            <v>1039</v>
          </cell>
          <cell r="AB59" t="str">
            <v>غير نشط</v>
          </cell>
          <cell r="AC59" t="str">
            <v>100024</v>
          </cell>
          <cell r="AD59" t="str">
            <v>Maha AlShreif</v>
          </cell>
          <cell r="AE59" t="str">
            <v>موظف</v>
          </cell>
          <cell r="AF59">
            <v>45881</v>
          </cell>
          <cell r="AG59">
            <v>45881</v>
          </cell>
          <cell r="AH59" t="str">
            <v>لغات وترجمة</v>
          </cell>
          <cell r="AI59" t="str">
            <v>بكالوريوس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 t="str">
            <v/>
          </cell>
          <cell r="AO59" t="str">
            <v>Communication</v>
          </cell>
          <cell r="AP59" t="str">
            <v>Inma Bank</v>
          </cell>
          <cell r="AQ59" t="str">
            <v>SA5205000068203243245000</v>
          </cell>
          <cell r="AR59">
            <v>11667</v>
          </cell>
          <cell r="AS59">
            <v>11667</v>
          </cell>
          <cell r="AT59">
            <v>1166.7</v>
          </cell>
          <cell r="AU59">
            <v>2916.75</v>
          </cell>
          <cell r="AV59">
            <v>300</v>
          </cell>
        </row>
        <row r="60">
          <cell r="A60">
            <v>100071</v>
          </cell>
          <cell r="B60" t="str">
            <v>1078850839</v>
          </cell>
          <cell r="C60" t="str">
            <v>السيد</v>
          </cell>
          <cell r="D60" t="str">
            <v>ABDULRAHMAN ABDULLAH ABDULRAHMAN ALJUNAYDIL</v>
          </cell>
          <cell r="E60" t="str">
            <v>عبدالرحمن عبدالله عبدالرحمن الجنيدل</v>
          </cell>
          <cell r="F60" t="str">
            <v>Male</v>
          </cell>
          <cell r="G60" t="str">
            <v>أعزب</v>
          </cell>
          <cell r="H60">
            <v>33414</v>
          </cell>
          <cell r="I60">
            <v>35</v>
          </cell>
          <cell r="J60">
            <v>12776</v>
          </cell>
          <cell r="K60" t="str">
            <v>Abdulrahman.ALjunaydil@agriserv.sa</v>
          </cell>
          <cell r="L60" t="str">
            <v>0566621946</v>
          </cell>
          <cell r="M60" t="str">
            <v>5500</v>
          </cell>
          <cell r="N60" t="str">
            <v>المملكة العربية السعودية</v>
          </cell>
          <cell r="O60" t="str">
            <v>50001562</v>
          </cell>
          <cell r="P60" t="str">
            <v>مدير إدارة، خدمة العملاء</v>
          </cell>
          <cell r="Q60" t="str">
            <v>8 الدرجة</v>
          </cell>
          <cell r="R60" t="str">
            <v>Class VIP</v>
          </cell>
          <cell r="S60" t="str">
            <v/>
          </cell>
          <cell r="T60" t="str">
            <v>خدمة العملاء</v>
          </cell>
          <cell r="U60" t="str">
            <v>خدمة العملاء</v>
          </cell>
          <cell r="V60" t="str">
            <v>الفروع</v>
          </cell>
          <cell r="W60" t="str">
            <v>Head Quarter</v>
          </cell>
          <cell r="X60" t="str">
            <v xml:space="preserve">المقر الرئيسي </v>
          </cell>
          <cell r="Y60">
            <v>45165</v>
          </cell>
          <cell r="Z60">
            <v>2.81</v>
          </cell>
          <cell r="AA60">
            <v>1025</v>
          </cell>
          <cell r="AB60" t="str">
            <v>نشط</v>
          </cell>
          <cell r="AC60" t="str">
            <v>100140</v>
          </cell>
          <cell r="AD60" t="str">
            <v>Majed Alfaraj</v>
          </cell>
          <cell r="AE60" t="str">
            <v>موظف</v>
          </cell>
          <cell r="AF60" t="str">
            <v/>
          </cell>
          <cell r="AG60">
            <v>46260</v>
          </cell>
          <cell r="AH60" t="str">
            <v>إدارة الأعمال</v>
          </cell>
          <cell r="AI60" t="str">
            <v>بكالوريوس</v>
          </cell>
          <cell r="AJ60">
            <v>1</v>
          </cell>
          <cell r="AK60">
            <v>0</v>
          </cell>
          <cell r="AL60">
            <v>0</v>
          </cell>
          <cell r="AM60">
            <v>1</v>
          </cell>
          <cell r="AN60" t="str">
            <v/>
          </cell>
          <cell r="AO60" t="str">
            <v>خدمة العملاء</v>
          </cell>
          <cell r="AP60" t="str">
            <v>Saudi Awwal Bank</v>
          </cell>
          <cell r="AQ60" t="str">
            <v>SA4045000000162281133001</v>
          </cell>
          <cell r="AR60">
            <v>19968.936000000002</v>
          </cell>
          <cell r="AS60">
            <v>19968.936000000002</v>
          </cell>
          <cell r="AT60">
            <v>1996.894</v>
          </cell>
          <cell r="AU60">
            <v>4992.2340000000004</v>
          </cell>
          <cell r="AV60">
            <v>500</v>
          </cell>
        </row>
        <row r="61">
          <cell r="A61">
            <v>100072</v>
          </cell>
          <cell r="B61" t="str">
            <v>1108495969</v>
          </cell>
          <cell r="C61" t="str">
            <v>السيدة</v>
          </cell>
          <cell r="D61" t="str">
            <v>BUSHRA FAHAD Mohammed ALDAOUD</v>
          </cell>
          <cell r="E61" t="str">
            <v>بشرى فهد محمد الداود</v>
          </cell>
          <cell r="F61" t="str">
            <v>Female</v>
          </cell>
          <cell r="G61" t="str">
            <v>متزوج</v>
          </cell>
          <cell r="H61">
            <v>33605</v>
          </cell>
          <cell r="I61">
            <v>34</v>
          </cell>
          <cell r="J61">
            <v>12585</v>
          </cell>
          <cell r="K61" t="str">
            <v>Bushra.aldaoud@agriserv.sa</v>
          </cell>
          <cell r="L61" t="str">
            <v>0554143388</v>
          </cell>
          <cell r="M61" t="str">
            <v/>
          </cell>
          <cell r="N61" t="str">
            <v>المملكة العربية السعودية</v>
          </cell>
          <cell r="O61" t="str">
            <v>50000667</v>
          </cell>
          <cell r="P61" t="str">
            <v>مدير ادارة، التخطيط الاستراتيجي</v>
          </cell>
          <cell r="Q61" t="str">
            <v>8 الدرجة</v>
          </cell>
          <cell r="R61" t="str">
            <v/>
          </cell>
          <cell r="S61" t="str">
            <v/>
          </cell>
          <cell r="T61" t="str">
            <v/>
          </cell>
          <cell r="U61" t="str">
            <v>الاستراتجية</v>
          </cell>
          <cell r="V61" t="str">
            <v>التخطيط والاستراتجية</v>
          </cell>
          <cell r="W61" t="str">
            <v>Al Riyadh</v>
          </cell>
          <cell r="X61" t="str">
            <v xml:space="preserve">المقر الرئيسي </v>
          </cell>
          <cell r="Y61">
            <v>45186</v>
          </cell>
          <cell r="Z61">
            <v>2.75</v>
          </cell>
          <cell r="AA61">
            <v>1004</v>
          </cell>
          <cell r="AB61" t="str">
            <v>غير نشط</v>
          </cell>
          <cell r="AC61" t="str">
            <v>100043</v>
          </cell>
          <cell r="AD61" t="str">
            <v>Raed Alluhaidan</v>
          </cell>
          <cell r="AE61" t="str">
            <v>موظف</v>
          </cell>
          <cell r="AF61">
            <v>45275</v>
          </cell>
          <cell r="AG61" t="str">
            <v/>
          </cell>
          <cell r="AH61" t="str">
            <v>إدارة الأعمال</v>
          </cell>
          <cell r="AI61" t="str">
            <v>ماجستير</v>
          </cell>
          <cell r="AJ61">
            <v>3</v>
          </cell>
          <cell r="AK61">
            <v>0</v>
          </cell>
          <cell r="AL61">
            <v>1</v>
          </cell>
          <cell r="AM61">
            <v>2</v>
          </cell>
          <cell r="AN61" t="str">
            <v/>
          </cell>
          <cell r="AO61" t="str">
            <v>Strategy and Policy</v>
          </cell>
          <cell r="AP61" t="str">
            <v>Saudi National Bank</v>
          </cell>
          <cell r="AQ61" t="str">
            <v>SA9610000026300000288605</v>
          </cell>
          <cell r="AR61">
            <v>44000</v>
          </cell>
          <cell r="AS61">
            <v>44000</v>
          </cell>
          <cell r="AT61">
            <v>3000</v>
          </cell>
          <cell r="AU61">
            <v>11000</v>
          </cell>
          <cell r="AV61">
            <v>500</v>
          </cell>
        </row>
        <row r="62">
          <cell r="A62">
            <v>100073</v>
          </cell>
          <cell r="B62" t="str">
            <v>1110508817</v>
          </cell>
          <cell r="C62" t="str">
            <v>الآنسة</v>
          </cell>
          <cell r="D62" t="str">
            <v>Ghadi Saad B Alotaibi</v>
          </cell>
          <cell r="E62" t="str">
            <v>غدي سعد براك العتيبي</v>
          </cell>
          <cell r="F62" t="str">
            <v>Female</v>
          </cell>
          <cell r="G62" t="str">
            <v>أعزب</v>
          </cell>
          <cell r="H62">
            <v>36920</v>
          </cell>
          <cell r="I62">
            <v>25</v>
          </cell>
          <cell r="J62">
            <v>9270</v>
          </cell>
          <cell r="K62" t="str">
            <v>Ghadi.alotaibi@agriserv.sa</v>
          </cell>
          <cell r="L62" t="str">
            <v>0536265219</v>
          </cell>
          <cell r="M62" t="str">
            <v>8201</v>
          </cell>
          <cell r="N62" t="str">
            <v>المملكة العربية السعودية</v>
          </cell>
          <cell r="O62" t="str">
            <v>50001300</v>
          </cell>
          <cell r="P62" t="str">
            <v>اخصائي مراجعة داخلية</v>
          </cell>
          <cell r="Q62" t="str">
            <v>الدرجة 4</v>
          </cell>
          <cell r="R62" t="str">
            <v>Class A</v>
          </cell>
          <cell r="S62" t="str">
            <v/>
          </cell>
          <cell r="T62" t="str">
            <v/>
          </cell>
          <cell r="U62" t="str">
            <v>المراجعة الداخلية المؤسسية</v>
          </cell>
          <cell r="V62" t="str">
            <v>المراجعة الداخلية</v>
          </cell>
          <cell r="W62" t="str">
            <v>Al Riyadh</v>
          </cell>
          <cell r="X62" t="str">
            <v xml:space="preserve">المقر الرئيسي </v>
          </cell>
          <cell r="Y62">
            <v>45208</v>
          </cell>
          <cell r="Z62">
            <v>2.69</v>
          </cell>
          <cell r="AA62">
            <v>982</v>
          </cell>
          <cell r="AB62" t="str">
            <v>نشط</v>
          </cell>
          <cell r="AC62" t="str">
            <v>100044</v>
          </cell>
          <cell r="AD62" t="str">
            <v>Essam Alnasayyn</v>
          </cell>
          <cell r="AE62" t="str">
            <v>موظف</v>
          </cell>
          <cell r="AF62" t="str">
            <v/>
          </cell>
          <cell r="AG62">
            <v>46303</v>
          </cell>
          <cell r="AH62" t="str">
            <v>المحاسبة</v>
          </cell>
          <cell r="AI62" t="str">
            <v>بكالوريوس</v>
          </cell>
          <cell r="AJ62">
            <v>2</v>
          </cell>
          <cell r="AK62">
            <v>0</v>
          </cell>
          <cell r="AL62">
            <v>0</v>
          </cell>
          <cell r="AM62">
            <v>2</v>
          </cell>
          <cell r="AN62" t="str">
            <v/>
          </cell>
          <cell r="AO62" t="str">
            <v>المراجعة الداخلية</v>
          </cell>
          <cell r="AP62" t="str">
            <v>Al Rajhi Bank</v>
          </cell>
          <cell r="AQ62" t="str">
            <v>SA9180000495608016004253</v>
          </cell>
          <cell r="AR62">
            <v>9182.7839999999997</v>
          </cell>
          <cell r="AS62">
            <v>9182.7839999999997</v>
          </cell>
          <cell r="AT62">
            <v>918.27800000000002</v>
          </cell>
          <cell r="AU62">
            <v>2295.6959999999999</v>
          </cell>
          <cell r="AV62" t="str">
            <v/>
          </cell>
        </row>
        <row r="63">
          <cell r="A63">
            <v>100074</v>
          </cell>
          <cell r="B63" t="str">
            <v>1113401325</v>
          </cell>
          <cell r="C63" t="str">
            <v>السيد</v>
          </cell>
          <cell r="D63" t="str">
            <v>Hesham Ali A Alharbi</v>
          </cell>
          <cell r="E63" t="str">
            <v>هشام علي عتيق الحربي</v>
          </cell>
          <cell r="F63" t="str">
            <v>Male</v>
          </cell>
          <cell r="G63" t="str">
            <v>أعزب</v>
          </cell>
          <cell r="H63">
            <v>37152</v>
          </cell>
          <cell r="I63">
            <v>25</v>
          </cell>
          <cell r="J63">
            <v>9038</v>
          </cell>
          <cell r="K63" t="str">
            <v>Hesham.Alharbi@agriserv.sa</v>
          </cell>
          <cell r="L63" t="str">
            <v>0543040014</v>
          </cell>
          <cell r="M63" t="str">
            <v>2104</v>
          </cell>
          <cell r="N63" t="str">
            <v>المملكة العربية السعودية</v>
          </cell>
          <cell r="O63" t="str">
            <v>50000328</v>
          </cell>
          <cell r="P63" t="str">
            <v>أخصائي إدارة العقود</v>
          </cell>
          <cell r="Q63" t="str">
            <v>الدرجة 4</v>
          </cell>
          <cell r="R63" t="str">
            <v>Class A</v>
          </cell>
          <cell r="S63" t="str">
            <v/>
          </cell>
          <cell r="T63" t="str">
            <v>إدارة العقود</v>
          </cell>
          <cell r="U63" t="str">
            <v>المشتريات</v>
          </cell>
          <cell r="V63" t="str">
            <v>الخدمات المشتركة</v>
          </cell>
          <cell r="W63" t="str">
            <v>Al Riyadh</v>
          </cell>
          <cell r="X63" t="str">
            <v xml:space="preserve">المقر الرئيسي </v>
          </cell>
          <cell r="Y63">
            <v>45210</v>
          </cell>
          <cell r="Z63">
            <v>2.68</v>
          </cell>
          <cell r="AA63">
            <v>980</v>
          </cell>
          <cell r="AB63" t="str">
            <v>نشط</v>
          </cell>
          <cell r="AC63" t="str">
            <v>100112</v>
          </cell>
          <cell r="AD63" t="str">
            <v>Mohammed Albader</v>
          </cell>
          <cell r="AE63" t="str">
            <v>موظف</v>
          </cell>
          <cell r="AF63" t="str">
            <v/>
          </cell>
          <cell r="AG63">
            <v>46305</v>
          </cell>
          <cell r="AH63" t="str">
            <v>قانون</v>
          </cell>
          <cell r="AI63" t="str">
            <v>بكالوريوس</v>
          </cell>
          <cell r="AJ63">
            <v>2</v>
          </cell>
          <cell r="AK63">
            <v>0</v>
          </cell>
          <cell r="AL63">
            <v>0</v>
          </cell>
          <cell r="AM63">
            <v>2</v>
          </cell>
          <cell r="AN63" t="str">
            <v/>
          </cell>
          <cell r="AO63" t="str">
            <v>المشتريات</v>
          </cell>
          <cell r="AP63" t="str">
            <v>Al Rajhi Bank</v>
          </cell>
          <cell r="AQ63" t="str">
            <v>SA6580000553608016001530</v>
          </cell>
          <cell r="AR63">
            <v>9271.08</v>
          </cell>
          <cell r="AS63">
            <v>9271.08</v>
          </cell>
          <cell r="AT63">
            <v>927.10799999999995</v>
          </cell>
          <cell r="AU63">
            <v>2317.77</v>
          </cell>
          <cell r="AV63" t="str">
            <v/>
          </cell>
        </row>
        <row r="64">
          <cell r="A64">
            <v>100075</v>
          </cell>
          <cell r="B64" t="str">
            <v>1108918879</v>
          </cell>
          <cell r="C64" t="str">
            <v>السيد</v>
          </cell>
          <cell r="D64" t="str">
            <v>Saad Ali Saad AlAdraj</v>
          </cell>
          <cell r="E64" t="str">
            <v>سعد علي سعد ال عدرج</v>
          </cell>
          <cell r="F64" t="str">
            <v>Male</v>
          </cell>
          <cell r="G64" t="str">
            <v>متزوج</v>
          </cell>
          <cell r="H64">
            <v>36755</v>
          </cell>
          <cell r="I64">
            <v>26</v>
          </cell>
          <cell r="J64">
            <v>9435</v>
          </cell>
          <cell r="K64" t="str">
            <v>Saad.AlAdraj@agriserv.sa</v>
          </cell>
          <cell r="L64" t="str">
            <v>0507758033</v>
          </cell>
          <cell r="M64" t="str">
            <v>2201</v>
          </cell>
          <cell r="N64" t="str">
            <v>المملكة العربية السعودية</v>
          </cell>
          <cell r="O64" t="str">
            <v>50000382</v>
          </cell>
          <cell r="P64" t="str">
            <v>أخصائي الدعم الفني</v>
          </cell>
          <cell r="Q64" t="str">
            <v>الدرجة 4</v>
          </cell>
          <cell r="R64" t="str">
            <v>Class A</v>
          </cell>
          <cell r="S64" t="str">
            <v/>
          </cell>
          <cell r="T64" t="str">
            <v>الإبتكار والتطوير لتقنية المعلومات</v>
          </cell>
          <cell r="U64" t="str">
            <v>تقنية المعلومات</v>
          </cell>
          <cell r="V64" t="str">
            <v>الخدمات المشتركة</v>
          </cell>
          <cell r="W64" t="str">
            <v>Al Riyadh</v>
          </cell>
          <cell r="X64" t="str">
            <v xml:space="preserve">المقر الرئيسي </v>
          </cell>
          <cell r="Y64">
            <v>45221</v>
          </cell>
          <cell r="Z64">
            <v>2.65</v>
          </cell>
          <cell r="AA64">
            <v>969</v>
          </cell>
          <cell r="AB64" t="str">
            <v>نشط</v>
          </cell>
          <cell r="AC64" t="str">
            <v>100067</v>
          </cell>
          <cell r="AD64" t="str">
            <v>Moath Almqbel</v>
          </cell>
          <cell r="AE64" t="str">
            <v>موظف</v>
          </cell>
          <cell r="AF64">
            <v>46191</v>
          </cell>
          <cell r="AG64">
            <v>46316</v>
          </cell>
          <cell r="AH64" t="str">
            <v>هندسة حاسب وشبكات</v>
          </cell>
          <cell r="AI64" t="str">
            <v>بكالوريوس</v>
          </cell>
          <cell r="AJ64">
            <v>3</v>
          </cell>
          <cell r="AK64">
            <v>0</v>
          </cell>
          <cell r="AL64">
            <v>1</v>
          </cell>
          <cell r="AM64">
            <v>2</v>
          </cell>
          <cell r="AN64" t="str">
            <v/>
          </cell>
          <cell r="AO64" t="str">
            <v>التحول الرقمي وتقنية المعلومات</v>
          </cell>
          <cell r="AP64" t="str">
            <v>Saudi National Bank</v>
          </cell>
          <cell r="AQ64" t="str">
            <v>SA4110000045100000199609</v>
          </cell>
          <cell r="AR64">
            <v>10145.407999999999</v>
          </cell>
          <cell r="AS64">
            <v>10145.407999999999</v>
          </cell>
          <cell r="AT64">
            <v>1014.5410000000001</v>
          </cell>
          <cell r="AU64">
            <v>2536.3519999999999</v>
          </cell>
          <cell r="AV64" t="str">
            <v/>
          </cell>
        </row>
        <row r="65">
          <cell r="A65">
            <v>100076</v>
          </cell>
          <cell r="B65" t="str">
            <v>1067407914</v>
          </cell>
          <cell r="C65" t="str">
            <v>السيد</v>
          </cell>
          <cell r="D65" t="str">
            <v>NASSER Abdulaziz NASSER AlNASSER</v>
          </cell>
          <cell r="E65" t="str">
            <v>ناصر عبدالعزيز ناصر الناصر</v>
          </cell>
          <cell r="F65" t="str">
            <v>Male</v>
          </cell>
          <cell r="G65" t="str">
            <v>متزوج</v>
          </cell>
          <cell r="H65">
            <v>33108</v>
          </cell>
          <cell r="I65">
            <v>36</v>
          </cell>
          <cell r="J65">
            <v>13082</v>
          </cell>
          <cell r="K65" t="str">
            <v>nasser.alnasser@agriserv.sa</v>
          </cell>
          <cell r="L65" t="str">
            <v>0555454650</v>
          </cell>
          <cell r="M65" t="str">
            <v>2506</v>
          </cell>
          <cell r="N65" t="str">
            <v>المملكة العربية السعودية</v>
          </cell>
          <cell r="O65" t="str">
            <v>50000358</v>
          </cell>
          <cell r="P65" t="str">
            <v>مدير إدارة التوظيف</v>
          </cell>
          <cell r="Q65" t="str">
            <v>8 الدرجة</v>
          </cell>
          <cell r="R65" t="str">
            <v>Class VIP</v>
          </cell>
          <cell r="S65" t="str">
            <v>الموارد البشرية</v>
          </cell>
          <cell r="T65" t="str">
            <v>خدمات الموظفين</v>
          </cell>
          <cell r="U65" t="str">
            <v>الموارد البشرية</v>
          </cell>
          <cell r="V65" t="str">
            <v>الخدمات المشتركة</v>
          </cell>
          <cell r="W65" t="str">
            <v>Al Riyadh</v>
          </cell>
          <cell r="X65" t="str">
            <v xml:space="preserve">المقر الرئيسي </v>
          </cell>
          <cell r="Y65">
            <v>45221</v>
          </cell>
          <cell r="Z65">
            <v>2.65</v>
          </cell>
          <cell r="AA65">
            <v>969</v>
          </cell>
          <cell r="AB65" t="str">
            <v>غير نشط</v>
          </cell>
          <cell r="AC65" t="str">
            <v>100004</v>
          </cell>
          <cell r="AD65" t="str">
            <v>Abdulmajeed Alzannan</v>
          </cell>
          <cell r="AE65" t="str">
            <v>موظف</v>
          </cell>
          <cell r="AF65">
            <v>45677</v>
          </cell>
          <cell r="AG65">
            <v>45951</v>
          </cell>
          <cell r="AH65" t="str">
            <v>نظم المعلومات الإدارية</v>
          </cell>
          <cell r="AI65" t="str">
            <v>بكالوريوس</v>
          </cell>
          <cell r="AJ65">
            <v>1</v>
          </cell>
          <cell r="AK65">
            <v>0</v>
          </cell>
          <cell r="AL65">
            <v>1</v>
          </cell>
          <cell r="AM65">
            <v>0</v>
          </cell>
          <cell r="AN65" t="str">
            <v/>
          </cell>
          <cell r="AO65" t="str">
            <v>Human Resources</v>
          </cell>
          <cell r="AP65" t="str">
            <v>Saudi Investment Bank</v>
          </cell>
          <cell r="AQ65" t="str">
            <v>SA4965000000319697570001</v>
          </cell>
          <cell r="AR65">
            <v>39801</v>
          </cell>
          <cell r="AS65">
            <v>39801</v>
          </cell>
          <cell r="AT65">
            <v>3000</v>
          </cell>
          <cell r="AU65">
            <v>9950.25</v>
          </cell>
          <cell r="AV65">
            <v>500</v>
          </cell>
        </row>
        <row r="66">
          <cell r="A66">
            <v>100077</v>
          </cell>
          <cell r="B66" t="str">
            <v>1073413211</v>
          </cell>
          <cell r="C66" t="str">
            <v>السيد</v>
          </cell>
          <cell r="D66" t="str">
            <v>Farhan FAHAD Farhan Aldawsari</v>
          </cell>
          <cell r="E66" t="str">
            <v>فرحان فهد فرحان الدوسري</v>
          </cell>
          <cell r="F66" t="str">
            <v>Male</v>
          </cell>
          <cell r="G66" t="str">
            <v/>
          </cell>
          <cell r="H66">
            <v>33867</v>
          </cell>
          <cell r="I66">
            <v>34</v>
          </cell>
          <cell r="J66">
            <v>12323</v>
          </cell>
          <cell r="K66" t="str">
            <v>farhan.aldossari@agriserv.sa</v>
          </cell>
          <cell r="L66" t="str">
            <v>0540455855</v>
          </cell>
          <cell r="M66" t="str">
            <v/>
          </cell>
          <cell r="N66" t="str">
            <v>المملكة العربية السعودية</v>
          </cell>
          <cell r="O66" t="str">
            <v>50001301</v>
          </cell>
          <cell r="P66" t="str">
            <v>مدير تنفيذي تطوير الاعمال</v>
          </cell>
          <cell r="Q66" t="str">
            <v>8 الدرجة</v>
          </cell>
          <cell r="R66" t="str">
            <v/>
          </cell>
          <cell r="S66" t="str">
            <v/>
          </cell>
          <cell r="T66" t="str">
            <v/>
          </cell>
          <cell r="U66" t="str">
            <v>مدير العطاءات والعروض</v>
          </cell>
          <cell r="V66" t="str">
            <v>إدارة تطوير الاعمال</v>
          </cell>
          <cell r="W66" t="str">
            <v>Al Riyadh</v>
          </cell>
          <cell r="X66" t="str">
            <v xml:space="preserve">المقر الرئيسي </v>
          </cell>
          <cell r="Y66">
            <v>45221</v>
          </cell>
          <cell r="Z66">
            <v>2.65</v>
          </cell>
          <cell r="AA66">
            <v>969</v>
          </cell>
          <cell r="AB66" t="str">
            <v>غير نشط</v>
          </cell>
          <cell r="AC66" t="str">
            <v>100046</v>
          </cell>
          <cell r="AD66" t="str">
            <v>Ali AlQahtani</v>
          </cell>
          <cell r="AE66" t="str">
            <v>موظف</v>
          </cell>
          <cell r="AF66">
            <v>45309</v>
          </cell>
          <cell r="AG66" t="str">
            <v/>
          </cell>
          <cell r="AH66" t="str">
            <v>نظم المعلومات الإدارية</v>
          </cell>
          <cell r="AI66" t="str">
            <v>بكالوريوس</v>
          </cell>
          <cell r="AJ66">
            <v>2</v>
          </cell>
          <cell r="AK66">
            <v>0</v>
          </cell>
          <cell r="AL66">
            <v>0</v>
          </cell>
          <cell r="AM66">
            <v>2</v>
          </cell>
          <cell r="AN66" t="str">
            <v/>
          </cell>
          <cell r="AO66" t="str">
            <v>Business Development &amp; Commercial Invest</v>
          </cell>
          <cell r="AP66" t="str">
            <v>Al Rajhi Bank</v>
          </cell>
          <cell r="AQ66" t="str">
            <v>SA7880000668608010021122</v>
          </cell>
          <cell r="AR66">
            <v>46755</v>
          </cell>
          <cell r="AS66">
            <v>46755</v>
          </cell>
          <cell r="AT66">
            <v>3000</v>
          </cell>
          <cell r="AU66">
            <v>11688.75</v>
          </cell>
          <cell r="AV66">
            <v>500</v>
          </cell>
        </row>
        <row r="67">
          <cell r="A67">
            <v>100078</v>
          </cell>
          <cell r="B67" t="str">
            <v>1088493943</v>
          </cell>
          <cell r="C67" t="str">
            <v>السيد</v>
          </cell>
          <cell r="D67" t="str">
            <v>IBRAHEE SAAD Abdulrahman ALDOHIM</v>
          </cell>
          <cell r="E67" t="str">
            <v>ابراهيم سعد عبدالرحمن الدحيم</v>
          </cell>
          <cell r="F67" t="str">
            <v>Male</v>
          </cell>
          <cell r="G67" t="str">
            <v>متزوج</v>
          </cell>
          <cell r="H67">
            <v>33602</v>
          </cell>
          <cell r="I67">
            <v>34</v>
          </cell>
          <cell r="J67">
            <v>12588</v>
          </cell>
          <cell r="K67" t="str">
            <v>IBRAHEEM.ALDOHIM@agriserv.sa</v>
          </cell>
          <cell r="L67" t="str">
            <v>0543061231</v>
          </cell>
          <cell r="M67" t="str">
            <v>3500</v>
          </cell>
          <cell r="N67" t="str">
            <v>المملكة العربية السعودية</v>
          </cell>
          <cell r="O67" t="str">
            <v>50000641</v>
          </cell>
          <cell r="P67" t="str">
            <v>مدير إدارة، المنتجات</v>
          </cell>
          <cell r="Q67" t="str">
            <v>8 الدرجة</v>
          </cell>
          <cell r="R67" t="str">
            <v>Class VIP</v>
          </cell>
          <cell r="S67" t="str">
            <v/>
          </cell>
          <cell r="T67" t="str">
            <v/>
          </cell>
          <cell r="U67" t="str">
            <v>تطوير الأعمال</v>
          </cell>
          <cell r="V67" t="str">
            <v>الخدمات التجارية</v>
          </cell>
          <cell r="W67" t="str">
            <v>Al Riyadh</v>
          </cell>
          <cell r="X67" t="str">
            <v xml:space="preserve">المقر الرئيسي </v>
          </cell>
          <cell r="Y67">
            <v>45215</v>
          </cell>
          <cell r="Z67">
            <v>2.67</v>
          </cell>
          <cell r="AA67">
            <v>975</v>
          </cell>
          <cell r="AB67" t="str">
            <v>نشط</v>
          </cell>
          <cell r="AC67" t="str">
            <v>100154</v>
          </cell>
          <cell r="AD67" t="str">
            <v>Turki Alkhalaif</v>
          </cell>
          <cell r="AE67" t="str">
            <v>موظف</v>
          </cell>
          <cell r="AF67" t="str">
            <v/>
          </cell>
          <cell r="AG67">
            <v>46310</v>
          </cell>
          <cell r="AH67" t="str">
            <v>إدارة الأعمال</v>
          </cell>
          <cell r="AI67" t="str">
            <v>ماجستير</v>
          </cell>
          <cell r="AJ67">
            <v>3</v>
          </cell>
          <cell r="AK67">
            <v>0</v>
          </cell>
          <cell r="AL67">
            <v>1</v>
          </cell>
          <cell r="AM67">
            <v>2</v>
          </cell>
          <cell r="AN67" t="str">
            <v/>
          </cell>
          <cell r="AO67" t="str">
            <v>تطوير الأعمال</v>
          </cell>
          <cell r="AP67" t="str">
            <v>Al Rajhi Bank</v>
          </cell>
          <cell r="AQ67" t="str">
            <v>SA4980000475608010599229</v>
          </cell>
          <cell r="AR67">
            <v>32967.167999999998</v>
          </cell>
          <cell r="AS67">
            <v>32967.167999999998</v>
          </cell>
          <cell r="AT67">
            <v>3000</v>
          </cell>
          <cell r="AU67">
            <v>8241.7919999999995</v>
          </cell>
          <cell r="AV67">
            <v>500</v>
          </cell>
        </row>
        <row r="68">
          <cell r="A68">
            <v>100079</v>
          </cell>
          <cell r="B68" t="str">
            <v>1086605951</v>
          </cell>
          <cell r="C68" t="str">
            <v>السيد</v>
          </cell>
          <cell r="D68" t="str">
            <v>ABDULAZIZ SULAIMAN ABDULAZIZ ALSUNAYDI</v>
          </cell>
          <cell r="E68" t="str">
            <v>عبدالعزيز سليمان عبدالعزيز السنيدي</v>
          </cell>
          <cell r="F68" t="str">
            <v>Male</v>
          </cell>
          <cell r="G68" t="str">
            <v>أعزب</v>
          </cell>
          <cell r="H68">
            <v>34230</v>
          </cell>
          <cell r="I68">
            <v>33</v>
          </cell>
          <cell r="J68">
            <v>11960</v>
          </cell>
          <cell r="K68" t="str">
            <v>Abdulaziz.Alsunaydi@agriserv.sa</v>
          </cell>
          <cell r="L68" t="str">
            <v>0551417240</v>
          </cell>
          <cell r="M68" t="str">
            <v>7103</v>
          </cell>
          <cell r="N68" t="str">
            <v>المملكة العربية السعودية</v>
          </cell>
          <cell r="O68" t="str">
            <v>50000677</v>
          </cell>
          <cell r="P68" t="str">
            <v>مدير البرامج الرئيسية</v>
          </cell>
          <cell r="Q68" t="str">
            <v>الدرجة 7</v>
          </cell>
          <cell r="R68" t="str">
            <v>Class VIP</v>
          </cell>
          <cell r="S68" t="str">
            <v/>
          </cell>
          <cell r="T68" t="str">
            <v>إدارة البرامج الرئيسية</v>
          </cell>
          <cell r="U68" t="str">
            <v>مراقبة الأداء</v>
          </cell>
          <cell r="V68" t="str">
            <v>إدارة المشاريع</v>
          </cell>
          <cell r="W68" t="str">
            <v>Al Riyadh</v>
          </cell>
          <cell r="X68" t="str">
            <v xml:space="preserve">المقر الرئيسي </v>
          </cell>
          <cell r="Y68">
            <v>45228</v>
          </cell>
          <cell r="Z68">
            <v>2.63</v>
          </cell>
          <cell r="AA68">
            <v>962</v>
          </cell>
          <cell r="AB68" t="str">
            <v>نشط</v>
          </cell>
          <cell r="AC68" t="str">
            <v>100049</v>
          </cell>
          <cell r="AD68" t="str">
            <v>Sultan Bingarid</v>
          </cell>
          <cell r="AE68" t="str">
            <v>موظف</v>
          </cell>
          <cell r="AF68" t="str">
            <v/>
          </cell>
          <cell r="AG68">
            <v>46323</v>
          </cell>
          <cell r="AH68" t="str">
            <v>هندسة صناعية</v>
          </cell>
          <cell r="AI68" t="str">
            <v>بكالوريوس</v>
          </cell>
          <cell r="AJ68">
            <v>2</v>
          </cell>
          <cell r="AK68">
            <v>0</v>
          </cell>
          <cell r="AL68">
            <v>0</v>
          </cell>
          <cell r="AM68">
            <v>2</v>
          </cell>
          <cell r="AN68" t="str">
            <v/>
          </cell>
          <cell r="AO68" t="str">
            <v>مكتب إدارة المشاريع</v>
          </cell>
          <cell r="AP68" t="str">
            <v>Saudi Awwal Bank</v>
          </cell>
          <cell r="AQ68" t="str">
            <v>SA0645000000822156808001</v>
          </cell>
          <cell r="AR68">
            <v>29645.000700000001</v>
          </cell>
          <cell r="AS68">
            <v>29645.001</v>
          </cell>
          <cell r="AT68">
            <v>2964.5</v>
          </cell>
          <cell r="AU68">
            <v>7411.25</v>
          </cell>
          <cell r="AV68">
            <v>500</v>
          </cell>
        </row>
        <row r="69">
          <cell r="A69">
            <v>100080</v>
          </cell>
          <cell r="B69" t="str">
            <v>1085594701</v>
          </cell>
          <cell r="C69" t="str">
            <v>السيد</v>
          </cell>
          <cell r="D69" t="str">
            <v>ANAS FAHAD A ALBASSAM</v>
          </cell>
          <cell r="E69" t="str">
            <v>انس فهد عبدالعزيز البسام</v>
          </cell>
          <cell r="F69" t="str">
            <v>Male</v>
          </cell>
          <cell r="G69" t="str">
            <v/>
          </cell>
          <cell r="H69">
            <v>34267</v>
          </cell>
          <cell r="I69">
            <v>33</v>
          </cell>
          <cell r="J69">
            <v>11923</v>
          </cell>
          <cell r="K69" t="str">
            <v>Anas.Albassam@agriserv.sa</v>
          </cell>
          <cell r="L69" t="str">
            <v>0565200660</v>
          </cell>
          <cell r="M69" t="str">
            <v/>
          </cell>
          <cell r="N69" t="str">
            <v>المملكة العربية السعودية</v>
          </cell>
          <cell r="O69" t="str">
            <v>50000321</v>
          </cell>
          <cell r="P69" t="str">
            <v>مدير المنتجات</v>
          </cell>
          <cell r="Q69" t="str">
            <v>8 الدرجة</v>
          </cell>
          <cell r="R69" t="str">
            <v/>
          </cell>
          <cell r="S69" t="str">
            <v/>
          </cell>
          <cell r="T69" t="str">
            <v/>
          </cell>
          <cell r="U69" t="str">
            <v>تطوير الأعمال و الاستثمارات التجارية</v>
          </cell>
          <cell r="V69" t="str">
            <v>إدارة تطوير الاعمال</v>
          </cell>
          <cell r="W69" t="str">
            <v>Al Riyadh</v>
          </cell>
          <cell r="X69" t="str">
            <v xml:space="preserve">المقر الرئيسي </v>
          </cell>
          <cell r="Y69">
            <v>45238</v>
          </cell>
          <cell r="Z69">
            <v>2.61</v>
          </cell>
          <cell r="AA69">
            <v>952</v>
          </cell>
          <cell r="AB69" t="str">
            <v>غير نشط</v>
          </cell>
          <cell r="AC69" t="str">
            <v>100046</v>
          </cell>
          <cell r="AD69" t="str">
            <v>Ali AlQahtani</v>
          </cell>
          <cell r="AE69" t="str">
            <v>موظف</v>
          </cell>
          <cell r="AF69">
            <v>45291</v>
          </cell>
          <cell r="AG69" t="str">
            <v/>
          </cell>
          <cell r="AH69" t="str">
            <v>إدارة الأعمال</v>
          </cell>
          <cell r="AI69" t="str">
            <v>ماجستير</v>
          </cell>
          <cell r="AJ69">
            <v>4</v>
          </cell>
          <cell r="AK69">
            <v>1</v>
          </cell>
          <cell r="AL69">
            <v>1</v>
          </cell>
          <cell r="AM69">
            <v>2</v>
          </cell>
          <cell r="AN69" t="str">
            <v/>
          </cell>
          <cell r="AO69" t="str">
            <v>Business Development &amp; Commercial Invest</v>
          </cell>
          <cell r="AP69" t="str">
            <v>Arab National Bank</v>
          </cell>
          <cell r="AQ69" t="str">
            <v>SA6030400108087482550019</v>
          </cell>
          <cell r="AR69">
            <v>42080</v>
          </cell>
          <cell r="AS69">
            <v>42080</v>
          </cell>
          <cell r="AT69">
            <v>3000</v>
          </cell>
          <cell r="AU69">
            <v>10520</v>
          </cell>
          <cell r="AV69">
            <v>500</v>
          </cell>
        </row>
        <row r="70">
          <cell r="A70">
            <v>100081</v>
          </cell>
          <cell r="B70" t="str">
            <v>1109228104</v>
          </cell>
          <cell r="C70" t="str">
            <v>الآنسة</v>
          </cell>
          <cell r="D70" t="str">
            <v>BUSHRA MANSUR Ibrahim ALBAIJANI</v>
          </cell>
          <cell r="E70" t="str">
            <v>بشرى منصور ابراهيم البعيجاني</v>
          </cell>
          <cell r="F70" t="str">
            <v>Female</v>
          </cell>
          <cell r="G70" t="str">
            <v>أعزب</v>
          </cell>
          <cell r="H70">
            <v>36803</v>
          </cell>
          <cell r="I70">
            <v>26</v>
          </cell>
          <cell r="J70">
            <v>9387</v>
          </cell>
          <cell r="K70" t="str">
            <v>Bushra.AlBaijani@agriserv.sa</v>
          </cell>
          <cell r="L70" t="str">
            <v>0564755643</v>
          </cell>
          <cell r="M70" t="str">
            <v>6201</v>
          </cell>
          <cell r="N70" t="str">
            <v>المملكة العربية السعودية</v>
          </cell>
          <cell r="O70" t="str">
            <v>50001302</v>
          </cell>
          <cell r="P70" t="str">
            <v>اخصائي تطوير الاعمال</v>
          </cell>
          <cell r="Q70" t="str">
            <v>الدرجة 4</v>
          </cell>
          <cell r="R70" t="str">
            <v>Class A</v>
          </cell>
          <cell r="S70" t="str">
            <v/>
          </cell>
          <cell r="T70" t="str">
            <v/>
          </cell>
          <cell r="U70" t="str">
            <v>الأصول والاستثمار</v>
          </cell>
          <cell r="V70" t="str">
            <v>الخدمات التجارية</v>
          </cell>
          <cell r="W70" t="str">
            <v>Head Quarter</v>
          </cell>
          <cell r="X70" t="str">
            <v xml:space="preserve">المقر الرئيسي </v>
          </cell>
          <cell r="Y70">
            <v>45231</v>
          </cell>
          <cell r="Z70">
            <v>2.63</v>
          </cell>
          <cell r="AA70">
            <v>959</v>
          </cell>
          <cell r="AB70" t="str">
            <v>نشط</v>
          </cell>
          <cell r="AC70" t="str">
            <v>100095</v>
          </cell>
          <cell r="AD70" t="str">
            <v>Hamad AlSaif</v>
          </cell>
          <cell r="AE70" t="str">
            <v>موظف</v>
          </cell>
          <cell r="AF70" t="str">
            <v/>
          </cell>
          <cell r="AG70">
            <v>46326</v>
          </cell>
          <cell r="AH70" t="str">
            <v>تمويل واستثمار</v>
          </cell>
          <cell r="AI70" t="str">
            <v>بكالوريوس</v>
          </cell>
          <cell r="AJ70">
            <v>1</v>
          </cell>
          <cell r="AK70">
            <v>0</v>
          </cell>
          <cell r="AL70">
            <v>0</v>
          </cell>
          <cell r="AM70">
            <v>1</v>
          </cell>
          <cell r="AN70" t="str">
            <v/>
          </cell>
          <cell r="AO70" t="str">
            <v>الأصول والاستثمار</v>
          </cell>
          <cell r="AP70" t="str">
            <v>Al Rajhi Bank</v>
          </cell>
          <cell r="AQ70" t="str">
            <v>SA2680000296608010627993</v>
          </cell>
          <cell r="AR70">
            <v>9271.08</v>
          </cell>
          <cell r="AS70">
            <v>9271.08</v>
          </cell>
          <cell r="AT70">
            <v>927.10799999999995</v>
          </cell>
          <cell r="AU70">
            <v>2317.77</v>
          </cell>
          <cell r="AV70" t="str">
            <v/>
          </cell>
        </row>
        <row r="71">
          <cell r="A71">
            <v>100082</v>
          </cell>
          <cell r="B71" t="str">
            <v>1078234372</v>
          </cell>
          <cell r="C71" t="str">
            <v>السيد</v>
          </cell>
          <cell r="D71" t="str">
            <v>Mohammed Abdulaziz Abdulraheem Alkhawtani</v>
          </cell>
          <cell r="E71" t="str">
            <v>محمد عبدالعزيز عبدالرحيم الخوتاني</v>
          </cell>
          <cell r="F71" t="str">
            <v>Male</v>
          </cell>
          <cell r="G71" t="str">
            <v>أعزب</v>
          </cell>
          <cell r="H71">
            <v>34011</v>
          </cell>
          <cell r="I71">
            <v>33</v>
          </cell>
          <cell r="J71">
            <v>12179</v>
          </cell>
          <cell r="K71" t="str">
            <v>mohammed.alkhawtani@agriserv.sa</v>
          </cell>
          <cell r="L71" t="str">
            <v>0557900544</v>
          </cell>
          <cell r="M71" t="str">
            <v>7301</v>
          </cell>
          <cell r="N71" t="str">
            <v>المملكة العربية السعودية</v>
          </cell>
          <cell r="O71" t="str">
            <v>50001303</v>
          </cell>
          <cell r="P71" t="str">
            <v>اخصائي السياسات والاجراءات</v>
          </cell>
          <cell r="Q71" t="str">
            <v>الدرجة ٥</v>
          </cell>
          <cell r="R71" t="str">
            <v>Class VIP</v>
          </cell>
          <cell r="S71" t="str">
            <v/>
          </cell>
          <cell r="T71" t="str">
            <v>الحوكمة والمخاطر والالتزام</v>
          </cell>
          <cell r="U71" t="str">
            <v>السياسات والإجراءات</v>
          </cell>
          <cell r="V71" t="str">
            <v>السياسات والإجراءات</v>
          </cell>
          <cell r="W71" t="str">
            <v>Head Quarter</v>
          </cell>
          <cell r="X71" t="str">
            <v xml:space="preserve">المقر الرئيسي </v>
          </cell>
          <cell r="Y71">
            <v>45246</v>
          </cell>
          <cell r="Z71">
            <v>2.58</v>
          </cell>
          <cell r="AA71">
            <v>944</v>
          </cell>
          <cell r="AB71" t="str">
            <v>نشط</v>
          </cell>
          <cell r="AC71" t="str">
            <v>100048</v>
          </cell>
          <cell r="AD71" t="str">
            <v>Mohammed Alothman</v>
          </cell>
          <cell r="AE71" t="str">
            <v>موظف</v>
          </cell>
          <cell r="AF71" t="str">
            <v/>
          </cell>
          <cell r="AG71">
            <v>46341</v>
          </cell>
          <cell r="AH71" t="str">
            <v>هندسة البرمجيات</v>
          </cell>
          <cell r="AI71" t="str">
            <v>بكالوريوس</v>
          </cell>
          <cell r="AJ71">
            <v>1</v>
          </cell>
          <cell r="AK71">
            <v>0</v>
          </cell>
          <cell r="AL71">
            <v>0</v>
          </cell>
          <cell r="AM71">
            <v>1</v>
          </cell>
          <cell r="AN71" t="str">
            <v/>
          </cell>
          <cell r="AO71" t="str">
            <v>الحوكمة والمخاطر والالتزام</v>
          </cell>
          <cell r="AP71" t="str">
            <v>Al Rajhi Bank</v>
          </cell>
          <cell r="AQ71" t="str">
            <v>SA3380000497608010864973</v>
          </cell>
          <cell r="AR71">
            <v>16502.304</v>
          </cell>
          <cell r="AS71">
            <v>16502.304</v>
          </cell>
          <cell r="AT71">
            <v>1650.23</v>
          </cell>
          <cell r="AU71">
            <v>4125.576</v>
          </cell>
          <cell r="AV71">
            <v>300</v>
          </cell>
        </row>
        <row r="72">
          <cell r="A72">
            <v>100083</v>
          </cell>
          <cell r="B72" t="str">
            <v>1088121544</v>
          </cell>
          <cell r="C72" t="str">
            <v>السيد</v>
          </cell>
          <cell r="D72" t="str">
            <v>Abdullah Abdulrhman Abdullah Alqudairy</v>
          </cell>
          <cell r="E72" t="str">
            <v>عبدالله عبدالرحمن عبدالله القديري</v>
          </cell>
          <cell r="F72" t="str">
            <v>Male</v>
          </cell>
          <cell r="G72" t="str">
            <v>أعزب</v>
          </cell>
          <cell r="H72">
            <v>34983</v>
          </cell>
          <cell r="I72">
            <v>31</v>
          </cell>
          <cell r="J72">
            <v>11207</v>
          </cell>
          <cell r="K72" t="str">
            <v>abdullah.alqudiry@agriserv.sa</v>
          </cell>
          <cell r="L72" t="str">
            <v>0583748999</v>
          </cell>
          <cell r="M72" t="str">
            <v>2203</v>
          </cell>
          <cell r="N72" t="str">
            <v>المملكة العربية السعودية</v>
          </cell>
          <cell r="O72" t="str">
            <v>50000377</v>
          </cell>
          <cell r="P72" t="str">
            <v>أخصائي  أول تطوير التطبيقات</v>
          </cell>
          <cell r="Q72" t="str">
            <v>الدرجة 7</v>
          </cell>
          <cell r="R72" t="str">
            <v>Class VIP</v>
          </cell>
          <cell r="S72" t="str">
            <v/>
          </cell>
          <cell r="T72" t="str">
            <v>استراتيجية تقنية المعلومات</v>
          </cell>
          <cell r="U72" t="str">
            <v>تقنية المعلومات</v>
          </cell>
          <cell r="V72" t="str">
            <v>الخدمات المشتركة</v>
          </cell>
          <cell r="W72" t="str">
            <v>Head Quarter</v>
          </cell>
          <cell r="X72" t="str">
            <v xml:space="preserve">المقر الرئيسي </v>
          </cell>
          <cell r="Y72">
            <v>45249</v>
          </cell>
          <cell r="Z72">
            <v>2.58</v>
          </cell>
          <cell r="AA72">
            <v>941</v>
          </cell>
          <cell r="AB72" t="str">
            <v>نشط</v>
          </cell>
          <cell r="AC72" t="str">
            <v>100067</v>
          </cell>
          <cell r="AD72" t="str">
            <v>Moath Almqbel</v>
          </cell>
          <cell r="AE72" t="str">
            <v>موظف</v>
          </cell>
          <cell r="AF72" t="str">
            <v/>
          </cell>
          <cell r="AG72">
            <v>46344</v>
          </cell>
          <cell r="AH72" t="str">
            <v>تقنية المعلومات</v>
          </cell>
          <cell r="AI72" t="str">
            <v>بكالوريوس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 t="str">
            <v/>
          </cell>
          <cell r="AO72" t="str">
            <v>التحول الرقمي وتقنية المعلومات</v>
          </cell>
          <cell r="AP72" t="str">
            <v>Saudi National Bank</v>
          </cell>
          <cell r="AQ72" t="str">
            <v>SA5010000011100440524305</v>
          </cell>
          <cell r="AR72">
            <v>27640.89328</v>
          </cell>
          <cell r="AS72">
            <v>27640.893</v>
          </cell>
          <cell r="AT72">
            <v>2764.0889999999999</v>
          </cell>
          <cell r="AU72">
            <v>6910.223</v>
          </cell>
          <cell r="AV72">
            <v>500</v>
          </cell>
        </row>
        <row r="73">
          <cell r="A73">
            <v>100084</v>
          </cell>
          <cell r="B73" t="str">
            <v>1045719950</v>
          </cell>
          <cell r="C73" t="str">
            <v>السيد</v>
          </cell>
          <cell r="D73" t="str">
            <v>Naif Saleh A Alsudais</v>
          </cell>
          <cell r="E73" t="str">
            <v>نايف صالح عبدالعزيز السديس</v>
          </cell>
          <cell r="F73" t="str">
            <v>Male</v>
          </cell>
          <cell r="G73" t="str">
            <v>متزوج</v>
          </cell>
          <cell r="H73">
            <v>30939</v>
          </cell>
          <cell r="I73">
            <v>42</v>
          </cell>
          <cell r="J73">
            <v>15251</v>
          </cell>
          <cell r="K73" t="str">
            <v>Naif.Alsudais@agriserv.sa</v>
          </cell>
          <cell r="L73" t="str">
            <v>0555198232</v>
          </cell>
          <cell r="M73" t="str">
            <v>6200</v>
          </cell>
          <cell r="N73" t="str">
            <v>المملكة العربية السعودية</v>
          </cell>
          <cell r="O73" t="str">
            <v>50000646</v>
          </cell>
          <cell r="P73" t="str">
            <v>مدير عام، الأصول والاستثمار</v>
          </cell>
          <cell r="Q73" t="str">
            <v>الدرجة 9</v>
          </cell>
          <cell r="R73" t="str">
            <v>Class VVIP</v>
          </cell>
          <cell r="S73" t="str">
            <v/>
          </cell>
          <cell r="T73" t="str">
            <v>تنمية الأعمال</v>
          </cell>
          <cell r="U73" t="str">
            <v/>
          </cell>
          <cell r="V73" t="str">
            <v>إدارة الأصول والاستثمار</v>
          </cell>
          <cell r="W73" t="str">
            <v>Al Riyadh</v>
          </cell>
          <cell r="X73" t="str">
            <v xml:space="preserve">المقر الرئيسي </v>
          </cell>
          <cell r="Y73">
            <v>45263</v>
          </cell>
          <cell r="Z73">
            <v>2.54</v>
          </cell>
          <cell r="AA73">
            <v>927</v>
          </cell>
          <cell r="AB73" t="str">
            <v>نشط</v>
          </cell>
          <cell r="AC73" t="str">
            <v>100154</v>
          </cell>
          <cell r="AD73" t="str">
            <v>Turki Alkhalaif</v>
          </cell>
          <cell r="AE73" t="str">
            <v>موظف</v>
          </cell>
          <cell r="AF73" t="str">
            <v/>
          </cell>
          <cell r="AG73">
            <v>46358</v>
          </cell>
          <cell r="AH73" t="str">
            <v>إدارة الأعمال</v>
          </cell>
          <cell r="AI73" t="str">
            <v>ماجستير</v>
          </cell>
          <cell r="AJ73">
            <v>4</v>
          </cell>
          <cell r="AK73">
            <v>2</v>
          </cell>
          <cell r="AL73">
            <v>1</v>
          </cell>
          <cell r="AM73">
            <v>1</v>
          </cell>
          <cell r="AN73" t="str">
            <v/>
          </cell>
          <cell r="AO73" t="str">
            <v>الأصول والاستثمار</v>
          </cell>
          <cell r="AP73" t="str">
            <v>Saudi Awwal Bank</v>
          </cell>
          <cell r="AQ73" t="str">
            <v>SA5145000000819112145001</v>
          </cell>
          <cell r="AR73">
            <v>60518.64</v>
          </cell>
          <cell r="AS73">
            <v>60518.64</v>
          </cell>
          <cell r="AT73">
            <v>3500</v>
          </cell>
          <cell r="AU73">
            <v>15129.66</v>
          </cell>
          <cell r="AV73">
            <v>800</v>
          </cell>
        </row>
        <row r="74">
          <cell r="A74">
            <v>100085</v>
          </cell>
          <cell r="B74" t="str">
            <v>1001838141</v>
          </cell>
          <cell r="C74" t="str">
            <v>السيد</v>
          </cell>
          <cell r="D74" t="str">
            <v>Bandar saleh k ALENEZI</v>
          </cell>
          <cell r="E74" t="str">
            <v>بندر صالح خلف العنزي</v>
          </cell>
          <cell r="F74" t="str">
            <v>Male</v>
          </cell>
          <cell r="G74" t="str">
            <v>متزوج</v>
          </cell>
          <cell r="H74">
            <v>30497</v>
          </cell>
          <cell r="I74">
            <v>43</v>
          </cell>
          <cell r="J74">
            <v>15693</v>
          </cell>
          <cell r="K74" t="str">
            <v>Bandar.Aldahmshi@agriserv.sa</v>
          </cell>
          <cell r="L74" t="str">
            <v>0536622107</v>
          </cell>
          <cell r="M74" t="str">
            <v>6107</v>
          </cell>
          <cell r="N74" t="str">
            <v>المملكة العربية السعودية</v>
          </cell>
          <cell r="O74" t="str">
            <v>50000649</v>
          </cell>
          <cell r="P74" t="str">
            <v>مدير شركاء الاعمال</v>
          </cell>
          <cell r="Q74" t="str">
            <v>الدرجة 7</v>
          </cell>
          <cell r="R74" t="str">
            <v>Class VIP</v>
          </cell>
          <cell r="S74" t="str">
            <v/>
          </cell>
          <cell r="T74" t="str">
            <v/>
          </cell>
          <cell r="U74" t="str">
            <v>تطوير الأعمال</v>
          </cell>
          <cell r="V74" t="str">
            <v>الخدمات التجارية</v>
          </cell>
          <cell r="W74" t="str">
            <v>Head Quarter</v>
          </cell>
          <cell r="X74" t="str">
            <v xml:space="preserve">المقر الرئيسي </v>
          </cell>
          <cell r="Y74">
            <v>45263</v>
          </cell>
          <cell r="Z74">
            <v>2.54</v>
          </cell>
          <cell r="AA74">
            <v>927</v>
          </cell>
          <cell r="AB74" t="str">
            <v>نشط</v>
          </cell>
          <cell r="AC74" t="str">
            <v>100154</v>
          </cell>
          <cell r="AD74" t="str">
            <v>Turki Alkhalaif</v>
          </cell>
          <cell r="AE74" t="str">
            <v>موظف</v>
          </cell>
          <cell r="AF74" t="str">
            <v/>
          </cell>
          <cell r="AG74">
            <v>46358</v>
          </cell>
          <cell r="AH74" t="str">
            <v>إدارة الأعمال</v>
          </cell>
          <cell r="AI74" t="str">
            <v>بكالوريوس</v>
          </cell>
          <cell r="AJ74">
            <v>8</v>
          </cell>
          <cell r="AK74">
            <v>5</v>
          </cell>
          <cell r="AL74">
            <v>1</v>
          </cell>
          <cell r="AM74">
            <v>2</v>
          </cell>
          <cell r="AN74">
            <v>4</v>
          </cell>
          <cell r="AO74" t="str">
            <v>تطوير الأعمال</v>
          </cell>
          <cell r="AP74" t="str">
            <v>Arab National Bank</v>
          </cell>
          <cell r="AQ74" t="str">
            <v>SA6130400108093964720016</v>
          </cell>
          <cell r="AR74">
            <v>31168</v>
          </cell>
          <cell r="AS74">
            <v>31168</v>
          </cell>
          <cell r="AT74">
            <v>3000</v>
          </cell>
          <cell r="AU74">
            <v>7792</v>
          </cell>
          <cell r="AV74">
            <v>500</v>
          </cell>
        </row>
        <row r="75">
          <cell r="A75">
            <v>100086</v>
          </cell>
          <cell r="B75" t="str">
            <v>1067263523</v>
          </cell>
          <cell r="C75" t="str">
            <v>السيد</v>
          </cell>
          <cell r="D75" t="str">
            <v>Sultan abdulaziz R Alharbi</v>
          </cell>
          <cell r="E75" t="str">
            <v>سلطان عبدالعزيز رابح الحربي</v>
          </cell>
          <cell r="F75" t="str">
            <v>Male</v>
          </cell>
          <cell r="G75" t="str">
            <v>أعزب</v>
          </cell>
          <cell r="H75">
            <v>32923</v>
          </cell>
          <cell r="I75">
            <v>36</v>
          </cell>
          <cell r="J75">
            <v>13267</v>
          </cell>
          <cell r="K75" t="str">
            <v>Sultan.Alharbi@agriserv.sa</v>
          </cell>
          <cell r="L75" t="str">
            <v>0537878780</v>
          </cell>
          <cell r="M75" t="str">
            <v/>
          </cell>
          <cell r="N75" t="str">
            <v>المملكة العربية السعودية</v>
          </cell>
          <cell r="O75" t="str">
            <v>50001304</v>
          </cell>
          <cell r="P75" t="str">
            <v>مدير، اذونات استيراد وتصدير</v>
          </cell>
          <cell r="Q75" t="str">
            <v>الدرجة ٥</v>
          </cell>
          <cell r="R75" t="str">
            <v>Class VIP</v>
          </cell>
          <cell r="S75" t="str">
            <v/>
          </cell>
          <cell r="T75" t="str">
            <v>الاذونات</v>
          </cell>
          <cell r="U75" t="str">
            <v>الاذونات وخدمات المحاجر</v>
          </cell>
          <cell r="V75" t="str">
            <v>العمليات</v>
          </cell>
          <cell r="W75" t="str">
            <v>Head Quarter</v>
          </cell>
          <cell r="X75" t="str">
            <v xml:space="preserve">المقر الرئيسي </v>
          </cell>
          <cell r="Y75">
            <v>45263</v>
          </cell>
          <cell r="Z75">
            <v>2.54</v>
          </cell>
          <cell r="AA75">
            <v>927</v>
          </cell>
          <cell r="AB75" t="str">
            <v>غير نشط</v>
          </cell>
          <cell r="AC75" t="str">
            <v>100135</v>
          </cell>
          <cell r="AD75" t="str">
            <v>Abdulrahman Alzahrani</v>
          </cell>
          <cell r="AE75" t="str">
            <v>موظف</v>
          </cell>
          <cell r="AF75">
            <v>45628</v>
          </cell>
          <cell r="AG75">
            <v>45628</v>
          </cell>
          <cell r="AH75" t="str">
            <v>انتاج حيواني</v>
          </cell>
          <cell r="AI75" t="str">
            <v>بكالوريوس</v>
          </cell>
          <cell r="AJ75">
            <v>2</v>
          </cell>
          <cell r="AK75">
            <v>0</v>
          </cell>
          <cell r="AL75">
            <v>0</v>
          </cell>
          <cell r="AM75">
            <v>2</v>
          </cell>
          <cell r="AN75" t="str">
            <v/>
          </cell>
          <cell r="AO75" t="str">
            <v>Operation Department</v>
          </cell>
          <cell r="AP75" t="str">
            <v>Al Rajhi Bank</v>
          </cell>
          <cell r="AQ75" t="str">
            <v>SA2380000589608010458973</v>
          </cell>
          <cell r="AR75">
            <v>8914.5</v>
          </cell>
          <cell r="AS75">
            <v>8914.5</v>
          </cell>
          <cell r="AT75">
            <v>891.45</v>
          </cell>
          <cell r="AU75">
            <v>2228.625</v>
          </cell>
          <cell r="AV75" t="str">
            <v/>
          </cell>
        </row>
        <row r="76">
          <cell r="A76">
            <v>100087</v>
          </cell>
          <cell r="B76" t="str">
            <v>1067859866</v>
          </cell>
          <cell r="C76" t="str">
            <v>السيدة</v>
          </cell>
          <cell r="D76" t="str">
            <v>Deema Saleh a Aldarrab</v>
          </cell>
          <cell r="E76" t="str">
            <v>ديما صالح عبدالرحمن الضراب</v>
          </cell>
          <cell r="F76" t="str">
            <v>Female</v>
          </cell>
          <cell r="G76" t="str">
            <v>متزوج</v>
          </cell>
          <cell r="H76">
            <v>32353</v>
          </cell>
          <cell r="I76">
            <v>38</v>
          </cell>
          <cell r="J76">
            <v>13837</v>
          </cell>
          <cell r="K76" t="str">
            <v>Deema.Aldharrab@agriserv.sa</v>
          </cell>
          <cell r="L76" t="str">
            <v>0505236794</v>
          </cell>
          <cell r="M76" t="str">
            <v>5105</v>
          </cell>
          <cell r="N76" t="str">
            <v>المملكة العربية السعودية</v>
          </cell>
          <cell r="O76" t="str">
            <v>50001305</v>
          </cell>
          <cell r="P76" t="str">
            <v>أخصائي عمليات</v>
          </cell>
          <cell r="Q76" t="str">
            <v>الدرجة ٥</v>
          </cell>
          <cell r="R76" t="str">
            <v>Class VIP</v>
          </cell>
          <cell r="S76" t="str">
            <v/>
          </cell>
          <cell r="T76" t="str">
            <v>عمليات الفروع-المقر الرئيسي</v>
          </cell>
          <cell r="U76" t="str">
            <v>عمليات الفروع</v>
          </cell>
          <cell r="V76" t="str">
            <v>الفروع</v>
          </cell>
          <cell r="W76" t="str">
            <v>Head Quarter</v>
          </cell>
          <cell r="X76" t="str">
            <v xml:space="preserve">المقر الرئيسي </v>
          </cell>
          <cell r="Y76">
            <v>45270</v>
          </cell>
          <cell r="Z76">
            <v>2.52</v>
          </cell>
          <cell r="AA76">
            <v>920</v>
          </cell>
          <cell r="AB76" t="str">
            <v>نشط</v>
          </cell>
          <cell r="AC76" t="str">
            <v>100063</v>
          </cell>
          <cell r="AD76" t="str">
            <v>Hazza Alruwaili</v>
          </cell>
          <cell r="AE76" t="str">
            <v>موظف</v>
          </cell>
          <cell r="AF76" t="str">
            <v/>
          </cell>
          <cell r="AG76">
            <v>46365</v>
          </cell>
          <cell r="AH76" t="str">
            <v>لغات وترجمة</v>
          </cell>
          <cell r="AI76" t="str">
            <v>بكالوريوس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 t="str">
            <v/>
          </cell>
          <cell r="AO76" t="str">
            <v>عمليات الفروع</v>
          </cell>
          <cell r="AP76" t="str">
            <v>Al Rajhi Bank</v>
          </cell>
          <cell r="AQ76" t="str">
            <v>SA6880000487608016045322</v>
          </cell>
          <cell r="AR76">
            <v>13074.71048</v>
          </cell>
          <cell r="AS76">
            <v>13074.71</v>
          </cell>
          <cell r="AT76">
            <v>1307.471</v>
          </cell>
          <cell r="AU76">
            <v>3268.6779999999999</v>
          </cell>
          <cell r="AV76">
            <v>300</v>
          </cell>
        </row>
        <row r="77">
          <cell r="A77">
            <v>100088</v>
          </cell>
          <cell r="B77" t="str">
            <v>1095127138</v>
          </cell>
          <cell r="C77" t="str">
            <v>السيد</v>
          </cell>
          <cell r="D77" t="str">
            <v>AHMED ABDULLAH ABDULRAHMAN ALYOUSEF</v>
          </cell>
          <cell r="E77" t="str">
            <v>احمد عبدالله عبدالرحمن اليوسف</v>
          </cell>
          <cell r="F77" t="str">
            <v>Male</v>
          </cell>
          <cell r="G77" t="str">
            <v>أعزب</v>
          </cell>
          <cell r="H77">
            <v>35233</v>
          </cell>
          <cell r="I77">
            <v>30</v>
          </cell>
          <cell r="J77">
            <v>10957</v>
          </cell>
          <cell r="K77" t="str">
            <v>Ahmed.Alyousef@agriserv.sa</v>
          </cell>
          <cell r="L77" t="str">
            <v>0504178785</v>
          </cell>
          <cell r="M77" t="str">
            <v>6202</v>
          </cell>
          <cell r="N77" t="str">
            <v>المملكة العربية السعودية</v>
          </cell>
          <cell r="O77" t="str">
            <v>50001306</v>
          </cell>
          <cell r="P77" t="str">
            <v>أخصائي عطاءات</v>
          </cell>
          <cell r="Q77" t="str">
            <v>الدرجة ٥</v>
          </cell>
          <cell r="R77" t="str">
            <v>Class VIP</v>
          </cell>
          <cell r="S77" t="str">
            <v/>
          </cell>
          <cell r="T77" t="str">
            <v/>
          </cell>
          <cell r="U77" t="str">
            <v>الأصول والاستثمار</v>
          </cell>
          <cell r="V77" t="str">
            <v>الخدمات التجارية</v>
          </cell>
          <cell r="W77" t="str">
            <v>Head Quarter</v>
          </cell>
          <cell r="X77" t="str">
            <v xml:space="preserve">المقر الرئيسي </v>
          </cell>
          <cell r="Y77">
            <v>45277</v>
          </cell>
          <cell r="Z77">
            <v>2.5</v>
          </cell>
          <cell r="AA77">
            <v>913</v>
          </cell>
          <cell r="AB77" t="str">
            <v>نشط</v>
          </cell>
          <cell r="AC77" t="str">
            <v>100185</v>
          </cell>
          <cell r="AD77" t="str">
            <v>Marwan Alshaded</v>
          </cell>
          <cell r="AE77" t="str">
            <v>موظف</v>
          </cell>
          <cell r="AF77" t="str">
            <v/>
          </cell>
          <cell r="AG77">
            <v>46372</v>
          </cell>
          <cell r="AH77" t="str">
            <v>المحاسبة</v>
          </cell>
          <cell r="AI77" t="str">
            <v>بكالوريوس</v>
          </cell>
          <cell r="AJ77">
            <v>2</v>
          </cell>
          <cell r="AK77">
            <v>0</v>
          </cell>
          <cell r="AL77">
            <v>0</v>
          </cell>
          <cell r="AM77">
            <v>2</v>
          </cell>
          <cell r="AN77" t="str">
            <v/>
          </cell>
          <cell r="AO77" t="str">
            <v>الأصول والاستثمار</v>
          </cell>
          <cell r="AP77" t="str">
            <v>Saudi National Bank</v>
          </cell>
          <cell r="AQ77" t="str">
            <v>SA3010000036000001016808</v>
          </cell>
          <cell r="AR77">
            <v>15169.44</v>
          </cell>
          <cell r="AS77">
            <v>15169.44</v>
          </cell>
          <cell r="AT77">
            <v>1516.944</v>
          </cell>
          <cell r="AU77">
            <v>3792.36</v>
          </cell>
          <cell r="AV77">
            <v>300</v>
          </cell>
        </row>
        <row r="78">
          <cell r="A78">
            <v>100089</v>
          </cell>
          <cell r="B78" t="str">
            <v>1077985735</v>
          </cell>
          <cell r="C78" t="str">
            <v>السيد</v>
          </cell>
          <cell r="D78" t="str">
            <v>Abdullah Saad Abdulaziz Alkharan</v>
          </cell>
          <cell r="E78" t="str">
            <v>عبدالله سعد عبدالعزيز الخرعان</v>
          </cell>
          <cell r="F78" t="str">
            <v>Male</v>
          </cell>
          <cell r="G78" t="str">
            <v>متزوج</v>
          </cell>
          <cell r="H78">
            <v>32960</v>
          </cell>
          <cell r="I78">
            <v>36</v>
          </cell>
          <cell r="J78">
            <v>13230</v>
          </cell>
          <cell r="K78" t="str">
            <v>Abdullah.Alkharan@agriserv.sa</v>
          </cell>
          <cell r="L78" t="str">
            <v>0508257103</v>
          </cell>
          <cell r="M78" t="str">
            <v>8101</v>
          </cell>
          <cell r="N78" t="str">
            <v>المملكة العربية السعودية</v>
          </cell>
          <cell r="O78" t="str">
            <v>50001528</v>
          </cell>
          <cell r="P78" t="str">
            <v>مدير تنفيذي، العقود والاتفاقيات</v>
          </cell>
          <cell r="Q78" t="str">
            <v>الدرجة 7</v>
          </cell>
          <cell r="R78" t="str">
            <v>Class VIP</v>
          </cell>
          <cell r="S78" t="str">
            <v/>
          </cell>
          <cell r="T78" t="str">
            <v/>
          </cell>
          <cell r="U78" t="str">
            <v>العقود والاتفاقيات</v>
          </cell>
          <cell r="V78" t="str">
            <v>الشؤون القانونية</v>
          </cell>
          <cell r="W78" t="str">
            <v>Head Quarter</v>
          </cell>
          <cell r="X78" t="str">
            <v xml:space="preserve">المقر الرئيسي </v>
          </cell>
          <cell r="Y78">
            <v>45298</v>
          </cell>
          <cell r="Z78">
            <v>2.44</v>
          </cell>
          <cell r="AA78">
            <v>892</v>
          </cell>
          <cell r="AB78" t="str">
            <v>نشط</v>
          </cell>
          <cell r="AC78" t="str">
            <v>100058</v>
          </cell>
          <cell r="AD78" t="str">
            <v>Hassan Alzahrani</v>
          </cell>
          <cell r="AE78" t="str">
            <v>موظف</v>
          </cell>
          <cell r="AF78" t="str">
            <v/>
          </cell>
          <cell r="AG78">
            <v>46393</v>
          </cell>
          <cell r="AH78" t="str">
            <v>شريعة</v>
          </cell>
          <cell r="AI78" t="str">
            <v>بكالوريوس</v>
          </cell>
          <cell r="AJ78">
            <v>4</v>
          </cell>
          <cell r="AK78">
            <v>1</v>
          </cell>
          <cell r="AL78">
            <v>1</v>
          </cell>
          <cell r="AM78">
            <v>2</v>
          </cell>
          <cell r="AN78" t="str">
            <v/>
          </cell>
          <cell r="AO78" t="str">
            <v>الشؤون القانونية</v>
          </cell>
          <cell r="AP78" t="str">
            <v>Saudi Investment Bank</v>
          </cell>
          <cell r="AQ78" t="str">
            <v>SA4665000000127583504001</v>
          </cell>
          <cell r="AR78">
            <v>21944</v>
          </cell>
          <cell r="AS78">
            <v>21944</v>
          </cell>
          <cell r="AT78">
            <v>2194.4</v>
          </cell>
          <cell r="AU78">
            <v>5486</v>
          </cell>
          <cell r="AV78">
            <v>500</v>
          </cell>
        </row>
        <row r="79">
          <cell r="A79">
            <v>100090</v>
          </cell>
          <cell r="B79" t="str">
            <v>1099891135</v>
          </cell>
          <cell r="C79" t="str">
            <v>السيد</v>
          </cell>
          <cell r="D79" t="str">
            <v>Mohammed Abdullah khalid Albishri</v>
          </cell>
          <cell r="E79" t="str">
            <v>محمد عبدالله خالد البشري</v>
          </cell>
          <cell r="F79" t="str">
            <v>Male</v>
          </cell>
          <cell r="G79" t="str">
            <v>أعزب</v>
          </cell>
          <cell r="H79">
            <v>35611</v>
          </cell>
          <cell r="I79">
            <v>29</v>
          </cell>
          <cell r="J79">
            <v>10579</v>
          </cell>
          <cell r="K79" t="str">
            <v>Mohammed.Albishri@agriserv.sa</v>
          </cell>
          <cell r="L79" t="str">
            <v>0501773558</v>
          </cell>
          <cell r="M79" t="str">
            <v>2001</v>
          </cell>
          <cell r="N79" t="str">
            <v>المملكة العربية السعودية</v>
          </cell>
          <cell r="O79" t="str">
            <v>50001307</v>
          </cell>
          <cell r="P79" t="str">
            <v>سكرتير تنفيذي</v>
          </cell>
          <cell r="Q79" t="str">
            <v>الدرجة 4</v>
          </cell>
          <cell r="R79" t="str">
            <v>Class A</v>
          </cell>
          <cell r="S79" t="str">
            <v/>
          </cell>
          <cell r="T79" t="str">
            <v/>
          </cell>
          <cell r="U79" t="str">
            <v>الخدمات المشتركة</v>
          </cell>
          <cell r="V79" t="str">
            <v>الخدمات المشتركة</v>
          </cell>
          <cell r="W79" t="str">
            <v>Al Riyadh</v>
          </cell>
          <cell r="X79" t="str">
            <v xml:space="preserve">المقر الرئيسي </v>
          </cell>
          <cell r="Y79">
            <v>45298</v>
          </cell>
          <cell r="Z79">
            <v>2.44</v>
          </cell>
          <cell r="AA79">
            <v>892</v>
          </cell>
          <cell r="AB79" t="str">
            <v>نشط</v>
          </cell>
          <cell r="AC79" t="str">
            <v>100047</v>
          </cell>
          <cell r="AD79" t="str">
            <v>Meshari Alnfisah</v>
          </cell>
          <cell r="AE79" t="str">
            <v>موظف</v>
          </cell>
          <cell r="AF79" t="str">
            <v/>
          </cell>
          <cell r="AG79">
            <v>46028</v>
          </cell>
          <cell r="AH79" t="str">
            <v>علم الزراعة</v>
          </cell>
          <cell r="AI79" t="str">
            <v>بكالوريوس</v>
          </cell>
          <cell r="AJ79">
            <v>3</v>
          </cell>
          <cell r="AK79">
            <v>0</v>
          </cell>
          <cell r="AL79">
            <v>1</v>
          </cell>
          <cell r="AM79">
            <v>2</v>
          </cell>
          <cell r="AN79" t="str">
            <v/>
          </cell>
          <cell r="AO79" t="str">
            <v>عام</v>
          </cell>
          <cell r="AP79" t="str">
            <v>Bank Al Bilad</v>
          </cell>
          <cell r="AQ79" t="str">
            <v>SA2215000440120215890004</v>
          </cell>
          <cell r="AR79">
            <v>10198.188</v>
          </cell>
          <cell r="AS79">
            <v>10198.188</v>
          </cell>
          <cell r="AT79">
            <v>1019.819</v>
          </cell>
          <cell r="AU79">
            <v>2549.547</v>
          </cell>
          <cell r="AV79" t="str">
            <v/>
          </cell>
        </row>
        <row r="80">
          <cell r="A80">
            <v>100091</v>
          </cell>
          <cell r="B80" t="str">
            <v>1109516987</v>
          </cell>
          <cell r="C80" t="str">
            <v>الآنسة</v>
          </cell>
          <cell r="D80" t="str">
            <v>Amjad Mohammed Abdullah Alqhtani</v>
          </cell>
          <cell r="E80" t="str">
            <v>امجاد محمد عبدالله القحطاني</v>
          </cell>
          <cell r="F80" t="str">
            <v>Female</v>
          </cell>
          <cell r="G80" t="str">
            <v>أعزب</v>
          </cell>
          <cell r="H80">
            <v>36467</v>
          </cell>
          <cell r="I80">
            <v>27</v>
          </cell>
          <cell r="J80">
            <v>9723</v>
          </cell>
          <cell r="K80" t="str">
            <v>Amjad.Alqahtani@agriserv.sa</v>
          </cell>
          <cell r="L80" t="str">
            <v>0541469336</v>
          </cell>
          <cell r="M80" t="str">
            <v>2304</v>
          </cell>
          <cell r="N80" t="str">
            <v>المملكة العربية السعودية</v>
          </cell>
          <cell r="O80" t="str">
            <v>50001308</v>
          </cell>
          <cell r="P80" t="str">
            <v>اخصائي منصات التواصل الاجتماعي</v>
          </cell>
          <cell r="Q80" t="str">
            <v>الدرجة 4</v>
          </cell>
          <cell r="R80" t="str">
            <v>Class A</v>
          </cell>
          <cell r="S80" t="str">
            <v/>
          </cell>
          <cell r="T80" t="str">
            <v>التواصل الداخلي</v>
          </cell>
          <cell r="U80" t="str">
            <v>التواصل المؤسسي</v>
          </cell>
          <cell r="V80" t="str">
            <v>الخدمات المشتركة</v>
          </cell>
          <cell r="W80" t="str">
            <v>Al Riyadh</v>
          </cell>
          <cell r="X80" t="str">
            <v xml:space="preserve">المقر الرئيسي </v>
          </cell>
          <cell r="Y80">
            <v>45298</v>
          </cell>
          <cell r="Z80">
            <v>2.44</v>
          </cell>
          <cell r="AA80">
            <v>892</v>
          </cell>
          <cell r="AB80" t="str">
            <v>نشط</v>
          </cell>
          <cell r="AC80" t="str">
            <v>100024</v>
          </cell>
          <cell r="AD80" t="str">
            <v>Maha AlShreif</v>
          </cell>
          <cell r="AE80" t="str">
            <v>موظف</v>
          </cell>
          <cell r="AF80" t="str">
            <v/>
          </cell>
          <cell r="AG80">
            <v>46028</v>
          </cell>
          <cell r="AH80" t="str">
            <v>إدارة الأعمال</v>
          </cell>
          <cell r="AI80" t="str">
            <v>بكالوريوس</v>
          </cell>
          <cell r="AJ80">
            <v>2</v>
          </cell>
          <cell r="AK80">
            <v>0</v>
          </cell>
          <cell r="AL80">
            <v>0</v>
          </cell>
          <cell r="AM80">
            <v>2</v>
          </cell>
          <cell r="AN80" t="str">
            <v/>
          </cell>
          <cell r="AO80" t="str">
            <v>التواصل المؤسسي</v>
          </cell>
          <cell r="AP80" t="str">
            <v>Al Rajhi Bank</v>
          </cell>
          <cell r="AQ80" t="str">
            <v>SA8480000296608016008024</v>
          </cell>
          <cell r="AR80">
            <v>9182.7839999999997</v>
          </cell>
          <cell r="AS80">
            <v>9182.7839999999997</v>
          </cell>
          <cell r="AT80">
            <v>918.27800000000002</v>
          </cell>
          <cell r="AU80">
            <v>2295.6959999999999</v>
          </cell>
          <cell r="AV80">
            <v>300</v>
          </cell>
        </row>
        <row r="81">
          <cell r="A81">
            <v>100092</v>
          </cell>
          <cell r="B81" t="str">
            <v>1094203666</v>
          </cell>
          <cell r="C81" t="str">
            <v>الآنسة</v>
          </cell>
          <cell r="D81" t="str">
            <v>Batool Ali Ayedh Alqarni</v>
          </cell>
          <cell r="E81" t="str">
            <v>بتول علي عايض القرني</v>
          </cell>
          <cell r="F81" t="str">
            <v>Female</v>
          </cell>
          <cell r="G81" t="str">
            <v/>
          </cell>
          <cell r="H81">
            <v>35346</v>
          </cell>
          <cell r="I81">
            <v>30</v>
          </cell>
          <cell r="J81">
            <v>10844</v>
          </cell>
          <cell r="K81" t="str">
            <v>batool.alqarni@agriserv.sa</v>
          </cell>
          <cell r="L81" t="str">
            <v>0545163969</v>
          </cell>
          <cell r="M81" t="str">
            <v/>
          </cell>
          <cell r="N81" t="str">
            <v>المملكة العربية السعودية</v>
          </cell>
          <cell r="O81" t="str">
            <v>50000323</v>
          </cell>
          <cell r="P81" t="str">
            <v>أخصائي أول مشتريات</v>
          </cell>
          <cell r="Q81" t="str">
            <v>الدرجة ٥</v>
          </cell>
          <cell r="R81" t="str">
            <v/>
          </cell>
          <cell r="S81" t="str">
            <v/>
          </cell>
          <cell r="T81" t="str">
            <v>استراتيجية وتخطيط المشتريات</v>
          </cell>
          <cell r="U81" t="str">
            <v>المشتريات</v>
          </cell>
          <cell r="V81" t="str">
            <v>الخدمات المشتركة</v>
          </cell>
          <cell r="W81" t="str">
            <v>Head Quarter</v>
          </cell>
          <cell r="X81" t="str">
            <v xml:space="preserve">المقر الرئيسي </v>
          </cell>
          <cell r="Y81">
            <v>45305</v>
          </cell>
          <cell r="Z81">
            <v>2.42</v>
          </cell>
          <cell r="AA81">
            <v>885</v>
          </cell>
          <cell r="AB81" t="str">
            <v>غير نشط</v>
          </cell>
          <cell r="AC81" t="str">
            <v>100009</v>
          </cell>
          <cell r="AD81" t="str">
            <v>Abdullah AlOthman</v>
          </cell>
          <cell r="AE81" t="str">
            <v>موظف</v>
          </cell>
          <cell r="AF81">
            <v>45379</v>
          </cell>
          <cell r="AG81" t="str">
            <v/>
          </cell>
          <cell r="AH81" t="str">
            <v>لغات وترجمة</v>
          </cell>
          <cell r="AI81" t="str">
            <v>بكالوريوس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 t="str">
            <v/>
          </cell>
          <cell r="AO81" t="str">
            <v>Procurement</v>
          </cell>
          <cell r="AP81" t="str">
            <v>Arab National Bank</v>
          </cell>
          <cell r="AQ81" t="str">
            <v>SA5030400108083944300017</v>
          </cell>
          <cell r="AR81">
            <v>12000</v>
          </cell>
          <cell r="AS81">
            <v>12000</v>
          </cell>
          <cell r="AT81">
            <v>1200</v>
          </cell>
          <cell r="AU81">
            <v>3000</v>
          </cell>
          <cell r="AV81">
            <v>300</v>
          </cell>
        </row>
        <row r="82">
          <cell r="A82">
            <v>100093</v>
          </cell>
          <cell r="B82" t="str">
            <v>1106874843</v>
          </cell>
          <cell r="C82" t="str">
            <v>الآنسة</v>
          </cell>
          <cell r="D82" t="str">
            <v>Reem Ahmed Mohammed Alsuwayyid</v>
          </cell>
          <cell r="E82" t="str">
            <v>ريم احمد محمد السويد</v>
          </cell>
          <cell r="F82" t="str">
            <v>Female</v>
          </cell>
          <cell r="G82" t="str">
            <v>أعزب</v>
          </cell>
          <cell r="H82">
            <v>36576</v>
          </cell>
          <cell r="I82">
            <v>26</v>
          </cell>
          <cell r="J82">
            <v>9614</v>
          </cell>
          <cell r="K82" t="str">
            <v>reem.alsuweed@agriserv.sa</v>
          </cell>
          <cell r="L82" t="str">
            <v>0538598818</v>
          </cell>
          <cell r="M82" t="str">
            <v>2405</v>
          </cell>
          <cell r="N82" t="str">
            <v>المملكة العربية السعودية</v>
          </cell>
          <cell r="O82" t="str">
            <v>50001309</v>
          </cell>
          <cell r="P82" t="str">
            <v>محلل أول إدارة النقد</v>
          </cell>
          <cell r="Q82" t="str">
            <v>الدرجة 4</v>
          </cell>
          <cell r="R82" t="str">
            <v>Class A</v>
          </cell>
          <cell r="S82" t="str">
            <v/>
          </cell>
          <cell r="T82" t="str">
            <v>إدارة التدقيق والتقارير المالية</v>
          </cell>
          <cell r="U82" t="str">
            <v>الحسابات</v>
          </cell>
          <cell r="V82" t="str">
            <v>المالية</v>
          </cell>
          <cell r="W82" t="str">
            <v>Al Riyadh</v>
          </cell>
          <cell r="X82" t="str">
            <v xml:space="preserve">المقر الرئيسي </v>
          </cell>
          <cell r="Y82">
            <v>45307</v>
          </cell>
          <cell r="Z82">
            <v>2.42</v>
          </cell>
          <cell r="AA82">
            <v>883</v>
          </cell>
          <cell r="AB82" t="str">
            <v>نشط</v>
          </cell>
          <cell r="AC82" t="str">
            <v>100181</v>
          </cell>
          <cell r="AD82" t="str">
            <v>Mohammed Alsaab</v>
          </cell>
          <cell r="AE82" t="str">
            <v>موظف</v>
          </cell>
          <cell r="AF82" t="str">
            <v/>
          </cell>
          <cell r="AG82">
            <v>46037</v>
          </cell>
          <cell r="AH82" t="str">
            <v>المحاسبة</v>
          </cell>
          <cell r="AI82" t="str">
            <v>بكالوريوس</v>
          </cell>
          <cell r="AJ82">
            <v>2</v>
          </cell>
          <cell r="AK82">
            <v>0</v>
          </cell>
          <cell r="AL82">
            <v>0</v>
          </cell>
          <cell r="AM82">
            <v>2</v>
          </cell>
          <cell r="AN82" t="str">
            <v/>
          </cell>
          <cell r="AO82" t="str">
            <v>التقارير المالية</v>
          </cell>
          <cell r="AP82" t="str">
            <v>Al Rajhi Bank</v>
          </cell>
          <cell r="AQ82" t="str">
            <v>SA2180000622608010019113</v>
          </cell>
          <cell r="AR82">
            <v>10198.188</v>
          </cell>
          <cell r="AS82">
            <v>10198.188</v>
          </cell>
          <cell r="AT82">
            <v>1019.819</v>
          </cell>
          <cell r="AU82">
            <v>2549.547</v>
          </cell>
          <cell r="AV82" t="str">
            <v/>
          </cell>
        </row>
        <row r="83">
          <cell r="A83">
            <v>100094</v>
          </cell>
          <cell r="B83" t="str">
            <v>1098391558</v>
          </cell>
          <cell r="C83" t="str">
            <v>الآنسة</v>
          </cell>
          <cell r="D83" t="str">
            <v>Shuruq Mubarak Mohammed Alothaymin</v>
          </cell>
          <cell r="E83" t="str">
            <v>شروق مبارك محمد آل عثيمين</v>
          </cell>
          <cell r="F83" t="str">
            <v>Female</v>
          </cell>
          <cell r="G83" t="str">
            <v>أعزب</v>
          </cell>
          <cell r="H83">
            <v>35590</v>
          </cell>
          <cell r="I83">
            <v>29</v>
          </cell>
          <cell r="J83">
            <v>10600</v>
          </cell>
          <cell r="K83" t="str">
            <v>Shorooq.Othimeen@agriserv.sa</v>
          </cell>
          <cell r="L83" t="str">
            <v>0550474840</v>
          </cell>
          <cell r="M83" t="str">
            <v>2504</v>
          </cell>
          <cell r="N83" t="str">
            <v>المملكة العربية السعودية</v>
          </cell>
          <cell r="O83" t="str">
            <v>50000359</v>
          </cell>
          <cell r="P83" t="str">
            <v>محلل أول توظيف</v>
          </cell>
          <cell r="Q83" t="str">
            <v>الدرجة 4</v>
          </cell>
          <cell r="R83" t="str">
            <v>Class A</v>
          </cell>
          <cell r="S83" t="str">
            <v/>
          </cell>
          <cell r="T83" t="str">
            <v>التوظيف</v>
          </cell>
          <cell r="U83" t="str">
            <v>الموارد البشرية</v>
          </cell>
          <cell r="V83" t="str">
            <v>الخدمات المشتركة</v>
          </cell>
          <cell r="W83" t="str">
            <v>Al Riyadh</v>
          </cell>
          <cell r="X83" t="str">
            <v xml:space="preserve">المقر الرئيسي </v>
          </cell>
          <cell r="Y83">
            <v>45313</v>
          </cell>
          <cell r="Z83">
            <v>2.4</v>
          </cell>
          <cell r="AA83">
            <v>877</v>
          </cell>
          <cell r="AB83" t="str">
            <v>نشط</v>
          </cell>
          <cell r="AC83" t="str">
            <v>100159</v>
          </cell>
          <cell r="AD83" t="str">
            <v>Amer Alkhaldi</v>
          </cell>
          <cell r="AE83" t="str">
            <v>موظف</v>
          </cell>
          <cell r="AF83" t="str">
            <v/>
          </cell>
          <cell r="AG83">
            <v>46043</v>
          </cell>
          <cell r="AH83" t="str">
            <v>موارد بشرية</v>
          </cell>
          <cell r="AI83" t="str">
            <v>بكالوريوس</v>
          </cell>
          <cell r="AJ83">
            <v>2</v>
          </cell>
          <cell r="AK83">
            <v>0</v>
          </cell>
          <cell r="AL83">
            <v>0</v>
          </cell>
          <cell r="AM83">
            <v>2</v>
          </cell>
          <cell r="AN83" t="str">
            <v/>
          </cell>
          <cell r="AO83" t="str">
            <v>الموارد البشرية</v>
          </cell>
          <cell r="AP83" t="str">
            <v>Al Rajhi Bank</v>
          </cell>
          <cell r="AQ83" t="str">
            <v>SA8380000521608019312446</v>
          </cell>
          <cell r="AR83">
            <v>9182.7839999999997</v>
          </cell>
          <cell r="AS83">
            <v>9182.7839999999997</v>
          </cell>
          <cell r="AT83">
            <v>918.27800000000002</v>
          </cell>
          <cell r="AU83">
            <v>2295.6959999999999</v>
          </cell>
          <cell r="AV83">
            <v>300</v>
          </cell>
        </row>
        <row r="84">
          <cell r="A84">
            <v>100095</v>
          </cell>
          <cell r="B84" t="str">
            <v>1040508739</v>
          </cell>
          <cell r="C84" t="str">
            <v>السيد</v>
          </cell>
          <cell r="D84" t="str">
            <v>Hamad Mohammed Ali AlSaif</v>
          </cell>
          <cell r="E84" t="str">
            <v>حمد محمد علي السيف</v>
          </cell>
          <cell r="F84" t="str">
            <v>Male</v>
          </cell>
          <cell r="G84" t="str">
            <v>متزوج</v>
          </cell>
          <cell r="H84">
            <v>29474</v>
          </cell>
          <cell r="I84">
            <v>46</v>
          </cell>
          <cell r="J84">
            <v>16716</v>
          </cell>
          <cell r="K84" t="str">
            <v>Hamad.Alsaif@agriserv.sa</v>
          </cell>
          <cell r="L84" t="str">
            <v>0503443413</v>
          </cell>
          <cell r="M84" t="str">
            <v>6204</v>
          </cell>
          <cell r="N84" t="str">
            <v>المملكة العربية السعودية</v>
          </cell>
          <cell r="O84" t="str">
            <v>50000655</v>
          </cell>
          <cell r="P84" t="str">
            <v>مدير إدارة المحفظة</v>
          </cell>
          <cell r="Q84" t="str">
            <v>8 الدرجة</v>
          </cell>
          <cell r="R84" t="str">
            <v>Class VIP</v>
          </cell>
          <cell r="S84" t="str">
            <v/>
          </cell>
          <cell r="T84" t="str">
            <v/>
          </cell>
          <cell r="U84" t="str">
            <v>الأصول والاستثمار</v>
          </cell>
          <cell r="V84" t="str">
            <v>الخدمات التجارية</v>
          </cell>
          <cell r="W84" t="str">
            <v>Head Quarter</v>
          </cell>
          <cell r="X84" t="str">
            <v xml:space="preserve">المقر الرئيسي </v>
          </cell>
          <cell r="Y84">
            <v>45314</v>
          </cell>
          <cell r="Z84">
            <v>2.4</v>
          </cell>
          <cell r="AA84">
            <v>876</v>
          </cell>
          <cell r="AB84" t="str">
            <v>نشط</v>
          </cell>
          <cell r="AC84" t="str">
            <v>100084</v>
          </cell>
          <cell r="AD84" t="str">
            <v>Naif Alsudais</v>
          </cell>
          <cell r="AE84" t="str">
            <v>موظف</v>
          </cell>
          <cell r="AF84" t="str">
            <v/>
          </cell>
          <cell r="AG84">
            <v>46044</v>
          </cell>
          <cell r="AH84" t="str">
            <v>هندسة معمارية</v>
          </cell>
          <cell r="AI84" t="str">
            <v>بكالوريوس</v>
          </cell>
          <cell r="AJ84">
            <v>4</v>
          </cell>
          <cell r="AK84">
            <v>4</v>
          </cell>
          <cell r="AL84">
            <v>0</v>
          </cell>
          <cell r="AM84">
            <v>0</v>
          </cell>
          <cell r="AN84">
            <v>4</v>
          </cell>
          <cell r="AO84" t="str">
            <v>الأصول والاستثمار</v>
          </cell>
          <cell r="AP84" t="str">
            <v>Bank Al Bilad</v>
          </cell>
          <cell r="AQ84" t="str">
            <v>SA7115000900128649480003</v>
          </cell>
          <cell r="AR84">
            <v>43243.199999999997</v>
          </cell>
          <cell r="AS84">
            <v>43243.199999999997</v>
          </cell>
          <cell r="AT84">
            <v>3000</v>
          </cell>
          <cell r="AU84">
            <v>10810.8</v>
          </cell>
          <cell r="AV84">
            <v>500</v>
          </cell>
        </row>
        <row r="85">
          <cell r="A85">
            <v>100099</v>
          </cell>
          <cell r="B85" t="str">
            <v>1107874404</v>
          </cell>
          <cell r="C85" t="str">
            <v>السيد</v>
          </cell>
          <cell r="D85" t="str">
            <v>Ahmed Sugair Khalifa Manqarah</v>
          </cell>
          <cell r="E85" t="str">
            <v>احمد صقير خليفه منقره</v>
          </cell>
          <cell r="F85" t="str">
            <v>Male</v>
          </cell>
          <cell r="G85" t="str">
            <v>أعزب</v>
          </cell>
          <cell r="H85">
            <v>36273</v>
          </cell>
          <cell r="I85">
            <v>27</v>
          </cell>
          <cell r="J85">
            <v>9917</v>
          </cell>
          <cell r="K85" t="str">
            <v>Ahmed.Manqarah@agriserv.sa</v>
          </cell>
          <cell r="L85" t="str">
            <v>0570893392</v>
          </cell>
          <cell r="M85" t="str">
            <v>3105</v>
          </cell>
          <cell r="N85" t="str">
            <v>المملكة العربية السعودية</v>
          </cell>
          <cell r="O85" t="str">
            <v>50000477</v>
          </cell>
          <cell r="P85" t="str">
            <v>محلل أول الثروة النباتية</v>
          </cell>
          <cell r="Q85" t="str">
            <v>الدرجة 4</v>
          </cell>
          <cell r="R85" t="str">
            <v>Class A</v>
          </cell>
          <cell r="S85" t="str">
            <v/>
          </cell>
          <cell r="T85" t="str">
            <v>الخدمات النباتيةِ</v>
          </cell>
          <cell r="U85" t="str">
            <v>الخدمات النباتيةِ</v>
          </cell>
          <cell r="V85" t="str">
            <v>العمليات</v>
          </cell>
          <cell r="W85" t="str">
            <v>Head Quarter</v>
          </cell>
          <cell r="X85" t="str">
            <v xml:space="preserve">المقر الرئيسي </v>
          </cell>
          <cell r="Y85">
            <v>45337</v>
          </cell>
          <cell r="Z85">
            <v>2.34</v>
          </cell>
          <cell r="AA85">
            <v>853</v>
          </cell>
          <cell r="AB85" t="str">
            <v>نشط</v>
          </cell>
          <cell r="AC85" t="str">
            <v>100136</v>
          </cell>
          <cell r="AD85" t="str">
            <v>Yagoub Aljraid</v>
          </cell>
          <cell r="AE85" t="str">
            <v>موظف</v>
          </cell>
          <cell r="AF85" t="str">
            <v/>
          </cell>
          <cell r="AG85">
            <v>46067</v>
          </cell>
          <cell r="AH85" t="str">
            <v>علم الزراعة</v>
          </cell>
          <cell r="AI85" t="str">
            <v>بكالوريوس</v>
          </cell>
          <cell r="AJ85">
            <v>1</v>
          </cell>
          <cell r="AK85">
            <v>0</v>
          </cell>
          <cell r="AL85">
            <v>0</v>
          </cell>
          <cell r="AM85">
            <v>1</v>
          </cell>
          <cell r="AN85" t="str">
            <v/>
          </cell>
          <cell r="AO85" t="str">
            <v>الخدمات النباتيةِ</v>
          </cell>
          <cell r="AP85" t="str">
            <v>Al Rajhi Bank</v>
          </cell>
          <cell r="AQ85" t="str">
            <v>SA4980000366608010654828</v>
          </cell>
          <cell r="AR85">
            <v>9182.7839999999997</v>
          </cell>
          <cell r="AS85">
            <v>9182.7839999999997</v>
          </cell>
          <cell r="AT85">
            <v>918.27800000000002</v>
          </cell>
          <cell r="AU85">
            <v>2295.6959999999999</v>
          </cell>
          <cell r="AV85" t="str">
            <v/>
          </cell>
        </row>
        <row r="86">
          <cell r="A86">
            <v>100100</v>
          </cell>
          <cell r="B86" t="str">
            <v>1109923647</v>
          </cell>
          <cell r="C86" t="str">
            <v>الآنسة</v>
          </cell>
          <cell r="D86" t="str">
            <v>Amirah Faisal Saad Alkharji</v>
          </cell>
          <cell r="E86" t="str">
            <v>اميره فيصل سعد الخرجي</v>
          </cell>
          <cell r="F86" t="str">
            <v>Female</v>
          </cell>
          <cell r="G86" t="str">
            <v>أعزب</v>
          </cell>
          <cell r="H86">
            <v>36821</v>
          </cell>
          <cell r="I86">
            <v>26</v>
          </cell>
          <cell r="J86">
            <v>9369</v>
          </cell>
          <cell r="K86" t="str">
            <v>Amirah.Alkharji@agriserv.sa</v>
          </cell>
          <cell r="L86" t="str">
            <v>0536088090</v>
          </cell>
          <cell r="M86" t="str">
            <v>7105</v>
          </cell>
          <cell r="N86" t="str">
            <v>المملكة العربية السعودية</v>
          </cell>
          <cell r="O86" t="str">
            <v>50000680</v>
          </cell>
          <cell r="P86" t="str">
            <v>محلل أول إدارة المشاريع</v>
          </cell>
          <cell r="Q86" t="str">
            <v>الدرجة 4</v>
          </cell>
          <cell r="R86" t="str">
            <v>Class A</v>
          </cell>
          <cell r="S86" t="str">
            <v/>
          </cell>
          <cell r="T86" t="str">
            <v/>
          </cell>
          <cell r="U86" t="str">
            <v>مراقبة الأداء</v>
          </cell>
          <cell r="V86" t="str">
            <v>إدارة المشاريع</v>
          </cell>
          <cell r="W86" t="str">
            <v>Head Quarter</v>
          </cell>
          <cell r="X86" t="str">
            <v xml:space="preserve">المقر الرئيسي </v>
          </cell>
          <cell r="Y86">
            <v>45341</v>
          </cell>
          <cell r="Z86">
            <v>2.3199999999999998</v>
          </cell>
          <cell r="AA86">
            <v>849</v>
          </cell>
          <cell r="AB86" t="str">
            <v>نشط</v>
          </cell>
          <cell r="AC86" t="str">
            <v>100079</v>
          </cell>
          <cell r="AD86" t="str">
            <v>ABDULAZIZ ALSUNAYDI</v>
          </cell>
          <cell r="AE86" t="str">
            <v>موظف</v>
          </cell>
          <cell r="AF86" t="str">
            <v/>
          </cell>
          <cell r="AG86">
            <v>46071</v>
          </cell>
          <cell r="AH86" t="str">
            <v>التسويق</v>
          </cell>
          <cell r="AI86" t="str">
            <v>بكالوريوس</v>
          </cell>
          <cell r="AJ86">
            <v>2</v>
          </cell>
          <cell r="AK86">
            <v>0</v>
          </cell>
          <cell r="AL86">
            <v>0</v>
          </cell>
          <cell r="AM86">
            <v>2</v>
          </cell>
          <cell r="AN86" t="str">
            <v/>
          </cell>
          <cell r="AO86" t="str">
            <v>مكتب إدارة المشاريع</v>
          </cell>
          <cell r="AP86" t="str">
            <v>Inma Bank</v>
          </cell>
          <cell r="AQ86" t="str">
            <v>SA8205000068203081418002</v>
          </cell>
          <cell r="AR86">
            <v>9360.2250000000004</v>
          </cell>
          <cell r="AS86">
            <v>9360.2250000000004</v>
          </cell>
          <cell r="AT86">
            <v>936.02200000000005</v>
          </cell>
          <cell r="AU86">
            <v>2340.056</v>
          </cell>
          <cell r="AV86" t="str">
            <v/>
          </cell>
        </row>
        <row r="87">
          <cell r="A87">
            <v>100101</v>
          </cell>
          <cell r="B87" t="str">
            <v>1083354090</v>
          </cell>
          <cell r="C87" t="str">
            <v>الآنسة</v>
          </cell>
          <cell r="D87" t="str">
            <v>Anfal Saleh Mohammed AlOsili</v>
          </cell>
          <cell r="E87" t="str">
            <v>انفال صالح محمد العصيلي</v>
          </cell>
          <cell r="F87" t="str">
            <v>Female</v>
          </cell>
          <cell r="G87" t="str">
            <v>أعزب</v>
          </cell>
          <cell r="H87">
            <v>33972</v>
          </cell>
          <cell r="I87">
            <v>33</v>
          </cell>
          <cell r="J87">
            <v>12218</v>
          </cell>
          <cell r="K87" t="str">
            <v>Anfal.Alosili@agriserv.sa</v>
          </cell>
          <cell r="L87" t="str">
            <v>0554424840</v>
          </cell>
          <cell r="M87" t="str">
            <v>3501</v>
          </cell>
          <cell r="N87" t="str">
            <v>المملكة العربية السعودية</v>
          </cell>
          <cell r="O87" t="str">
            <v>50000611</v>
          </cell>
          <cell r="P87" t="str">
            <v>مدير، المنتجات</v>
          </cell>
          <cell r="Q87" t="str">
            <v>الدرجة 6</v>
          </cell>
          <cell r="R87" t="str">
            <v>Class VIP</v>
          </cell>
          <cell r="S87" t="str">
            <v/>
          </cell>
          <cell r="T87" t="str">
            <v/>
          </cell>
          <cell r="U87" t="str">
            <v>تطوير الأعمال</v>
          </cell>
          <cell r="V87" t="str">
            <v>الخدمات التجارية</v>
          </cell>
          <cell r="W87" t="str">
            <v>Al Riyadh</v>
          </cell>
          <cell r="X87" t="str">
            <v xml:space="preserve">المقر الرئيسي </v>
          </cell>
          <cell r="Y87">
            <v>45341</v>
          </cell>
          <cell r="Z87">
            <v>2.3199999999999998</v>
          </cell>
          <cell r="AA87">
            <v>849</v>
          </cell>
          <cell r="AB87" t="str">
            <v>نشط</v>
          </cell>
          <cell r="AC87" t="str">
            <v>100154</v>
          </cell>
          <cell r="AD87" t="str">
            <v>Turki Alkhalaif</v>
          </cell>
          <cell r="AE87" t="str">
            <v>موظف</v>
          </cell>
          <cell r="AF87" t="str">
            <v/>
          </cell>
          <cell r="AG87">
            <v>46071</v>
          </cell>
          <cell r="AH87" t="str">
            <v>لغات وترجمة</v>
          </cell>
          <cell r="AI87" t="str">
            <v>بكالوريوس</v>
          </cell>
          <cell r="AJ87">
            <v>2</v>
          </cell>
          <cell r="AK87">
            <v>0</v>
          </cell>
          <cell r="AL87">
            <v>0</v>
          </cell>
          <cell r="AM87">
            <v>2</v>
          </cell>
          <cell r="AN87" t="str">
            <v/>
          </cell>
          <cell r="AO87" t="str">
            <v>تطوير الأعمال</v>
          </cell>
          <cell r="AP87" t="str">
            <v>Al Rajhi Bank</v>
          </cell>
          <cell r="AQ87" t="str">
            <v>SA9280000686608010222215</v>
          </cell>
          <cell r="AR87">
            <v>19579.560000000001</v>
          </cell>
          <cell r="AS87">
            <v>19579.560000000001</v>
          </cell>
          <cell r="AT87">
            <v>1957.9559999999999</v>
          </cell>
          <cell r="AU87">
            <v>4894.8900000000003</v>
          </cell>
          <cell r="AV87">
            <v>500</v>
          </cell>
        </row>
        <row r="88">
          <cell r="A88">
            <v>100102</v>
          </cell>
          <cell r="B88" t="str">
            <v>2115537561</v>
          </cell>
          <cell r="C88" t="str">
            <v>السيد</v>
          </cell>
          <cell r="D88" t="str">
            <v>Ahmed Otman Saleh Melhem</v>
          </cell>
          <cell r="E88" t="str">
            <v>احمد عثمان صالح ملحم</v>
          </cell>
          <cell r="F88" t="str">
            <v>Male</v>
          </cell>
          <cell r="G88" t="str">
            <v>متزوج</v>
          </cell>
          <cell r="H88">
            <v>33604</v>
          </cell>
          <cell r="I88">
            <v>34</v>
          </cell>
          <cell r="J88">
            <v>12586</v>
          </cell>
          <cell r="K88" t="str">
            <v>ahmad.melhem@agriserv.sa</v>
          </cell>
          <cell r="L88" t="str">
            <v>0555600265</v>
          </cell>
          <cell r="M88" t="str">
            <v>2204</v>
          </cell>
          <cell r="N88" t="str">
            <v>الجمهورية العربية السورية</v>
          </cell>
          <cell r="O88" t="str">
            <v>50000378</v>
          </cell>
          <cell r="P88" t="str">
            <v>أخصائي أول تجربة مستخدم</v>
          </cell>
          <cell r="Q88" t="str">
            <v>الدرجة 6</v>
          </cell>
          <cell r="R88" t="str">
            <v>Class VIP</v>
          </cell>
          <cell r="S88" t="str">
            <v/>
          </cell>
          <cell r="T88" t="str">
            <v>الإبتكار والتطوير لتقنية المعلومات</v>
          </cell>
          <cell r="U88" t="str">
            <v>تقنية المعلومات</v>
          </cell>
          <cell r="V88" t="str">
            <v>الخدمات المشتركة</v>
          </cell>
          <cell r="W88" t="str">
            <v>Head Quarter</v>
          </cell>
          <cell r="X88" t="str">
            <v xml:space="preserve">المقر الرئيسي </v>
          </cell>
          <cell r="Y88">
            <v>45354</v>
          </cell>
          <cell r="Z88">
            <v>2.29</v>
          </cell>
          <cell r="AA88">
            <v>836</v>
          </cell>
          <cell r="AB88" t="str">
            <v>نشط</v>
          </cell>
          <cell r="AC88" t="str">
            <v>100067</v>
          </cell>
          <cell r="AD88" t="str">
            <v>Moath Almqbel</v>
          </cell>
          <cell r="AE88" t="str">
            <v>موظف</v>
          </cell>
          <cell r="AF88" t="str">
            <v/>
          </cell>
          <cell r="AG88">
            <v>46083</v>
          </cell>
          <cell r="AH88" t="str">
            <v>المعلومات والحاسوب</v>
          </cell>
          <cell r="AI88" t="str">
            <v>بكالوريوس</v>
          </cell>
          <cell r="AJ88">
            <v>5</v>
          </cell>
          <cell r="AK88">
            <v>3</v>
          </cell>
          <cell r="AL88">
            <v>1</v>
          </cell>
          <cell r="AM88">
            <v>1</v>
          </cell>
          <cell r="AN88" t="str">
            <v/>
          </cell>
          <cell r="AO88" t="str">
            <v>التحول الرقمي وتقنية المعلومات</v>
          </cell>
          <cell r="AP88" t="str">
            <v>Inma Bank</v>
          </cell>
          <cell r="AQ88" t="str">
            <v>SA5705000068200200061000</v>
          </cell>
          <cell r="AR88">
            <v>21829.5</v>
          </cell>
          <cell r="AS88">
            <v>21829.5</v>
          </cell>
          <cell r="AT88">
            <v>2182.9499999999998</v>
          </cell>
          <cell r="AU88">
            <v>5457.375</v>
          </cell>
          <cell r="AV88">
            <v>500</v>
          </cell>
        </row>
        <row r="89">
          <cell r="A89">
            <v>100103</v>
          </cell>
          <cell r="B89" t="str">
            <v>1079323463</v>
          </cell>
          <cell r="C89" t="str">
            <v>السيد</v>
          </cell>
          <cell r="D89" t="str">
            <v>Sulaiman Abdullah Saleh Alfllaj</v>
          </cell>
          <cell r="E89" t="str">
            <v>سليمان عبدالله صالح الفلاج</v>
          </cell>
          <cell r="F89" t="str">
            <v>Male</v>
          </cell>
          <cell r="G89" t="str">
            <v>أعزب</v>
          </cell>
          <cell r="H89">
            <v>34280</v>
          </cell>
          <cell r="I89">
            <v>33</v>
          </cell>
          <cell r="J89">
            <v>11910</v>
          </cell>
          <cell r="K89" t="str">
            <v>Sulaiman.Alfallaj@agriserv.sa</v>
          </cell>
          <cell r="L89" t="str">
            <v>0501119739</v>
          </cell>
          <cell r="M89" t="str">
            <v>6207</v>
          </cell>
          <cell r="N89" t="str">
            <v>المملكة العربية السعودية</v>
          </cell>
          <cell r="O89" t="str">
            <v>50000678</v>
          </cell>
          <cell r="P89" t="str">
            <v>مدير محفظة البرامج</v>
          </cell>
          <cell r="Q89" t="str">
            <v>الدرجة 6</v>
          </cell>
          <cell r="R89" t="str">
            <v>Class VIP</v>
          </cell>
          <cell r="S89" t="str">
            <v/>
          </cell>
          <cell r="T89" t="str">
            <v>تنمية الأعمال</v>
          </cell>
          <cell r="U89" t="str">
            <v>إدارة الأصول والاستثمار</v>
          </cell>
          <cell r="V89" t="str">
            <v>إدارة الأصول والاستثمار</v>
          </cell>
          <cell r="W89" t="str">
            <v>Al Riyadh</v>
          </cell>
          <cell r="X89" t="str">
            <v xml:space="preserve">المقر الرئيسي </v>
          </cell>
          <cell r="Y89">
            <v>45368</v>
          </cell>
          <cell r="Z89">
            <v>2.25</v>
          </cell>
          <cell r="AA89">
            <v>822</v>
          </cell>
          <cell r="AB89" t="str">
            <v>نشط</v>
          </cell>
          <cell r="AC89" t="str">
            <v>100084</v>
          </cell>
          <cell r="AD89" t="str">
            <v>Naif Alsudais</v>
          </cell>
          <cell r="AE89" t="str">
            <v>موظف</v>
          </cell>
          <cell r="AF89" t="str">
            <v/>
          </cell>
          <cell r="AG89">
            <v>46097</v>
          </cell>
          <cell r="AH89" t="str">
            <v>هندسة مدنية</v>
          </cell>
          <cell r="AI89" t="str">
            <v>بكالوريوس</v>
          </cell>
          <cell r="AJ89">
            <v>2</v>
          </cell>
          <cell r="AK89">
            <v>0</v>
          </cell>
          <cell r="AL89">
            <v>0</v>
          </cell>
          <cell r="AM89">
            <v>2</v>
          </cell>
          <cell r="AN89" t="str">
            <v/>
          </cell>
          <cell r="AO89" t="str">
            <v>الأصول والاستثمار</v>
          </cell>
          <cell r="AP89" t="str">
            <v>Al Rajhi Bank</v>
          </cell>
          <cell r="AQ89" t="str">
            <v>SA8980000252608010066459</v>
          </cell>
          <cell r="AR89">
            <v>21949.200000000001</v>
          </cell>
          <cell r="AS89">
            <v>21949.200000000001</v>
          </cell>
          <cell r="AT89">
            <v>2194.92</v>
          </cell>
          <cell r="AU89">
            <v>5487.3</v>
          </cell>
          <cell r="AV89">
            <v>500</v>
          </cell>
        </row>
        <row r="90">
          <cell r="A90">
            <v>100104</v>
          </cell>
          <cell r="B90" t="str">
            <v>1028883625</v>
          </cell>
          <cell r="C90" t="str">
            <v>السيد</v>
          </cell>
          <cell r="D90" t="str">
            <v>Saud Mohammed Zaben AlDughaysh</v>
          </cell>
          <cell r="E90" t="str">
            <v>سعود محمد زابن آل دغيش</v>
          </cell>
          <cell r="F90" t="str">
            <v>Male</v>
          </cell>
          <cell r="G90" t="str">
            <v/>
          </cell>
          <cell r="H90">
            <v>29002</v>
          </cell>
          <cell r="I90">
            <v>47</v>
          </cell>
          <cell r="J90">
            <v>17188</v>
          </cell>
          <cell r="K90" t="str">
            <v>saud.aldugaish@agriserv.sa</v>
          </cell>
          <cell r="L90" t="str">
            <v/>
          </cell>
          <cell r="M90" t="str">
            <v/>
          </cell>
          <cell r="N90" t="str">
            <v>المملكة العربية السعودية</v>
          </cell>
          <cell r="O90" t="str">
            <v>50000053</v>
          </cell>
          <cell r="P90" t="str">
            <v>مدير إدارة، تشغيل الأصول</v>
          </cell>
          <cell r="Q90" t="str">
            <v>الدرجة 7</v>
          </cell>
          <cell r="R90" t="str">
            <v/>
          </cell>
          <cell r="S90" t="str">
            <v/>
          </cell>
          <cell r="T90" t="str">
            <v>تنمية الأعمال</v>
          </cell>
          <cell r="U90" t="str">
            <v>إدارة الأصول والاستثمار</v>
          </cell>
          <cell r="V90" t="str">
            <v>إدارة الأصول والاستثمار</v>
          </cell>
          <cell r="W90" t="str">
            <v>Head Quarter</v>
          </cell>
          <cell r="X90" t="str">
            <v xml:space="preserve">المقر الرئيسي </v>
          </cell>
          <cell r="Y90">
            <v>45368</v>
          </cell>
          <cell r="Z90">
            <v>2.25</v>
          </cell>
          <cell r="AA90">
            <v>822</v>
          </cell>
          <cell r="AB90" t="str">
            <v>غير نشط</v>
          </cell>
          <cell r="AC90" t="str">
            <v>100084</v>
          </cell>
          <cell r="AD90" t="str">
            <v>Naif Alsudais</v>
          </cell>
          <cell r="AE90" t="str">
            <v>موظف</v>
          </cell>
          <cell r="AF90">
            <v>45410</v>
          </cell>
          <cell r="AG90" t="str">
            <v/>
          </cell>
          <cell r="AH90" t="str">
            <v/>
          </cell>
          <cell r="AI90" t="str">
            <v/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 t="str">
            <v/>
          </cell>
          <cell r="AO90" t="str">
            <v>إدارة الاصول</v>
          </cell>
          <cell r="AP90" t="str">
            <v>Riyad Bank</v>
          </cell>
          <cell r="AQ90" t="str">
            <v>SA5820000002394784969940</v>
          </cell>
          <cell r="AR90">
            <v>25800</v>
          </cell>
          <cell r="AS90">
            <v>25800</v>
          </cell>
          <cell r="AT90">
            <v>2580</v>
          </cell>
          <cell r="AU90">
            <v>6450</v>
          </cell>
          <cell r="AV90">
            <v>500</v>
          </cell>
        </row>
        <row r="91">
          <cell r="A91">
            <v>100105</v>
          </cell>
          <cell r="B91" t="str">
            <v>1090402650</v>
          </cell>
          <cell r="C91" t="str">
            <v>السيد</v>
          </cell>
          <cell r="D91" t="str">
            <v>Abdulrahman Abdullah Ibrahim AlQufaydi</v>
          </cell>
          <cell r="E91" t="str">
            <v>عبدالرحمن عبدالله ابراهيم القفيدي</v>
          </cell>
          <cell r="F91" t="str">
            <v>Male</v>
          </cell>
          <cell r="G91" t="str">
            <v>أعزب</v>
          </cell>
          <cell r="H91">
            <v>34752</v>
          </cell>
          <cell r="I91">
            <v>31</v>
          </cell>
          <cell r="J91">
            <v>11438</v>
          </cell>
          <cell r="K91" t="str">
            <v>Abdulrahman.Alqufaydi@agriserv.sa</v>
          </cell>
          <cell r="L91" t="str">
            <v>0566553267</v>
          </cell>
          <cell r="M91" t="str">
            <v>6205</v>
          </cell>
          <cell r="N91" t="str">
            <v>المملكة العربية السعودية</v>
          </cell>
          <cell r="O91" t="str">
            <v>50000651</v>
          </cell>
          <cell r="P91" t="str">
            <v>مدير تنفيذي للعقود</v>
          </cell>
          <cell r="Q91" t="str">
            <v>الدرجة 7</v>
          </cell>
          <cell r="R91" t="str">
            <v>Class VIP</v>
          </cell>
          <cell r="S91" t="str">
            <v/>
          </cell>
          <cell r="T91" t="str">
            <v/>
          </cell>
          <cell r="U91" t="str">
            <v>المشتريات</v>
          </cell>
          <cell r="V91" t="str">
            <v>الخدمات المشتركة</v>
          </cell>
          <cell r="W91" t="str">
            <v>Head Quarter</v>
          </cell>
          <cell r="X91" t="str">
            <v xml:space="preserve">المقر الرئيسي </v>
          </cell>
          <cell r="Y91">
            <v>45368</v>
          </cell>
          <cell r="Z91">
            <v>2.25</v>
          </cell>
          <cell r="AA91">
            <v>822</v>
          </cell>
          <cell r="AB91" t="str">
            <v>نشط</v>
          </cell>
          <cell r="AC91" t="str">
            <v>100118</v>
          </cell>
          <cell r="AD91" t="str">
            <v>Mohammed Aldusaymani</v>
          </cell>
          <cell r="AE91" t="str">
            <v>موظف</v>
          </cell>
          <cell r="AF91" t="str">
            <v/>
          </cell>
          <cell r="AG91">
            <v>46097</v>
          </cell>
          <cell r="AH91" t="str">
            <v>قانون</v>
          </cell>
          <cell r="AI91" t="str">
            <v>بكالوريوس</v>
          </cell>
          <cell r="AJ91">
            <v>2</v>
          </cell>
          <cell r="AK91">
            <v>0</v>
          </cell>
          <cell r="AL91">
            <v>0</v>
          </cell>
          <cell r="AM91">
            <v>2</v>
          </cell>
          <cell r="AN91" t="str">
            <v/>
          </cell>
          <cell r="AO91" t="str">
            <v>المشتريات</v>
          </cell>
          <cell r="AP91" t="str">
            <v>Saudi Awwal Bank</v>
          </cell>
          <cell r="AQ91" t="str">
            <v xml:space="preserve"> SA0745000000073142382001
</v>
          </cell>
          <cell r="AR91">
            <v>24596.3848</v>
          </cell>
          <cell r="AS91">
            <v>24596.384999999998</v>
          </cell>
          <cell r="AT91">
            <v>2459.6379999999999</v>
          </cell>
          <cell r="AU91">
            <v>6149.0959999999995</v>
          </cell>
          <cell r="AV91">
            <v>500</v>
          </cell>
        </row>
        <row r="92">
          <cell r="A92">
            <v>100106</v>
          </cell>
          <cell r="B92" t="str">
            <v>1103914675</v>
          </cell>
          <cell r="C92" t="str">
            <v>الآنسة</v>
          </cell>
          <cell r="D92" t="str">
            <v>Meznah Turki Hamad AlMusallam</v>
          </cell>
          <cell r="E92" t="str">
            <v>مزنه تركي حمد المسلم</v>
          </cell>
          <cell r="F92" t="str">
            <v>Female</v>
          </cell>
          <cell r="G92" t="str">
            <v>أعزب</v>
          </cell>
          <cell r="H92">
            <v>36060</v>
          </cell>
          <cell r="I92">
            <v>28</v>
          </cell>
          <cell r="J92">
            <v>10130</v>
          </cell>
          <cell r="K92" t="str">
            <v>Meznah.Almuslam@agriserv.sa</v>
          </cell>
          <cell r="L92" t="str">
            <v>0549713112</v>
          </cell>
          <cell r="M92" t="str">
            <v>2604</v>
          </cell>
          <cell r="N92" t="str">
            <v>المملكة العربية السعودية</v>
          </cell>
          <cell r="O92" t="str">
            <v>50000393</v>
          </cell>
          <cell r="P92" t="str">
            <v>محلل أول مراقبة الوثائق والأرشفة</v>
          </cell>
          <cell r="Q92" t="str">
            <v>الدرجة 4</v>
          </cell>
          <cell r="R92" t="str">
            <v>Class A</v>
          </cell>
          <cell r="S92" t="str">
            <v/>
          </cell>
          <cell r="T92" t="str">
            <v>إدارة ومراقبة الوثائق</v>
          </cell>
          <cell r="U92" t="str">
            <v>الشؤون الإدارية</v>
          </cell>
          <cell r="V92" t="str">
            <v>الخدمات المشتركة</v>
          </cell>
          <cell r="W92" t="str">
            <v>Head Quarter</v>
          </cell>
          <cell r="X92" t="str">
            <v xml:space="preserve">المقر الرئيسي </v>
          </cell>
          <cell r="Y92">
            <v>45376</v>
          </cell>
          <cell r="Z92">
            <v>2.23</v>
          </cell>
          <cell r="AA92">
            <v>814</v>
          </cell>
          <cell r="AB92" t="str">
            <v>نشط</v>
          </cell>
          <cell r="AC92" t="str">
            <v>100005</v>
          </cell>
          <cell r="AD92" t="str">
            <v>Khalid Alghannam</v>
          </cell>
          <cell r="AE92" t="str">
            <v>موظف</v>
          </cell>
          <cell r="AF92" t="str">
            <v/>
          </cell>
          <cell r="AG92">
            <v>46105</v>
          </cell>
          <cell r="AH92" t="str">
            <v>اقتصاديات</v>
          </cell>
          <cell r="AI92" t="str">
            <v>بكالوريوس</v>
          </cell>
          <cell r="AJ92">
            <v>2</v>
          </cell>
          <cell r="AK92">
            <v>0</v>
          </cell>
          <cell r="AL92">
            <v>0</v>
          </cell>
          <cell r="AM92">
            <v>2</v>
          </cell>
          <cell r="AN92" t="str">
            <v/>
          </cell>
          <cell r="AO92" t="str">
            <v>الشؤون الإدارية</v>
          </cell>
          <cell r="AP92" t="str">
            <v>Saudi National Bank</v>
          </cell>
          <cell r="AQ92" t="str">
            <v>SA5210000026489162000110</v>
          </cell>
          <cell r="AR92">
            <v>9006.1919999999991</v>
          </cell>
          <cell r="AS92">
            <v>9006.1919999999991</v>
          </cell>
          <cell r="AT92">
            <v>900.61900000000003</v>
          </cell>
          <cell r="AU92">
            <v>2251.5479999999998</v>
          </cell>
          <cell r="AV92" t="str">
            <v/>
          </cell>
        </row>
        <row r="93">
          <cell r="A93">
            <v>100107</v>
          </cell>
          <cell r="B93" t="str">
            <v>1067188969</v>
          </cell>
          <cell r="C93" t="str">
            <v>السيد</v>
          </cell>
          <cell r="D93" t="str">
            <v>Mohammed Khalid Nasser AlSwailem</v>
          </cell>
          <cell r="E93" t="str">
            <v>محمد خالد ناصر السويلم</v>
          </cell>
          <cell r="F93" t="str">
            <v>Male</v>
          </cell>
          <cell r="G93" t="str">
            <v>متزوج</v>
          </cell>
          <cell r="H93">
            <v>33052</v>
          </cell>
          <cell r="I93">
            <v>36</v>
          </cell>
          <cell r="J93">
            <v>13138</v>
          </cell>
          <cell r="K93" t="str">
            <v>mohammed.alswailem@agriserv.sa</v>
          </cell>
          <cell r="L93" t="str">
            <v>0550205060</v>
          </cell>
          <cell r="M93" t="str">
            <v>6100</v>
          </cell>
          <cell r="N93" t="str">
            <v>المملكة العربية السعودية</v>
          </cell>
          <cell r="O93" t="str">
            <v>50001301</v>
          </cell>
          <cell r="P93" t="str">
            <v>مدير تنفيذي تطوير الاعمال</v>
          </cell>
          <cell r="Q93" t="str">
            <v>8 الدرجة</v>
          </cell>
          <cell r="R93" t="str">
            <v>Class VIP</v>
          </cell>
          <cell r="S93" t="str">
            <v/>
          </cell>
          <cell r="T93" t="str">
            <v/>
          </cell>
          <cell r="U93" t="str">
            <v>تطوير الأعمال</v>
          </cell>
          <cell r="V93" t="str">
            <v>الخدمات التجارية</v>
          </cell>
          <cell r="W93" t="str">
            <v>Al Riyadh</v>
          </cell>
          <cell r="X93" t="str">
            <v/>
          </cell>
          <cell r="Y93">
            <v>45376</v>
          </cell>
          <cell r="Z93">
            <v>2.23</v>
          </cell>
          <cell r="AA93">
            <v>814</v>
          </cell>
          <cell r="AB93" t="str">
            <v>نشط</v>
          </cell>
          <cell r="AC93" t="str">
            <v>100154</v>
          </cell>
          <cell r="AD93" t="str">
            <v>Turki Alkhalaif</v>
          </cell>
          <cell r="AE93" t="str">
            <v>موظف</v>
          </cell>
          <cell r="AF93" t="str">
            <v/>
          </cell>
          <cell r="AG93">
            <v>46105</v>
          </cell>
          <cell r="AH93" t="str">
            <v>إدارة الأعمال</v>
          </cell>
          <cell r="AI93" t="str">
            <v>ماجستير</v>
          </cell>
          <cell r="AJ93">
            <v>6</v>
          </cell>
          <cell r="AK93">
            <v>3</v>
          </cell>
          <cell r="AL93">
            <v>1</v>
          </cell>
          <cell r="AM93">
            <v>2</v>
          </cell>
          <cell r="AN93" t="str">
            <v/>
          </cell>
          <cell r="AO93" t="str">
            <v>تطوير الأعمال</v>
          </cell>
          <cell r="AP93" t="str">
            <v>Bank Al Jazirah</v>
          </cell>
          <cell r="AQ93" t="str">
            <v>SA7460100002780653881001</v>
          </cell>
          <cell r="AR93">
            <v>45427.199999999997</v>
          </cell>
          <cell r="AS93">
            <v>45427.199999999997</v>
          </cell>
          <cell r="AT93">
            <v>3000</v>
          </cell>
          <cell r="AU93">
            <v>11356.8</v>
          </cell>
          <cell r="AV93">
            <v>500</v>
          </cell>
        </row>
        <row r="94">
          <cell r="A94">
            <v>100108</v>
          </cell>
          <cell r="B94" t="str">
            <v>1065896753</v>
          </cell>
          <cell r="C94" t="str">
            <v>السيد</v>
          </cell>
          <cell r="D94" t="str">
            <v>Hamed Abdullah Hamed AlGhamdi</v>
          </cell>
          <cell r="E94" t="str">
            <v>حامد عبدالله حامد الغامدي</v>
          </cell>
          <cell r="F94" t="str">
            <v>Male</v>
          </cell>
          <cell r="G94" t="str">
            <v/>
          </cell>
          <cell r="H94">
            <v>32513</v>
          </cell>
          <cell r="I94">
            <v>37</v>
          </cell>
          <cell r="J94">
            <v>13677</v>
          </cell>
          <cell r="K94" t="str">
            <v/>
          </cell>
          <cell r="L94" t="str">
            <v/>
          </cell>
          <cell r="M94" t="str">
            <v/>
          </cell>
          <cell r="N94" t="str">
            <v>المملكة العربية السعودية</v>
          </cell>
          <cell r="O94" t="str">
            <v>50000503</v>
          </cell>
          <cell r="P94" t="str">
            <v>مدير العمليات</v>
          </cell>
          <cell r="Q94" t="str">
            <v>الدرجة ٥</v>
          </cell>
          <cell r="R94" t="str">
            <v/>
          </cell>
          <cell r="S94" t="str">
            <v/>
          </cell>
          <cell r="T94" t="str">
            <v>تنمية الأعمال</v>
          </cell>
          <cell r="U94" t="str">
            <v>إدارة الأصول والاستثمار</v>
          </cell>
          <cell r="V94" t="str">
            <v>إدارة الأصول والاستثمار</v>
          </cell>
          <cell r="W94" t="str">
            <v>Al Riyadh</v>
          </cell>
          <cell r="X94" t="str">
            <v xml:space="preserve">المقر الرئيسي </v>
          </cell>
          <cell r="Y94">
            <v>45396</v>
          </cell>
          <cell r="Z94">
            <v>2.17</v>
          </cell>
          <cell r="AA94">
            <v>794</v>
          </cell>
          <cell r="AB94" t="str">
            <v>غير نشط</v>
          </cell>
          <cell r="AC94" t="str">
            <v>100084</v>
          </cell>
          <cell r="AD94" t="str">
            <v>Naif Alsudais</v>
          </cell>
          <cell r="AE94" t="str">
            <v>موظف</v>
          </cell>
          <cell r="AF94">
            <v>45421</v>
          </cell>
          <cell r="AG94">
            <v>45760</v>
          </cell>
          <cell r="AH94" t="str">
            <v/>
          </cell>
          <cell r="AI94" t="str">
            <v/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 t="str">
            <v/>
          </cell>
          <cell r="AO94" t="str">
            <v>إدارة الاصول</v>
          </cell>
          <cell r="AP94" t="str">
            <v>Riyad Bank</v>
          </cell>
          <cell r="AQ94" t="str">
            <v>SA0320000009322758869940</v>
          </cell>
          <cell r="AR94">
            <v>13500</v>
          </cell>
          <cell r="AS94">
            <v>13500</v>
          </cell>
          <cell r="AT94">
            <v>1350</v>
          </cell>
          <cell r="AU94">
            <v>3375</v>
          </cell>
          <cell r="AV94">
            <v>300</v>
          </cell>
        </row>
        <row r="95">
          <cell r="A95">
            <v>100109</v>
          </cell>
          <cell r="B95" t="str">
            <v>1053541270</v>
          </cell>
          <cell r="C95" t="str">
            <v>السيد</v>
          </cell>
          <cell r="D95" t="str">
            <v>Jamal Alawadhi Abdullah AlDosari</v>
          </cell>
          <cell r="E95" t="str">
            <v>جمال العوضي عبدالله الدوسري</v>
          </cell>
          <cell r="F95" t="str">
            <v>Male</v>
          </cell>
          <cell r="G95" t="str">
            <v>متزوج</v>
          </cell>
          <cell r="H95">
            <v>32246</v>
          </cell>
          <cell r="I95">
            <v>38</v>
          </cell>
          <cell r="J95">
            <v>13944</v>
          </cell>
          <cell r="K95" t="str">
            <v>Jamal.Aldosari@agriserv.sa</v>
          </cell>
          <cell r="L95" t="str">
            <v>0533409698</v>
          </cell>
          <cell r="M95" t="str">
            <v>2605</v>
          </cell>
          <cell r="N95" t="str">
            <v>المملكة العربية السعودية</v>
          </cell>
          <cell r="O95" t="str">
            <v>50000387</v>
          </cell>
          <cell r="P95" t="str">
            <v>منسق الشؤون الادارية</v>
          </cell>
          <cell r="Q95" t="str">
            <v>الدرجة 4</v>
          </cell>
          <cell r="R95" t="str">
            <v>Class A</v>
          </cell>
          <cell r="S95" t="str">
            <v/>
          </cell>
          <cell r="T95" t="str">
            <v>إدارة ومراقبة الوثائق</v>
          </cell>
          <cell r="U95" t="str">
            <v>الشؤون الإدارية</v>
          </cell>
          <cell r="V95" t="str">
            <v>الخدمات المشتركة</v>
          </cell>
          <cell r="W95" t="str">
            <v>Al Riyadh</v>
          </cell>
          <cell r="X95" t="str">
            <v xml:space="preserve">المقر الرئيسي </v>
          </cell>
          <cell r="Y95">
            <v>45396</v>
          </cell>
          <cell r="Z95">
            <v>2.17</v>
          </cell>
          <cell r="AA95">
            <v>794</v>
          </cell>
          <cell r="AB95" t="str">
            <v>نشط</v>
          </cell>
          <cell r="AC95" t="str">
            <v>100005</v>
          </cell>
          <cell r="AD95" t="str">
            <v>Khalid Alghannam</v>
          </cell>
          <cell r="AE95" t="str">
            <v>موظف</v>
          </cell>
          <cell r="AF95" t="str">
            <v/>
          </cell>
          <cell r="AG95">
            <v>46125</v>
          </cell>
          <cell r="AH95" t="str">
            <v>شريعة</v>
          </cell>
          <cell r="AI95" t="str">
            <v>بكالوريوس</v>
          </cell>
          <cell r="AJ95">
            <v>7</v>
          </cell>
          <cell r="AK95">
            <v>5</v>
          </cell>
          <cell r="AL95">
            <v>1</v>
          </cell>
          <cell r="AM95">
            <v>1</v>
          </cell>
          <cell r="AN95" t="str">
            <v/>
          </cell>
          <cell r="AO95" t="str">
            <v>الشؤون الإدارية</v>
          </cell>
          <cell r="AP95" t="str">
            <v>Al Rajhi Bank</v>
          </cell>
          <cell r="AQ95" t="str">
            <v>SA1880000135608010508438</v>
          </cell>
          <cell r="AR95">
            <v>10198.188</v>
          </cell>
          <cell r="AS95">
            <v>10198.188</v>
          </cell>
          <cell r="AT95">
            <v>1019.819</v>
          </cell>
          <cell r="AU95">
            <v>2549.547</v>
          </cell>
          <cell r="AV95">
            <v>300</v>
          </cell>
        </row>
        <row r="96">
          <cell r="A96">
            <v>100110</v>
          </cell>
          <cell r="B96" t="str">
            <v>1020486948</v>
          </cell>
          <cell r="C96" t="str">
            <v>السيد</v>
          </cell>
          <cell r="D96" t="str">
            <v>Mohannd Ibrahim Mashal Alsaab</v>
          </cell>
          <cell r="E96" t="str">
            <v>مهند ابراهيم مشعل الصعب</v>
          </cell>
          <cell r="F96" t="str">
            <v>Male</v>
          </cell>
          <cell r="G96" t="str">
            <v>أعزب</v>
          </cell>
          <cell r="H96">
            <v>30970</v>
          </cell>
          <cell r="I96">
            <v>42</v>
          </cell>
          <cell r="J96">
            <v>15220</v>
          </cell>
          <cell r="K96" t="str">
            <v>Mohannd.Alsaab@agriserv.sa</v>
          </cell>
          <cell r="L96" t="str">
            <v>0500666727</v>
          </cell>
          <cell r="M96" t="str">
            <v>2106</v>
          </cell>
          <cell r="N96" t="str">
            <v>المملكة العربية السعودية</v>
          </cell>
          <cell r="O96" t="str">
            <v>50000320</v>
          </cell>
          <cell r="P96" t="str">
            <v>مدير تنفيذي المشتريات</v>
          </cell>
          <cell r="Q96" t="str">
            <v>8 الدرجة</v>
          </cell>
          <cell r="R96" t="str">
            <v>Class VIP</v>
          </cell>
          <cell r="S96" t="str">
            <v/>
          </cell>
          <cell r="T96" t="str">
            <v>استراتيجية وتخطيط المشتريات</v>
          </cell>
          <cell r="U96" t="str">
            <v>المشتريات</v>
          </cell>
          <cell r="V96" t="str">
            <v>الخدمات المشتركة</v>
          </cell>
          <cell r="W96" t="str">
            <v>Al Riyadh</v>
          </cell>
          <cell r="X96" t="str">
            <v xml:space="preserve">المقر الرئيسي </v>
          </cell>
          <cell r="Y96">
            <v>45413</v>
          </cell>
          <cell r="Z96">
            <v>2.13</v>
          </cell>
          <cell r="AA96">
            <v>777</v>
          </cell>
          <cell r="AB96" t="str">
            <v>نشط</v>
          </cell>
          <cell r="AC96" t="str">
            <v>100009</v>
          </cell>
          <cell r="AD96" t="str">
            <v>Abdullah AlOthman</v>
          </cell>
          <cell r="AE96" t="str">
            <v>موظف</v>
          </cell>
          <cell r="AF96" t="str">
            <v/>
          </cell>
          <cell r="AG96">
            <v>46142</v>
          </cell>
          <cell r="AH96" t="str">
            <v>تجارة الكترونية</v>
          </cell>
          <cell r="AI96" t="str">
            <v>بكالوريوس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 t="str">
            <v/>
          </cell>
          <cell r="AO96" t="str">
            <v>المشتريات</v>
          </cell>
          <cell r="AP96" t="str">
            <v>Banque Saudi Fransi</v>
          </cell>
          <cell r="AQ96" t="str">
            <v>SA5655000000052157400132</v>
          </cell>
          <cell r="AR96">
            <v>46980</v>
          </cell>
          <cell r="AS96">
            <v>46980</v>
          </cell>
          <cell r="AT96">
            <v>3000</v>
          </cell>
          <cell r="AU96">
            <v>11745</v>
          </cell>
          <cell r="AV96">
            <v>500</v>
          </cell>
        </row>
        <row r="97">
          <cell r="A97">
            <v>100111</v>
          </cell>
          <cell r="B97" t="str">
            <v>1097459091</v>
          </cell>
          <cell r="C97" t="str">
            <v>الآنسة</v>
          </cell>
          <cell r="D97" t="str">
            <v>Mashel Faraj Hakem Alshammari</v>
          </cell>
          <cell r="E97" t="str">
            <v>مشاعل فرج حاكم الشمري</v>
          </cell>
          <cell r="F97" t="str">
            <v>Female</v>
          </cell>
          <cell r="G97" t="str">
            <v>أعزب</v>
          </cell>
          <cell r="H97">
            <v>35507</v>
          </cell>
          <cell r="I97">
            <v>29</v>
          </cell>
          <cell r="J97">
            <v>10683</v>
          </cell>
          <cell r="K97" t="str">
            <v>Mashael.AlShammari@agriserv.sa</v>
          </cell>
          <cell r="L97" t="str">
            <v>0582570551</v>
          </cell>
          <cell r="M97" t="str">
            <v>7302</v>
          </cell>
          <cell r="N97" t="str">
            <v>المملكة العربية السعودية</v>
          </cell>
          <cell r="O97" t="str">
            <v>50000375</v>
          </cell>
          <cell r="P97" t="str">
            <v>محلل أول السياسات والإجراءات</v>
          </cell>
          <cell r="Q97" t="str">
            <v>الدرجة 4</v>
          </cell>
          <cell r="R97" t="str">
            <v>Class A</v>
          </cell>
          <cell r="S97" t="str">
            <v/>
          </cell>
          <cell r="T97" t="str">
            <v>الحوكمة والمخاطر والالتزام</v>
          </cell>
          <cell r="U97" t="str">
            <v>السياسات والإجراءات</v>
          </cell>
          <cell r="V97" t="str">
            <v>السياسات والإجراءات</v>
          </cell>
          <cell r="W97" t="str">
            <v>Al Riyadh</v>
          </cell>
          <cell r="X97" t="str">
            <v xml:space="preserve">المقر الرئيسي </v>
          </cell>
          <cell r="Y97">
            <v>45413</v>
          </cell>
          <cell r="Z97">
            <v>2.13</v>
          </cell>
          <cell r="AA97">
            <v>777</v>
          </cell>
          <cell r="AB97" t="str">
            <v>نشط</v>
          </cell>
          <cell r="AC97" t="str">
            <v>100048</v>
          </cell>
          <cell r="AD97" t="str">
            <v>Mohammed Alothman</v>
          </cell>
          <cell r="AE97" t="str">
            <v>موظف</v>
          </cell>
          <cell r="AF97" t="str">
            <v/>
          </cell>
          <cell r="AG97">
            <v>46142</v>
          </cell>
          <cell r="AH97" t="str">
            <v>إدارة الأعمال</v>
          </cell>
          <cell r="AI97" t="str">
            <v>بكالوريوس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 t="str">
            <v/>
          </cell>
          <cell r="AO97" t="str">
            <v>الحوكمة والمخاطر والالتزام</v>
          </cell>
          <cell r="AP97" t="str">
            <v>Saudi National Bank</v>
          </cell>
          <cell r="AQ97" t="str">
            <v>SA7510000059400003136800</v>
          </cell>
          <cell r="AR97">
            <v>9182.7839999999997</v>
          </cell>
          <cell r="AS97">
            <v>9182.7839999999997</v>
          </cell>
          <cell r="AT97">
            <v>918.27800000000002</v>
          </cell>
          <cell r="AU97">
            <v>2295.6959999999999</v>
          </cell>
          <cell r="AV97" t="str">
            <v/>
          </cell>
        </row>
        <row r="98">
          <cell r="A98">
            <v>100112</v>
          </cell>
          <cell r="B98" t="str">
            <v>1072779356</v>
          </cell>
          <cell r="C98" t="str">
            <v>السيد</v>
          </cell>
          <cell r="D98" t="str">
            <v>Mohammed Abdulaziz Ali Albader</v>
          </cell>
          <cell r="E98" t="str">
            <v>محمد عبدالعزيز علي البدر</v>
          </cell>
          <cell r="F98" t="str">
            <v>Male</v>
          </cell>
          <cell r="G98" t="str">
            <v>أعزب</v>
          </cell>
          <cell r="H98">
            <v>33404</v>
          </cell>
          <cell r="I98">
            <v>35</v>
          </cell>
          <cell r="J98">
            <v>12786</v>
          </cell>
          <cell r="K98" t="str">
            <v>Mohammad.Albader@agriserv.sa</v>
          </cell>
          <cell r="L98" t="str">
            <v>0569550088</v>
          </cell>
          <cell r="M98" t="str">
            <v>2105</v>
          </cell>
          <cell r="N98" t="str">
            <v>المملكة العربية السعودية</v>
          </cell>
          <cell r="O98" t="str">
            <v>50000327</v>
          </cell>
          <cell r="P98" t="str">
            <v>مدير تنفيذي للعقود</v>
          </cell>
          <cell r="Q98" t="str">
            <v>الدرجة 7</v>
          </cell>
          <cell r="R98" t="str">
            <v>Class VIP</v>
          </cell>
          <cell r="S98" t="str">
            <v/>
          </cell>
          <cell r="T98" t="str">
            <v>إدارة العقود</v>
          </cell>
          <cell r="U98" t="str">
            <v>المشتريات</v>
          </cell>
          <cell r="V98" t="str">
            <v>الخدمات المشتركة</v>
          </cell>
          <cell r="W98" t="str">
            <v>Al Riyadh</v>
          </cell>
          <cell r="X98" t="str">
            <v xml:space="preserve">المقر الرئيسي </v>
          </cell>
          <cell r="Y98">
            <v>45417</v>
          </cell>
          <cell r="Z98">
            <v>2.12</v>
          </cell>
          <cell r="AA98">
            <v>773</v>
          </cell>
          <cell r="AB98" t="str">
            <v>نشط</v>
          </cell>
          <cell r="AC98" t="str">
            <v>100009</v>
          </cell>
          <cell r="AD98" t="str">
            <v>Abdullah AlOthman</v>
          </cell>
          <cell r="AE98" t="str">
            <v>موظف</v>
          </cell>
          <cell r="AF98" t="str">
            <v/>
          </cell>
          <cell r="AG98">
            <v>46146</v>
          </cell>
          <cell r="AH98" t="str">
            <v>قانون</v>
          </cell>
          <cell r="AI98" t="str">
            <v>بكالوريوس</v>
          </cell>
          <cell r="AJ98">
            <v>2</v>
          </cell>
          <cell r="AK98">
            <v>0</v>
          </cell>
          <cell r="AL98">
            <v>0</v>
          </cell>
          <cell r="AM98">
            <v>2</v>
          </cell>
          <cell r="AN98" t="str">
            <v/>
          </cell>
          <cell r="AO98" t="str">
            <v>المشتريات</v>
          </cell>
          <cell r="AP98" t="str">
            <v>Arab National Bank</v>
          </cell>
          <cell r="AQ98" t="str">
            <v>SA4630400108094333950010</v>
          </cell>
          <cell r="AR98">
            <v>30717.439999999999</v>
          </cell>
          <cell r="AS98">
            <v>30717.439999999999</v>
          </cell>
          <cell r="AT98">
            <v>3000</v>
          </cell>
          <cell r="AU98">
            <v>7679.36</v>
          </cell>
          <cell r="AV98">
            <v>500</v>
          </cell>
        </row>
        <row r="99">
          <cell r="A99">
            <v>100113</v>
          </cell>
          <cell r="B99" t="str">
            <v>2202111379</v>
          </cell>
          <cell r="C99" t="str">
            <v>السيد</v>
          </cell>
          <cell r="D99" t="str">
            <v>Anwar Ahmed Awadh Bakhairiba</v>
          </cell>
          <cell r="E99" t="str">
            <v>انور احمد عوض باخريبه</v>
          </cell>
          <cell r="F99" t="str">
            <v>Male</v>
          </cell>
          <cell r="G99" t="str">
            <v>أعزب</v>
          </cell>
          <cell r="H99">
            <v>32090</v>
          </cell>
          <cell r="I99">
            <v>39</v>
          </cell>
          <cell r="J99">
            <v>14100</v>
          </cell>
          <cell r="K99" t="str">
            <v>Anwar.Bakharaiba@agriserv.sa</v>
          </cell>
          <cell r="L99" t="str">
            <v>0565127932</v>
          </cell>
          <cell r="M99" t="str">
            <v>6102</v>
          </cell>
          <cell r="N99" t="str">
            <v>اليمن</v>
          </cell>
          <cell r="O99" t="str">
            <v>50000662</v>
          </cell>
          <cell r="P99" t="str">
            <v>مستشار تطوير الأعمال</v>
          </cell>
          <cell r="Q99" t="str">
            <v>الدرجة 7</v>
          </cell>
          <cell r="R99" t="str">
            <v>Class VIP</v>
          </cell>
          <cell r="S99" t="str">
            <v/>
          </cell>
          <cell r="T99" t="str">
            <v/>
          </cell>
          <cell r="U99" t="str">
            <v>تطوير الأعمال</v>
          </cell>
          <cell r="V99" t="str">
            <v>الخدمات التجارية</v>
          </cell>
          <cell r="W99" t="str">
            <v>Al Riyadh</v>
          </cell>
          <cell r="X99" t="str">
            <v xml:space="preserve">المقر الرئيسي </v>
          </cell>
          <cell r="Y99">
            <v>45418</v>
          </cell>
          <cell r="Z99">
            <v>2.11</v>
          </cell>
          <cell r="AA99">
            <v>772</v>
          </cell>
          <cell r="AB99" t="str">
            <v>نشط</v>
          </cell>
          <cell r="AC99" t="str">
            <v>100154</v>
          </cell>
          <cell r="AD99" t="str">
            <v>Turki Alkhalaif</v>
          </cell>
          <cell r="AE99" t="str">
            <v>موظف</v>
          </cell>
          <cell r="AF99" t="str">
            <v/>
          </cell>
          <cell r="AG99">
            <v>46147</v>
          </cell>
          <cell r="AH99" t="str">
            <v>هندسة زراعية</v>
          </cell>
          <cell r="AI99" t="str">
            <v>بكالوريوس</v>
          </cell>
          <cell r="AJ99">
            <v>1</v>
          </cell>
          <cell r="AK99">
            <v>0</v>
          </cell>
          <cell r="AL99">
            <v>0</v>
          </cell>
          <cell r="AM99">
            <v>1</v>
          </cell>
          <cell r="AN99" t="str">
            <v/>
          </cell>
          <cell r="AO99" t="str">
            <v>تطوير الأعمال</v>
          </cell>
          <cell r="AP99" t="str">
            <v>Inma Bank</v>
          </cell>
          <cell r="AQ99" t="str">
            <v>SA4705000068200808936000</v>
          </cell>
          <cell r="AR99">
            <v>24504.30528</v>
          </cell>
          <cell r="AS99">
            <v>24504.305</v>
          </cell>
          <cell r="AT99">
            <v>2450.431</v>
          </cell>
          <cell r="AU99">
            <v>6126.076</v>
          </cell>
          <cell r="AV99">
            <v>500</v>
          </cell>
        </row>
        <row r="100">
          <cell r="A100">
            <v>100114</v>
          </cell>
          <cell r="B100" t="str">
            <v>1089773335</v>
          </cell>
          <cell r="C100" t="str">
            <v>السيد</v>
          </cell>
          <cell r="D100" t="str">
            <v>Abdulaziz Manae Mansour Alkhalaiwi</v>
          </cell>
          <cell r="E100" t="str">
            <v>عبدالعزيز منيع منصور الخليوي</v>
          </cell>
          <cell r="F100" t="str">
            <v>Male</v>
          </cell>
          <cell r="G100" t="str">
            <v>أعزب</v>
          </cell>
          <cell r="H100">
            <v>35111</v>
          </cell>
          <cell r="I100">
            <v>30</v>
          </cell>
          <cell r="J100">
            <v>11079</v>
          </cell>
          <cell r="K100" t="str">
            <v>Abdulaziz.Alkhalaiwi@agriserv.sa</v>
          </cell>
          <cell r="L100" t="str">
            <v>0546666439</v>
          </cell>
          <cell r="M100" t="str">
            <v>2507</v>
          </cell>
          <cell r="N100" t="str">
            <v>المملكة العربية السعودية</v>
          </cell>
          <cell r="O100" t="str">
            <v>50000367</v>
          </cell>
          <cell r="P100" t="str">
            <v>أخصائي أول  خدمات الموظفين</v>
          </cell>
          <cell r="Q100" t="str">
            <v>الدرجة ٥</v>
          </cell>
          <cell r="R100" t="str">
            <v>Class VIP</v>
          </cell>
          <cell r="S100" t="str">
            <v/>
          </cell>
          <cell r="T100" t="str">
            <v>خدمات الموظفين</v>
          </cell>
          <cell r="U100" t="str">
            <v>الموارد البشرية</v>
          </cell>
          <cell r="V100" t="str">
            <v>الخدمات المشتركة</v>
          </cell>
          <cell r="W100" t="str">
            <v>Al Riyadh</v>
          </cell>
          <cell r="X100" t="str">
            <v xml:space="preserve">المقر الرئيسي </v>
          </cell>
          <cell r="Y100">
            <v>45438</v>
          </cell>
          <cell r="Z100">
            <v>2.06</v>
          </cell>
          <cell r="AA100">
            <v>752</v>
          </cell>
          <cell r="AB100" t="str">
            <v>نشط</v>
          </cell>
          <cell r="AC100" t="str">
            <v>100000</v>
          </cell>
          <cell r="AD100" t="str">
            <v>Hussain Almalki</v>
          </cell>
          <cell r="AE100" t="str">
            <v>موظف</v>
          </cell>
          <cell r="AF100" t="str">
            <v/>
          </cell>
          <cell r="AG100">
            <v>46167</v>
          </cell>
          <cell r="AH100" t="str">
            <v>موارد بشرية</v>
          </cell>
          <cell r="AI100" t="str">
            <v>بكالوريوس</v>
          </cell>
          <cell r="AJ100">
            <v>2</v>
          </cell>
          <cell r="AK100">
            <v>0</v>
          </cell>
          <cell r="AL100">
            <v>0</v>
          </cell>
          <cell r="AM100">
            <v>2</v>
          </cell>
          <cell r="AN100" t="str">
            <v/>
          </cell>
          <cell r="AO100" t="str">
            <v>الموارد البشرية</v>
          </cell>
          <cell r="AP100" t="str">
            <v>Al Rajhi Bank</v>
          </cell>
          <cell r="AQ100" t="str">
            <v xml:space="preserve"> SA2280000296608016026018</v>
          </cell>
          <cell r="AR100">
            <v>17690.400000000001</v>
          </cell>
          <cell r="AS100">
            <v>17690.400000000001</v>
          </cell>
          <cell r="AT100">
            <v>1769.04</v>
          </cell>
          <cell r="AU100">
            <v>4422.6000000000004</v>
          </cell>
          <cell r="AV100">
            <v>300</v>
          </cell>
        </row>
        <row r="101">
          <cell r="A101">
            <v>100115</v>
          </cell>
          <cell r="B101" t="str">
            <v>1056935354</v>
          </cell>
          <cell r="C101" t="str">
            <v>السيد</v>
          </cell>
          <cell r="D101" t="str">
            <v>Abdulrahman Khalid Abdulrahman Alturki</v>
          </cell>
          <cell r="E101" t="str">
            <v>عبدالرحمن خالد عبدالرحمن التركي</v>
          </cell>
          <cell r="F101" t="str">
            <v>Male</v>
          </cell>
          <cell r="G101" t="str">
            <v>أعزب</v>
          </cell>
          <cell r="H101">
            <v>32449</v>
          </cell>
          <cell r="I101">
            <v>38</v>
          </cell>
          <cell r="J101">
            <v>13741</v>
          </cell>
          <cell r="K101" t="str">
            <v>Abdulrahman.Alturki@agriserv.sa</v>
          </cell>
          <cell r="L101" t="str">
            <v>0555131043</v>
          </cell>
          <cell r="M101" t="str">
            <v>6206</v>
          </cell>
          <cell r="N101" t="str">
            <v>المملكة العربية السعودية</v>
          </cell>
          <cell r="O101" t="str">
            <v>50000053</v>
          </cell>
          <cell r="P101" t="str">
            <v>مدير إدارة، تشغيل الأصول</v>
          </cell>
          <cell r="Q101" t="str">
            <v>8 الدرجة</v>
          </cell>
          <cell r="R101" t="str">
            <v>Class VIP</v>
          </cell>
          <cell r="S101" t="str">
            <v/>
          </cell>
          <cell r="T101" t="str">
            <v>تنمية الأعمال</v>
          </cell>
          <cell r="U101" t="str">
            <v>إدارة الأصول والاستثمار</v>
          </cell>
          <cell r="V101" t="str">
            <v>إدارة الأصول والاستثمار</v>
          </cell>
          <cell r="W101" t="str">
            <v>Al Riyadh</v>
          </cell>
          <cell r="X101" t="str">
            <v xml:space="preserve">المقر الرئيسي </v>
          </cell>
          <cell r="Y101">
            <v>45445</v>
          </cell>
          <cell r="Z101">
            <v>2.04</v>
          </cell>
          <cell r="AA101">
            <v>745</v>
          </cell>
          <cell r="AB101" t="str">
            <v>غير نشط</v>
          </cell>
          <cell r="AC101" t="str">
            <v>100084</v>
          </cell>
          <cell r="AD101" t="str">
            <v>Naif Alsudais</v>
          </cell>
          <cell r="AE101" t="str">
            <v>موظف</v>
          </cell>
          <cell r="AF101">
            <v>45911</v>
          </cell>
          <cell r="AG101">
            <v>45809</v>
          </cell>
          <cell r="AH101" t="str">
            <v>هندسة ميكانيكا</v>
          </cell>
          <cell r="AI101" t="str">
            <v>بكالوريوس</v>
          </cell>
          <cell r="AJ101">
            <v>2</v>
          </cell>
          <cell r="AK101">
            <v>0</v>
          </cell>
          <cell r="AL101">
            <v>0</v>
          </cell>
          <cell r="AM101">
            <v>2</v>
          </cell>
          <cell r="AN101" t="str">
            <v/>
          </cell>
          <cell r="AO101" t="str">
            <v>إدارة الاصول</v>
          </cell>
          <cell r="AP101" t="str">
            <v>Saudi Awwal Bank</v>
          </cell>
          <cell r="AQ101" t="str">
            <v>SA2445000000162275051001</v>
          </cell>
          <cell r="AR101">
            <v>36750</v>
          </cell>
          <cell r="AS101">
            <v>36750</v>
          </cell>
          <cell r="AT101">
            <v>3000</v>
          </cell>
          <cell r="AU101">
            <v>9187.5</v>
          </cell>
          <cell r="AV101">
            <v>500</v>
          </cell>
        </row>
        <row r="102">
          <cell r="A102">
            <v>100116</v>
          </cell>
          <cell r="B102" t="str">
            <v>1062449606</v>
          </cell>
          <cell r="C102" t="str">
            <v>السيد</v>
          </cell>
          <cell r="D102" t="str">
            <v>Abdullah Mohammed Abdullah Alshayea</v>
          </cell>
          <cell r="E102" t="str">
            <v>عبدالله محمد عبدالله ال شائع</v>
          </cell>
          <cell r="F102" t="str">
            <v>Male</v>
          </cell>
          <cell r="G102" t="str">
            <v>متزوج</v>
          </cell>
          <cell r="H102">
            <v>32520</v>
          </cell>
          <cell r="I102">
            <v>37</v>
          </cell>
          <cell r="J102">
            <v>13670</v>
          </cell>
          <cell r="K102" t="str">
            <v>Abdullah.Alshayea@agriserv.sa</v>
          </cell>
          <cell r="L102" t="str">
            <v>0598181672</v>
          </cell>
          <cell r="M102" t="str">
            <v>7101</v>
          </cell>
          <cell r="N102" t="str">
            <v>المملكة العربية السعودية</v>
          </cell>
          <cell r="O102" t="str">
            <v>50000658</v>
          </cell>
          <cell r="P102" t="str">
            <v>مدير تنفيذي إدارة المشاريع</v>
          </cell>
          <cell r="Q102" t="str">
            <v>8 الدرجة</v>
          </cell>
          <cell r="R102" t="str">
            <v>Class VIP</v>
          </cell>
          <cell r="S102" t="str">
            <v/>
          </cell>
          <cell r="T102" t="str">
            <v/>
          </cell>
          <cell r="U102" t="str">
            <v>مراقبة الأداء</v>
          </cell>
          <cell r="V102" t="str">
            <v>إدارة المشاريع</v>
          </cell>
          <cell r="W102" t="str">
            <v>Al Riyadh</v>
          </cell>
          <cell r="X102" t="str">
            <v xml:space="preserve">المقر الرئيسي </v>
          </cell>
          <cell r="Y102">
            <v>45445</v>
          </cell>
          <cell r="Z102">
            <v>2.04</v>
          </cell>
          <cell r="AA102">
            <v>745</v>
          </cell>
          <cell r="AB102" t="str">
            <v>نشط</v>
          </cell>
          <cell r="AC102" t="str">
            <v>100049</v>
          </cell>
          <cell r="AD102" t="str">
            <v>Sultan Bingarid</v>
          </cell>
          <cell r="AE102" t="str">
            <v>موظف</v>
          </cell>
          <cell r="AF102" t="str">
            <v/>
          </cell>
          <cell r="AG102">
            <v>46174</v>
          </cell>
          <cell r="AH102" t="str">
            <v>العامة التنفيذي</v>
          </cell>
          <cell r="AI102" t="str">
            <v>ماجستير</v>
          </cell>
          <cell r="AJ102">
            <v>5</v>
          </cell>
          <cell r="AK102">
            <v>2</v>
          </cell>
          <cell r="AL102">
            <v>1</v>
          </cell>
          <cell r="AM102">
            <v>2</v>
          </cell>
          <cell r="AN102">
            <v>2</v>
          </cell>
          <cell r="AO102" t="str">
            <v>مكتب إدارة المشاريع</v>
          </cell>
          <cell r="AP102" t="str">
            <v>Arab National Bank</v>
          </cell>
          <cell r="AQ102" t="str">
            <v>SA7530400108061940220010</v>
          </cell>
          <cell r="AR102">
            <v>43680</v>
          </cell>
          <cell r="AS102">
            <v>43680</v>
          </cell>
          <cell r="AT102">
            <v>3000</v>
          </cell>
          <cell r="AU102">
            <v>10920</v>
          </cell>
          <cell r="AV102">
            <v>500</v>
          </cell>
        </row>
        <row r="103">
          <cell r="A103">
            <v>100117</v>
          </cell>
          <cell r="B103" t="str">
            <v>1101093191</v>
          </cell>
          <cell r="C103" t="str">
            <v>السيد</v>
          </cell>
          <cell r="D103" t="str">
            <v>Eissa Mohammed Hassan Alzanbagi</v>
          </cell>
          <cell r="E103" t="str">
            <v>عيسى محمد حسن الزنبقي</v>
          </cell>
          <cell r="F103" t="str">
            <v>Male</v>
          </cell>
          <cell r="G103" t="str">
            <v>أعزب</v>
          </cell>
          <cell r="H103">
            <v>35163</v>
          </cell>
          <cell r="I103">
            <v>30</v>
          </cell>
          <cell r="J103">
            <v>11027</v>
          </cell>
          <cell r="K103" t="str">
            <v>Eissa.Alzanbagi@agriserv.sa</v>
          </cell>
          <cell r="L103" t="str">
            <v>0546146242</v>
          </cell>
          <cell r="M103" t="str">
            <v>8202</v>
          </cell>
          <cell r="N103" t="str">
            <v>المملكة العربية السعودية</v>
          </cell>
          <cell r="O103" t="str">
            <v>50000440</v>
          </cell>
          <cell r="P103" t="str">
            <v>مدير، دعم العملاء</v>
          </cell>
          <cell r="Q103" t="str">
            <v>الدرجة ٥</v>
          </cell>
          <cell r="R103" t="str">
            <v>Class VIP</v>
          </cell>
          <cell r="S103" t="str">
            <v/>
          </cell>
          <cell r="T103" t="str">
            <v/>
          </cell>
          <cell r="U103" t="str">
            <v>المراجعة الداخلية المؤسسية</v>
          </cell>
          <cell r="V103" t="str">
            <v>المراجعة الداخلية</v>
          </cell>
          <cell r="W103" t="str">
            <v>Al Riyadh</v>
          </cell>
          <cell r="X103" t="str">
            <v xml:space="preserve">المقر الرئيسي </v>
          </cell>
          <cell r="Y103">
            <v>45445</v>
          </cell>
          <cell r="Z103">
            <v>2.04</v>
          </cell>
          <cell r="AA103">
            <v>745</v>
          </cell>
          <cell r="AB103" t="str">
            <v>غير نشط</v>
          </cell>
          <cell r="AC103" t="str">
            <v>100044</v>
          </cell>
          <cell r="AD103" t="str">
            <v>Essam Alnasayyn</v>
          </cell>
          <cell r="AE103" t="str">
            <v>موظف</v>
          </cell>
          <cell r="AF103">
            <v>45809</v>
          </cell>
          <cell r="AG103">
            <v>45809</v>
          </cell>
          <cell r="AH103" t="str">
            <v>المحاسبة</v>
          </cell>
          <cell r="AI103" t="str">
            <v>بكالوريوس</v>
          </cell>
          <cell r="AJ103">
            <v>2</v>
          </cell>
          <cell r="AK103">
            <v>0</v>
          </cell>
          <cell r="AL103">
            <v>0</v>
          </cell>
          <cell r="AM103">
            <v>2</v>
          </cell>
          <cell r="AN103" t="str">
            <v/>
          </cell>
          <cell r="AO103" t="str">
            <v>Internal Audit Department</v>
          </cell>
          <cell r="AP103" t="str">
            <v>Al Rajhi Bank</v>
          </cell>
          <cell r="AQ103" t="str">
            <v>SA8280000453608010331918</v>
          </cell>
          <cell r="AR103">
            <v>12750</v>
          </cell>
          <cell r="AS103">
            <v>12750</v>
          </cell>
          <cell r="AT103">
            <v>1275</v>
          </cell>
          <cell r="AU103">
            <v>3187.5</v>
          </cell>
          <cell r="AV103" t="str">
            <v/>
          </cell>
        </row>
        <row r="104">
          <cell r="A104">
            <v>100118</v>
          </cell>
          <cell r="B104" t="str">
            <v>1062364805</v>
          </cell>
          <cell r="C104" t="str">
            <v>السيد</v>
          </cell>
          <cell r="D104" t="str">
            <v>Mohammed Abdullah Fahad Aldusaymani</v>
          </cell>
          <cell r="E104" t="str">
            <v>محمد عبدالله فهد الدسيماني</v>
          </cell>
          <cell r="F104" t="str">
            <v>Male</v>
          </cell>
          <cell r="G104" t="str">
            <v>متزوج</v>
          </cell>
          <cell r="H104">
            <v>31405</v>
          </cell>
          <cell r="I104">
            <v>40</v>
          </cell>
          <cell r="J104">
            <v>14785</v>
          </cell>
          <cell r="K104" t="str">
            <v>Mohammed.Aldusaymani@agriserv.sa</v>
          </cell>
          <cell r="L104" t="str">
            <v>0556777636</v>
          </cell>
          <cell r="M104" t="str">
            <v>6208</v>
          </cell>
          <cell r="N104" t="str">
            <v>المملكة العربية السعودية</v>
          </cell>
          <cell r="O104" t="str">
            <v>50001312</v>
          </cell>
          <cell r="P104" t="str">
            <v>مدير إدارة العقود والاتفاقيات</v>
          </cell>
          <cell r="Q104" t="str">
            <v>8 الدرجة</v>
          </cell>
          <cell r="R104" t="str">
            <v>Class VIP</v>
          </cell>
          <cell r="S104" t="str">
            <v/>
          </cell>
          <cell r="T104" t="str">
            <v/>
          </cell>
          <cell r="U104" t="str">
            <v>المشتريات</v>
          </cell>
          <cell r="V104" t="str">
            <v>الخدمات المشتركة</v>
          </cell>
          <cell r="W104" t="str">
            <v>Al Riyadh</v>
          </cell>
          <cell r="X104" t="str">
            <v xml:space="preserve">المقر الرئيسي </v>
          </cell>
          <cell r="Y104">
            <v>45448</v>
          </cell>
          <cell r="Z104">
            <v>2.0299999999999998</v>
          </cell>
          <cell r="AA104">
            <v>742</v>
          </cell>
          <cell r="AB104" t="str">
            <v>نشط</v>
          </cell>
          <cell r="AC104" t="str">
            <v>100009</v>
          </cell>
          <cell r="AD104" t="str">
            <v>Abdullah AlOthman</v>
          </cell>
          <cell r="AE104" t="str">
            <v>موظف</v>
          </cell>
          <cell r="AF104" t="str">
            <v/>
          </cell>
          <cell r="AG104">
            <v>46177</v>
          </cell>
          <cell r="AH104" t="str">
            <v>قانون</v>
          </cell>
          <cell r="AI104" t="str">
            <v>ماجستير</v>
          </cell>
          <cell r="AJ104">
            <v>5</v>
          </cell>
          <cell r="AK104">
            <v>2</v>
          </cell>
          <cell r="AL104">
            <v>1</v>
          </cell>
          <cell r="AM104">
            <v>2</v>
          </cell>
          <cell r="AN104">
            <v>2</v>
          </cell>
          <cell r="AO104" t="str">
            <v>المشتريات</v>
          </cell>
          <cell r="AP104" t="str">
            <v>Al Rajhi Bank</v>
          </cell>
          <cell r="AQ104" t="str">
            <v>SA6280000441608010042460</v>
          </cell>
          <cell r="AR104">
            <v>46305</v>
          </cell>
          <cell r="AS104">
            <v>46305</v>
          </cell>
          <cell r="AT104">
            <v>3000</v>
          </cell>
          <cell r="AU104">
            <v>11576.25</v>
          </cell>
          <cell r="AV104">
            <v>500</v>
          </cell>
        </row>
        <row r="105">
          <cell r="A105">
            <v>100119</v>
          </cell>
          <cell r="B105" t="str">
            <v>1029329917</v>
          </cell>
          <cell r="C105" t="str">
            <v>السيد</v>
          </cell>
          <cell r="D105" t="str">
            <v>Abdullah Hassan Abdulaziz Alyemni</v>
          </cell>
          <cell r="E105" t="str">
            <v>عبدالله حسن عبدالعزيز اليمني</v>
          </cell>
          <cell r="F105" t="str">
            <v>Male</v>
          </cell>
          <cell r="G105" t="str">
            <v>متزوج</v>
          </cell>
          <cell r="H105">
            <v>24579</v>
          </cell>
          <cell r="I105">
            <v>59</v>
          </cell>
          <cell r="J105">
            <v>21611</v>
          </cell>
          <cell r="K105" t="str">
            <v>Abdullah.Alyemni@agriserv.sa</v>
          </cell>
          <cell r="L105" t="str">
            <v>0505933367</v>
          </cell>
          <cell r="M105" t="str">
            <v>3200</v>
          </cell>
          <cell r="N105" t="str">
            <v>المملكة العربية السعودية</v>
          </cell>
          <cell r="O105" t="str">
            <v>50000604</v>
          </cell>
          <cell r="P105" t="str">
            <v>مدير عام الخدمات البيطرية</v>
          </cell>
          <cell r="Q105" t="str">
            <v>الدرجة 9</v>
          </cell>
          <cell r="R105" t="str">
            <v>Class VVIP</v>
          </cell>
          <cell r="S105" t="str">
            <v/>
          </cell>
          <cell r="T105" t="str">
            <v/>
          </cell>
          <cell r="U105" t="str">
            <v>الخدمات البيطرية</v>
          </cell>
          <cell r="V105" t="str">
            <v>العمليات</v>
          </cell>
          <cell r="W105" t="str">
            <v>Al Riyadh</v>
          </cell>
          <cell r="X105" t="str">
            <v xml:space="preserve">المقر الرئيسي </v>
          </cell>
          <cell r="Y105">
            <v>45466</v>
          </cell>
          <cell r="Z105">
            <v>1.98</v>
          </cell>
          <cell r="AA105">
            <v>724</v>
          </cell>
          <cell r="AB105" t="str">
            <v>غير نشط</v>
          </cell>
          <cell r="AC105" t="str">
            <v>400003</v>
          </cell>
          <cell r="AD105" t="str">
            <v>Ibrahim Bukhari</v>
          </cell>
          <cell r="AE105" t="str">
            <v>موظف</v>
          </cell>
          <cell r="AF105">
            <v>45659</v>
          </cell>
          <cell r="AG105">
            <v>45830</v>
          </cell>
          <cell r="AH105" t="str">
            <v>الحيوان الزراعي</v>
          </cell>
          <cell r="AI105" t="str">
            <v>ماجستير</v>
          </cell>
          <cell r="AJ105">
            <v>7</v>
          </cell>
          <cell r="AK105">
            <v>4</v>
          </cell>
          <cell r="AL105">
            <v>1</v>
          </cell>
          <cell r="AM105">
            <v>2</v>
          </cell>
          <cell r="AN105">
            <v>2</v>
          </cell>
          <cell r="AO105" t="str">
            <v>Operation Department</v>
          </cell>
          <cell r="AP105" t="str">
            <v>Al Rajhi Bank</v>
          </cell>
          <cell r="AQ105" t="str">
            <v>SA8880000501608010020562</v>
          </cell>
          <cell r="AR105">
            <v>54000</v>
          </cell>
          <cell r="AS105">
            <v>54000</v>
          </cell>
          <cell r="AT105">
            <v>3500</v>
          </cell>
          <cell r="AU105">
            <v>13500</v>
          </cell>
          <cell r="AV105">
            <v>800</v>
          </cell>
        </row>
        <row r="106">
          <cell r="A106">
            <v>100120</v>
          </cell>
          <cell r="B106" t="str">
            <v>1005007081</v>
          </cell>
          <cell r="C106" t="str">
            <v>السيد</v>
          </cell>
          <cell r="D106" t="str">
            <v>Omran Nasser Sulaiman Alomran</v>
          </cell>
          <cell r="E106" t="str">
            <v>عمران ناصر سليمان العمران</v>
          </cell>
          <cell r="F106" t="str">
            <v>Male</v>
          </cell>
          <cell r="G106" t="str">
            <v>متزوج</v>
          </cell>
          <cell r="H106">
            <v>29736</v>
          </cell>
          <cell r="I106">
            <v>45</v>
          </cell>
          <cell r="J106">
            <v>16454</v>
          </cell>
          <cell r="K106" t="str">
            <v>omran.alomran@agriserv.sa</v>
          </cell>
          <cell r="L106" t="str">
            <v>0504166646</v>
          </cell>
          <cell r="M106" t="str">
            <v>6209</v>
          </cell>
          <cell r="N106" t="str">
            <v>المملكة العربية السعودية</v>
          </cell>
          <cell r="O106" t="str">
            <v>50000503</v>
          </cell>
          <cell r="P106" t="str">
            <v>مدير العمليات</v>
          </cell>
          <cell r="Q106" t="str">
            <v>الدرجة 6</v>
          </cell>
          <cell r="R106" t="str">
            <v>Class VIP</v>
          </cell>
          <cell r="S106" t="str">
            <v/>
          </cell>
          <cell r="T106" t="str">
            <v>تنمية الأعمال</v>
          </cell>
          <cell r="U106" t="str">
            <v>إدارة الأصول والاستثمار</v>
          </cell>
          <cell r="V106" t="str">
            <v>إدارة الأصول والاستثمار</v>
          </cell>
          <cell r="W106" t="str">
            <v>Al Riyadh</v>
          </cell>
          <cell r="X106" t="str">
            <v xml:space="preserve">المقر الرئيسي </v>
          </cell>
          <cell r="Y106">
            <v>45474</v>
          </cell>
          <cell r="Z106">
            <v>1.96</v>
          </cell>
          <cell r="AA106">
            <v>716</v>
          </cell>
          <cell r="AB106" t="str">
            <v>نشط</v>
          </cell>
          <cell r="AC106" t="str">
            <v>100185</v>
          </cell>
          <cell r="AD106" t="str">
            <v>Marwan Alshaded</v>
          </cell>
          <cell r="AE106" t="str">
            <v>موظف</v>
          </cell>
          <cell r="AF106" t="str">
            <v/>
          </cell>
          <cell r="AG106">
            <v>46203</v>
          </cell>
          <cell r="AH106" t="str">
            <v>إدارة الأعمال</v>
          </cell>
          <cell r="AI106" t="str">
            <v>بكالوريوس</v>
          </cell>
          <cell r="AJ106">
            <v>6</v>
          </cell>
          <cell r="AK106">
            <v>3</v>
          </cell>
          <cell r="AL106">
            <v>1</v>
          </cell>
          <cell r="AM106">
            <v>2</v>
          </cell>
          <cell r="AN106" t="str">
            <v/>
          </cell>
          <cell r="AO106" t="str">
            <v>الأصول والاستثمار</v>
          </cell>
          <cell r="AP106" t="str">
            <v>Bank Al Bilad</v>
          </cell>
          <cell r="AQ106" t="str">
            <v>SA7215000999101376490017</v>
          </cell>
          <cell r="AR106">
            <v>15834</v>
          </cell>
          <cell r="AS106">
            <v>15834</v>
          </cell>
          <cell r="AT106">
            <v>1583.4</v>
          </cell>
          <cell r="AU106">
            <v>3958.5</v>
          </cell>
          <cell r="AV106">
            <v>500</v>
          </cell>
        </row>
        <row r="107">
          <cell r="A107">
            <v>100121</v>
          </cell>
          <cell r="B107" t="str">
            <v>1058446780</v>
          </cell>
          <cell r="C107" t="str">
            <v>السيد</v>
          </cell>
          <cell r="D107" t="str">
            <v>Abdullah Hassan Y Alfaqih</v>
          </cell>
          <cell r="E107" t="str">
            <v>عبدالله حسن يحي الفقيه</v>
          </cell>
          <cell r="F107" t="str">
            <v>Male</v>
          </cell>
          <cell r="G107" t="str">
            <v>متزوج</v>
          </cell>
          <cell r="H107">
            <v>31740</v>
          </cell>
          <cell r="I107">
            <v>40</v>
          </cell>
          <cell r="J107">
            <v>14450</v>
          </cell>
          <cell r="K107" t="str">
            <v>abdullah.alfaqih@agriserv.sa</v>
          </cell>
          <cell r="L107" t="str">
            <v>0555615556</v>
          </cell>
          <cell r="M107" t="str">
            <v>7201</v>
          </cell>
          <cell r="N107" t="str">
            <v>المملكة العربية السعودية</v>
          </cell>
          <cell r="O107" t="str">
            <v>50000667</v>
          </cell>
          <cell r="P107" t="str">
            <v>مدير ادارة، التخطيط الاستراتيجي</v>
          </cell>
          <cell r="Q107" t="str">
            <v>8 الدرجة</v>
          </cell>
          <cell r="R107" t="str">
            <v>Class VIP</v>
          </cell>
          <cell r="S107" t="str">
            <v/>
          </cell>
          <cell r="T107" t="str">
            <v/>
          </cell>
          <cell r="U107" t="str">
            <v>الاستراتجية</v>
          </cell>
          <cell r="V107" t="str">
            <v>التخطيط والاستراتجية</v>
          </cell>
          <cell r="W107" t="str">
            <v>Al Riyadh</v>
          </cell>
          <cell r="X107" t="str">
            <v xml:space="preserve">المقر الرئيسي </v>
          </cell>
          <cell r="Y107">
            <v>45487</v>
          </cell>
          <cell r="Z107">
            <v>1.92</v>
          </cell>
          <cell r="AA107">
            <v>703</v>
          </cell>
          <cell r="AB107" t="str">
            <v>غير نشط</v>
          </cell>
          <cell r="AC107" t="str">
            <v>100043</v>
          </cell>
          <cell r="AD107" t="str">
            <v>Raed Alluhaidan</v>
          </cell>
          <cell r="AE107" t="str">
            <v>موظف</v>
          </cell>
          <cell r="AF107">
            <v>46070</v>
          </cell>
          <cell r="AG107">
            <v>46216</v>
          </cell>
          <cell r="AH107" t="str">
            <v>إدارة الأعمال</v>
          </cell>
          <cell r="AI107" t="str">
            <v>ماجستير</v>
          </cell>
          <cell r="AJ107">
            <v>4</v>
          </cell>
          <cell r="AK107">
            <v>2</v>
          </cell>
          <cell r="AL107">
            <v>1</v>
          </cell>
          <cell r="AM107">
            <v>1</v>
          </cell>
          <cell r="AN107" t="str">
            <v/>
          </cell>
          <cell r="AO107" t="str">
            <v>Strategy and Policy</v>
          </cell>
          <cell r="AP107" t="str">
            <v>Saudi National Bank</v>
          </cell>
          <cell r="AQ107" t="str">
            <v xml:space="preserve"> SA6910000011100196347609</v>
          </cell>
          <cell r="AR107">
            <v>34800</v>
          </cell>
          <cell r="AS107">
            <v>34800</v>
          </cell>
          <cell r="AT107">
            <v>3000</v>
          </cell>
          <cell r="AU107">
            <v>8700</v>
          </cell>
          <cell r="AV107">
            <v>500</v>
          </cell>
        </row>
        <row r="108">
          <cell r="A108">
            <v>100122</v>
          </cell>
          <cell r="B108" t="str">
            <v>1083843563</v>
          </cell>
          <cell r="C108" t="str">
            <v>السيد</v>
          </cell>
          <cell r="D108" t="str">
            <v>Marwan Abdullah Abdulaziz Aljarboa</v>
          </cell>
          <cell r="E108" t="str">
            <v>مروان عبدالله عبدالعزيز الجربوع</v>
          </cell>
          <cell r="F108" t="str">
            <v>Male</v>
          </cell>
          <cell r="G108" t="str">
            <v>متزوج</v>
          </cell>
          <cell r="H108">
            <v>34259</v>
          </cell>
          <cell r="I108">
            <v>33</v>
          </cell>
          <cell r="J108">
            <v>11931</v>
          </cell>
          <cell r="K108" t="str">
            <v>marwan.aljarboa@agriserv.sa</v>
          </cell>
          <cell r="L108" t="str">
            <v>0581613060</v>
          </cell>
          <cell r="M108" t="str">
            <v>2601</v>
          </cell>
          <cell r="N108" t="str">
            <v>المملكة العربية السعودية</v>
          </cell>
          <cell r="O108" t="str">
            <v>50000386</v>
          </cell>
          <cell r="P108" t="str">
            <v>مدير التنفيذي إدارة المكاتب والمرافق</v>
          </cell>
          <cell r="Q108" t="str">
            <v>الدرجة 7</v>
          </cell>
          <cell r="R108" t="str">
            <v>Class VIP</v>
          </cell>
          <cell r="S108" t="str">
            <v/>
          </cell>
          <cell r="T108" t="str">
            <v>إدارة المكاتب والمرافق</v>
          </cell>
          <cell r="U108" t="str">
            <v>الشؤون الإدارية</v>
          </cell>
          <cell r="V108" t="str">
            <v>الخدمات المشتركة</v>
          </cell>
          <cell r="W108" t="str">
            <v>Al Riyadh</v>
          </cell>
          <cell r="X108" t="str">
            <v xml:space="preserve">المقر الرئيسي </v>
          </cell>
          <cell r="Y108">
            <v>45494</v>
          </cell>
          <cell r="Z108">
            <v>1.91</v>
          </cell>
          <cell r="AA108">
            <v>696</v>
          </cell>
          <cell r="AB108" t="str">
            <v>نشط</v>
          </cell>
          <cell r="AC108" t="str">
            <v>100005</v>
          </cell>
          <cell r="AD108" t="str">
            <v>Khalid Alghannam</v>
          </cell>
          <cell r="AE108" t="str">
            <v>موظف</v>
          </cell>
          <cell r="AF108" t="str">
            <v/>
          </cell>
          <cell r="AG108">
            <v>46223</v>
          </cell>
          <cell r="AH108" t="str">
            <v>هندسة مدنية</v>
          </cell>
          <cell r="AI108" t="str">
            <v>بكالوريوس</v>
          </cell>
          <cell r="AJ108">
            <v>2</v>
          </cell>
          <cell r="AK108">
            <v>1</v>
          </cell>
          <cell r="AL108">
            <v>1</v>
          </cell>
          <cell r="AM108">
            <v>0</v>
          </cell>
          <cell r="AN108" t="str">
            <v/>
          </cell>
          <cell r="AO108" t="str">
            <v>الشؤون الإدارية</v>
          </cell>
          <cell r="AP108" t="str">
            <v>Saudi National Bank</v>
          </cell>
          <cell r="AQ108" t="str">
            <v>SA9110000075200000106606</v>
          </cell>
          <cell r="AR108">
            <v>26728</v>
          </cell>
          <cell r="AS108">
            <v>26728</v>
          </cell>
          <cell r="AT108">
            <v>2672.8</v>
          </cell>
          <cell r="AU108">
            <v>6682</v>
          </cell>
          <cell r="AV108">
            <v>500</v>
          </cell>
        </row>
        <row r="109">
          <cell r="A109">
            <v>100123</v>
          </cell>
          <cell r="B109" t="str">
            <v>1069529111</v>
          </cell>
          <cell r="C109" t="str">
            <v>السيد</v>
          </cell>
          <cell r="D109" t="str">
            <v>Abdulrahman Saeed Ali Alasmari</v>
          </cell>
          <cell r="E109" t="str">
            <v>عبدالرحمن سعيد علي الأسمري</v>
          </cell>
          <cell r="F109" t="str">
            <v>Male</v>
          </cell>
          <cell r="G109" t="str">
            <v>متزوج</v>
          </cell>
          <cell r="H109">
            <v>33256</v>
          </cell>
          <cell r="I109">
            <v>35</v>
          </cell>
          <cell r="J109">
            <v>12934</v>
          </cell>
          <cell r="K109" t="str">
            <v>abdulrahman.alasmari@agriserv.sa</v>
          </cell>
          <cell r="L109" t="str">
            <v>0502621060</v>
          </cell>
          <cell r="M109" t="str">
            <v>2406</v>
          </cell>
          <cell r="N109" t="str">
            <v>المملكة العربية السعودية</v>
          </cell>
          <cell r="O109" t="str">
            <v>50000337</v>
          </cell>
          <cell r="P109" t="str">
            <v>مدير إدارة الحسابات</v>
          </cell>
          <cell r="Q109" t="str">
            <v>8 الدرجة</v>
          </cell>
          <cell r="R109" t="str">
            <v>Class VIP</v>
          </cell>
          <cell r="S109" t="str">
            <v/>
          </cell>
          <cell r="T109" t="str">
            <v>الحسابات</v>
          </cell>
          <cell r="U109" t="str">
            <v>الحسابات</v>
          </cell>
          <cell r="V109" t="str">
            <v>المالية</v>
          </cell>
          <cell r="W109" t="str">
            <v>Al Riyadh</v>
          </cell>
          <cell r="X109" t="str">
            <v xml:space="preserve">المقر الرئيسي </v>
          </cell>
          <cell r="Y109">
            <v>45494</v>
          </cell>
          <cell r="Z109">
            <v>1.91</v>
          </cell>
          <cell r="AA109">
            <v>696</v>
          </cell>
          <cell r="AB109" t="str">
            <v>غير نشط</v>
          </cell>
          <cell r="AC109" t="str">
            <v>100189</v>
          </cell>
          <cell r="AD109" t="str">
            <v>Abdullah Bin Nawman</v>
          </cell>
          <cell r="AE109" t="str">
            <v>موظف</v>
          </cell>
          <cell r="AF109">
            <v>46107</v>
          </cell>
          <cell r="AG109">
            <v>46223</v>
          </cell>
          <cell r="AH109" t="str">
            <v>المحاسبة</v>
          </cell>
          <cell r="AI109" t="str">
            <v>بكالوريوس</v>
          </cell>
          <cell r="AJ109">
            <v>3</v>
          </cell>
          <cell r="AK109">
            <v>1</v>
          </cell>
          <cell r="AL109">
            <v>1</v>
          </cell>
          <cell r="AM109">
            <v>1</v>
          </cell>
          <cell r="AN109" t="str">
            <v/>
          </cell>
          <cell r="AO109" t="str">
            <v>الحسابات</v>
          </cell>
          <cell r="AP109" t="str">
            <v>Saudi National Bank</v>
          </cell>
          <cell r="AQ109" t="str">
            <v>SA1410000002500000222207</v>
          </cell>
          <cell r="AR109">
            <v>26845</v>
          </cell>
          <cell r="AS109">
            <v>26845</v>
          </cell>
          <cell r="AT109">
            <v>2684.5</v>
          </cell>
          <cell r="AU109">
            <v>6711.25</v>
          </cell>
          <cell r="AV109">
            <v>500</v>
          </cell>
        </row>
        <row r="110">
          <cell r="A110">
            <v>100124</v>
          </cell>
          <cell r="B110" t="str">
            <v>1070315161</v>
          </cell>
          <cell r="C110" t="str">
            <v>السيد</v>
          </cell>
          <cell r="D110" t="str">
            <v>Salman Hamad Abdullah Althaqab</v>
          </cell>
          <cell r="E110" t="str">
            <v>سلمان حمد عبدالله الثاقب</v>
          </cell>
          <cell r="F110" t="str">
            <v>Male</v>
          </cell>
          <cell r="G110" t="str">
            <v>متزوج</v>
          </cell>
          <cell r="H110">
            <v>33350</v>
          </cell>
          <cell r="I110">
            <v>35</v>
          </cell>
          <cell r="J110">
            <v>12840</v>
          </cell>
          <cell r="K110" t="str">
            <v>salman.althaqib@agriserv.sa</v>
          </cell>
          <cell r="L110" t="str">
            <v>0556680331</v>
          </cell>
          <cell r="M110" t="str">
            <v>6210</v>
          </cell>
          <cell r="N110" t="str">
            <v>المملكة العربية السعودية</v>
          </cell>
          <cell r="O110" t="str">
            <v>50000659</v>
          </cell>
          <cell r="P110" t="str">
            <v>مدير تنفيذي التدقيق المالي والتحصيل</v>
          </cell>
          <cell r="Q110" t="str">
            <v>الدرجة 7</v>
          </cell>
          <cell r="R110" t="str">
            <v>Class VIP</v>
          </cell>
          <cell r="S110" t="str">
            <v/>
          </cell>
          <cell r="T110" t="str">
            <v>تنمية الأعمال</v>
          </cell>
          <cell r="U110" t="str">
            <v>إدارة الأصول والاستثمار</v>
          </cell>
          <cell r="V110" t="str">
            <v>إدارة الأصول والاستثمار</v>
          </cell>
          <cell r="W110" t="str">
            <v>Al Riyadh</v>
          </cell>
          <cell r="X110" t="str">
            <v xml:space="preserve">المقر الرئيسي </v>
          </cell>
          <cell r="Y110">
            <v>45497</v>
          </cell>
          <cell r="Z110">
            <v>1.9</v>
          </cell>
          <cell r="AA110">
            <v>693</v>
          </cell>
          <cell r="AB110" t="str">
            <v>نشط</v>
          </cell>
          <cell r="AC110" t="str">
            <v>100084</v>
          </cell>
          <cell r="AD110" t="str">
            <v>Naif Alsudais</v>
          </cell>
          <cell r="AE110" t="str">
            <v>موظف</v>
          </cell>
          <cell r="AF110" t="str">
            <v/>
          </cell>
          <cell r="AG110">
            <v>46226</v>
          </cell>
          <cell r="AH110" t="str">
            <v>المحاسبة</v>
          </cell>
          <cell r="AI110" t="str">
            <v>بكالوريوس</v>
          </cell>
          <cell r="AJ110">
            <v>2</v>
          </cell>
          <cell r="AK110">
            <v>0</v>
          </cell>
          <cell r="AL110">
            <v>1</v>
          </cell>
          <cell r="AM110">
            <v>1</v>
          </cell>
          <cell r="AN110" t="str">
            <v/>
          </cell>
          <cell r="AO110" t="str">
            <v>الأصول والاستثمار</v>
          </cell>
          <cell r="AP110" t="str">
            <v>Saudi Awwal Bank</v>
          </cell>
          <cell r="AQ110" t="str">
            <v>SA7245000000075123083001</v>
          </cell>
          <cell r="AR110">
            <v>24752</v>
          </cell>
          <cell r="AS110">
            <v>24752</v>
          </cell>
          <cell r="AT110">
            <v>2475.1999999999998</v>
          </cell>
          <cell r="AU110">
            <v>6188</v>
          </cell>
          <cell r="AV110">
            <v>500</v>
          </cell>
        </row>
        <row r="111">
          <cell r="A111">
            <v>100125</v>
          </cell>
          <cell r="B111" t="str">
            <v>2468389412</v>
          </cell>
          <cell r="C111" t="str">
            <v>السيد</v>
          </cell>
          <cell r="D111" t="str">
            <v>Mamdouh Magdy Said Issa</v>
          </cell>
          <cell r="E111" t="str">
            <v>ممدوح مجدي سعيد عيسى</v>
          </cell>
          <cell r="F111" t="str">
            <v>Male</v>
          </cell>
          <cell r="G111" t="str">
            <v>متزوج</v>
          </cell>
          <cell r="H111">
            <v>34742</v>
          </cell>
          <cell r="I111">
            <v>31</v>
          </cell>
          <cell r="J111">
            <v>11448</v>
          </cell>
          <cell r="K111" t="str">
            <v>mamdouh.issa@agriserv.sa</v>
          </cell>
          <cell r="L111" t="str">
            <v>0563108747</v>
          </cell>
          <cell r="M111" t="str">
            <v>2205</v>
          </cell>
          <cell r="N111" t="str">
            <v>مصر</v>
          </cell>
          <cell r="O111" t="str">
            <v>50000381</v>
          </cell>
          <cell r="P111" t="str">
            <v>أخصائي أول تطوير التطبيقات</v>
          </cell>
          <cell r="Q111" t="str">
            <v>الدرجة ٥</v>
          </cell>
          <cell r="R111" t="str">
            <v>Class VIP</v>
          </cell>
          <cell r="S111" t="str">
            <v/>
          </cell>
          <cell r="T111" t="str">
            <v>استراتيجية تقنية المعلومات</v>
          </cell>
          <cell r="U111" t="str">
            <v>تقنية المعلومات</v>
          </cell>
          <cell r="V111" t="str">
            <v>الخدمات المشتركة</v>
          </cell>
          <cell r="W111" t="str">
            <v>Al Riyadh</v>
          </cell>
          <cell r="X111" t="str">
            <v xml:space="preserve">المقر الرئيسي </v>
          </cell>
          <cell r="Y111">
            <v>45498</v>
          </cell>
          <cell r="Z111">
            <v>1.89</v>
          </cell>
          <cell r="AA111">
            <v>692</v>
          </cell>
          <cell r="AB111" t="str">
            <v>نشط</v>
          </cell>
          <cell r="AC111" t="str">
            <v>100067</v>
          </cell>
          <cell r="AD111" t="str">
            <v>Moath Almqbel</v>
          </cell>
          <cell r="AE111" t="str">
            <v>موظف</v>
          </cell>
          <cell r="AF111" t="str">
            <v/>
          </cell>
          <cell r="AG111">
            <v>46227</v>
          </cell>
          <cell r="AH111" t="str">
            <v>علوم كمبيوتر</v>
          </cell>
          <cell r="AI111" t="str">
            <v>بكالوريوس</v>
          </cell>
          <cell r="AJ111">
            <v>2</v>
          </cell>
          <cell r="AK111">
            <v>1</v>
          </cell>
          <cell r="AL111">
            <v>1</v>
          </cell>
          <cell r="AM111">
            <v>0</v>
          </cell>
          <cell r="AN111" t="str">
            <v/>
          </cell>
          <cell r="AO111" t="str">
            <v>التحول الرقمي وتقنية المعلومات</v>
          </cell>
          <cell r="AP111" t="str">
            <v>Saudi National Bank</v>
          </cell>
          <cell r="AQ111" t="str">
            <v>SA8910000011100116071407</v>
          </cell>
          <cell r="AR111">
            <v>15015</v>
          </cell>
          <cell r="AS111">
            <v>15015</v>
          </cell>
          <cell r="AT111">
            <v>1501.5</v>
          </cell>
          <cell r="AU111">
            <v>3753.75</v>
          </cell>
          <cell r="AV111">
            <v>300</v>
          </cell>
        </row>
        <row r="112">
          <cell r="A112">
            <v>100126</v>
          </cell>
          <cell r="B112" t="str">
            <v>1037880711</v>
          </cell>
          <cell r="C112" t="str">
            <v>السيد</v>
          </cell>
          <cell r="D112" t="str">
            <v>Yousef Ibrahim Mohammed Aldlaigan</v>
          </cell>
          <cell r="E112" t="str">
            <v>يوسف ابراهيم محمد الدليقان</v>
          </cell>
          <cell r="F112" t="str">
            <v>Male</v>
          </cell>
          <cell r="G112" t="str">
            <v>متزوج</v>
          </cell>
          <cell r="H112">
            <v>22269</v>
          </cell>
          <cell r="I112">
            <v>65</v>
          </cell>
          <cell r="J112">
            <v>23921</v>
          </cell>
          <cell r="K112" t="str">
            <v>yousef.aldlaigan@agriserv.sa</v>
          </cell>
          <cell r="L112" t="str">
            <v>0508993399</v>
          </cell>
          <cell r="M112" t="str">
            <v>3106</v>
          </cell>
          <cell r="N112" t="str">
            <v>المملكة العربية السعودية</v>
          </cell>
          <cell r="O112" t="str">
            <v>50001314</v>
          </cell>
          <cell r="P112" t="str">
            <v>مستشار، الخدمات النباتية</v>
          </cell>
          <cell r="Q112" t="str">
            <v>الدرجة 7</v>
          </cell>
          <cell r="R112" t="str">
            <v>Class VIP</v>
          </cell>
          <cell r="S112" t="str">
            <v/>
          </cell>
          <cell r="T112" t="str">
            <v>الخدمات النباتيةِ</v>
          </cell>
          <cell r="U112" t="str">
            <v>الخدمات النباتيةِ</v>
          </cell>
          <cell r="V112" t="str">
            <v>العمليات</v>
          </cell>
          <cell r="W112" t="str">
            <v>Al Riyadh</v>
          </cell>
          <cell r="X112" t="str">
            <v xml:space="preserve">المقر الرئيسي </v>
          </cell>
          <cell r="Y112">
            <v>45508</v>
          </cell>
          <cell r="Z112">
            <v>1.87</v>
          </cell>
          <cell r="AA112">
            <v>682</v>
          </cell>
          <cell r="AB112" t="str">
            <v>نشط</v>
          </cell>
          <cell r="AC112" t="str">
            <v>100191</v>
          </cell>
          <cell r="AD112" t="str">
            <v>Nemer Alshebel</v>
          </cell>
          <cell r="AE112" t="str">
            <v>موظف</v>
          </cell>
          <cell r="AF112" t="str">
            <v/>
          </cell>
          <cell r="AG112">
            <v>46237</v>
          </cell>
          <cell r="AH112" t="str">
            <v>Horticultural Sciences</v>
          </cell>
          <cell r="AI112" t="str">
            <v>دكتوراة</v>
          </cell>
          <cell r="AJ112">
            <v>4</v>
          </cell>
          <cell r="AK112">
            <v>4</v>
          </cell>
          <cell r="AL112">
            <v>0</v>
          </cell>
          <cell r="AM112">
            <v>0</v>
          </cell>
          <cell r="AN112" t="str">
            <v/>
          </cell>
          <cell r="AO112" t="str">
            <v>الخدمات النباتيةِ</v>
          </cell>
          <cell r="AP112" t="str">
            <v>Al Rajhi Bank</v>
          </cell>
          <cell r="AQ112" t="str">
            <v>SA2380000341608016023556</v>
          </cell>
          <cell r="AR112">
            <v>23100</v>
          </cell>
          <cell r="AS112">
            <v>23100</v>
          </cell>
          <cell r="AT112">
            <v>2310</v>
          </cell>
          <cell r="AU112">
            <v>5775</v>
          </cell>
          <cell r="AV112">
            <v>500</v>
          </cell>
        </row>
        <row r="113">
          <cell r="A113">
            <v>100127</v>
          </cell>
          <cell r="B113" t="str">
            <v>1080018243</v>
          </cell>
          <cell r="C113" t="str">
            <v>السيد</v>
          </cell>
          <cell r="D113" t="str">
            <v>Abdullah Ghannam mohammed Alotaibi</v>
          </cell>
          <cell r="E113" t="str">
            <v>عبدالله غنام محمد العتيبي</v>
          </cell>
          <cell r="F113" t="str">
            <v>Male</v>
          </cell>
          <cell r="G113" t="str">
            <v>أعزب</v>
          </cell>
          <cell r="H113">
            <v>34150</v>
          </cell>
          <cell r="I113">
            <v>33</v>
          </cell>
          <cell r="J113">
            <v>12040</v>
          </cell>
          <cell r="K113" t="str">
            <v>Abdullah.AlOtaibi@agriserv.sa</v>
          </cell>
          <cell r="L113" t="str">
            <v>0550900809</v>
          </cell>
          <cell r="M113" t="str">
            <v>4200</v>
          </cell>
          <cell r="N113" t="str">
            <v>المملكة العربية السعودية</v>
          </cell>
          <cell r="O113" t="str">
            <v>50000001</v>
          </cell>
          <cell r="P113" t="str">
            <v>مدير تنفيذي , الشهادات</v>
          </cell>
          <cell r="Q113" t="str">
            <v>الدرجة 7</v>
          </cell>
          <cell r="R113" t="str">
            <v>Class VIP</v>
          </cell>
          <cell r="S113" t="str">
            <v/>
          </cell>
          <cell r="T113" t="str">
            <v/>
          </cell>
          <cell r="U113" t="str">
            <v>الشهادات</v>
          </cell>
          <cell r="V113" t="str">
            <v>التراخيص</v>
          </cell>
          <cell r="W113" t="str">
            <v>Al Riyadh</v>
          </cell>
          <cell r="X113" t="str">
            <v xml:space="preserve">المقر الرئيسي </v>
          </cell>
          <cell r="Y113">
            <v>45505</v>
          </cell>
          <cell r="Z113">
            <v>1.88</v>
          </cell>
          <cell r="AA113">
            <v>685</v>
          </cell>
          <cell r="AB113" t="str">
            <v>نشط</v>
          </cell>
          <cell r="AC113" t="str">
            <v>100053</v>
          </cell>
          <cell r="AD113" t="str">
            <v>Hamad Alarifi</v>
          </cell>
          <cell r="AE113" t="str">
            <v>موظف</v>
          </cell>
          <cell r="AF113" t="str">
            <v/>
          </cell>
          <cell r="AG113">
            <v>46234</v>
          </cell>
          <cell r="AH113" t="str">
            <v>Veterinary Medicine &amp; Animal R</v>
          </cell>
          <cell r="AI113" t="str">
            <v>بكالوريوس</v>
          </cell>
          <cell r="AJ113">
            <v>2</v>
          </cell>
          <cell r="AK113">
            <v>0</v>
          </cell>
          <cell r="AL113">
            <v>0</v>
          </cell>
          <cell r="AM113">
            <v>2</v>
          </cell>
          <cell r="AN113" t="str">
            <v/>
          </cell>
          <cell r="AO113" t="str">
            <v>التراخيص والشهادات</v>
          </cell>
          <cell r="AP113" t="str">
            <v>Arab National Bank</v>
          </cell>
          <cell r="AQ113" t="str">
            <v>SA8130400108036482550017</v>
          </cell>
          <cell r="AR113">
            <v>19200.896000000001</v>
          </cell>
          <cell r="AS113">
            <v>19200.896000000001</v>
          </cell>
          <cell r="AT113">
            <v>1920.09</v>
          </cell>
          <cell r="AU113">
            <v>4800.2240000000002</v>
          </cell>
          <cell r="AV113">
            <v>500</v>
          </cell>
        </row>
        <row r="114">
          <cell r="A114">
            <v>100128</v>
          </cell>
          <cell r="B114" t="str">
            <v>1086754874</v>
          </cell>
          <cell r="C114" t="str">
            <v>السيد</v>
          </cell>
          <cell r="D114" t="str">
            <v>Abdalaziz Mohammed Nafel Alkhamshi</v>
          </cell>
          <cell r="E114" t="str">
            <v>عبدالعزيز محمد نافل الخمشي</v>
          </cell>
          <cell r="F114" t="str">
            <v>Male</v>
          </cell>
          <cell r="G114" t="str">
            <v>متزوج</v>
          </cell>
          <cell r="H114">
            <v>31842</v>
          </cell>
          <cell r="I114">
            <v>39</v>
          </cell>
          <cell r="J114">
            <v>14348</v>
          </cell>
          <cell r="K114" t="str">
            <v>abdulaziz.alanazi@agriserv.sa</v>
          </cell>
          <cell r="L114" t="str">
            <v>0555441354</v>
          </cell>
          <cell r="M114" t="str">
            <v>4100</v>
          </cell>
          <cell r="N114" t="str">
            <v>المملكة العربية السعودية</v>
          </cell>
          <cell r="O114" t="str">
            <v>50000009</v>
          </cell>
          <cell r="P114" t="str">
            <v>مدير تنفيذي التراخيص</v>
          </cell>
          <cell r="Q114" t="str">
            <v>الدرجة 7</v>
          </cell>
          <cell r="R114" t="str">
            <v>Class VIP</v>
          </cell>
          <cell r="S114" t="str">
            <v/>
          </cell>
          <cell r="T114" t="str">
            <v>التراخيص</v>
          </cell>
          <cell r="U114" t="str">
            <v>التراخيص</v>
          </cell>
          <cell r="V114" t="str">
            <v>التراخيص</v>
          </cell>
          <cell r="W114" t="str">
            <v>Al Riyadh</v>
          </cell>
          <cell r="X114" t="str">
            <v xml:space="preserve">المقر الرئيسي </v>
          </cell>
          <cell r="Y114">
            <v>45505</v>
          </cell>
          <cell r="Z114">
            <v>1.88</v>
          </cell>
          <cell r="AA114">
            <v>685</v>
          </cell>
          <cell r="AB114" t="str">
            <v>نشط</v>
          </cell>
          <cell r="AC114" t="str">
            <v>100053</v>
          </cell>
          <cell r="AD114" t="str">
            <v>Hamad Alarifi</v>
          </cell>
          <cell r="AE114" t="str">
            <v>موظف</v>
          </cell>
          <cell r="AF114" t="str">
            <v/>
          </cell>
          <cell r="AG114">
            <v>46234</v>
          </cell>
          <cell r="AH114" t="str">
            <v>هندسة زراعية</v>
          </cell>
          <cell r="AI114" t="str">
            <v>بكالوريوس</v>
          </cell>
          <cell r="AJ114">
            <v>8</v>
          </cell>
          <cell r="AK114">
            <v>5</v>
          </cell>
          <cell r="AL114">
            <v>1</v>
          </cell>
          <cell r="AM114">
            <v>2</v>
          </cell>
          <cell r="AN114">
            <v>3</v>
          </cell>
          <cell r="AO114" t="str">
            <v>التراخيص والشهادات</v>
          </cell>
          <cell r="AP114" t="str">
            <v>Banque Saudi Fransi</v>
          </cell>
          <cell r="AQ114" t="str">
            <v>SA82550000000K9214800170</v>
          </cell>
          <cell r="AR114">
            <v>17455.36</v>
          </cell>
          <cell r="AS114">
            <v>17455.36</v>
          </cell>
          <cell r="AT114">
            <v>1745.5360000000001</v>
          </cell>
          <cell r="AU114">
            <v>4363.84</v>
          </cell>
          <cell r="AV114">
            <v>500</v>
          </cell>
        </row>
        <row r="115">
          <cell r="A115">
            <v>100129</v>
          </cell>
          <cell r="B115" t="str">
            <v>1030311029</v>
          </cell>
          <cell r="C115" t="str">
            <v>السيد</v>
          </cell>
          <cell r="D115" t="str">
            <v>Sultan Meshal Nasser Alowaid</v>
          </cell>
          <cell r="E115" t="str">
            <v>سلطان مشعل ناصر العويد</v>
          </cell>
          <cell r="F115" t="str">
            <v>Male</v>
          </cell>
          <cell r="G115" t="str">
            <v>أعزب</v>
          </cell>
          <cell r="H115">
            <v>31667</v>
          </cell>
          <cell r="I115">
            <v>40</v>
          </cell>
          <cell r="J115">
            <v>14523</v>
          </cell>
          <cell r="K115" t="str">
            <v>sultan.alowaid@agriserv.sa</v>
          </cell>
          <cell r="L115" t="str">
            <v>0560059222</v>
          </cell>
          <cell r="M115" t="str">
            <v>5671</v>
          </cell>
          <cell r="N115" t="str">
            <v>المملكة العربية السعودية</v>
          </cell>
          <cell r="O115" t="str">
            <v>50000676</v>
          </cell>
          <cell r="P115" t="str">
            <v>مدير تنفيذي الإستراتيجية والأداء المؤسسي</v>
          </cell>
          <cell r="Q115" t="str">
            <v>8 الدرجة</v>
          </cell>
          <cell r="R115" t="str">
            <v>Class VIP</v>
          </cell>
          <cell r="S115" t="str">
            <v/>
          </cell>
          <cell r="T115" t="str">
            <v/>
          </cell>
          <cell r="U115" t="str">
            <v>الاستراتجية</v>
          </cell>
          <cell r="V115" t="str">
            <v>التخطيط والاستراتجية</v>
          </cell>
          <cell r="W115" t="str">
            <v>Al Riyadh</v>
          </cell>
          <cell r="X115" t="str">
            <v xml:space="preserve">المقر الرئيسي </v>
          </cell>
          <cell r="Y115">
            <v>45515</v>
          </cell>
          <cell r="Z115">
            <v>1.85</v>
          </cell>
          <cell r="AA115">
            <v>675</v>
          </cell>
          <cell r="AB115" t="str">
            <v>نشط</v>
          </cell>
          <cell r="AC115" t="str">
            <v>100043</v>
          </cell>
          <cell r="AD115" t="str">
            <v>Raed Alluhaidan</v>
          </cell>
          <cell r="AE115" t="str">
            <v>موظف</v>
          </cell>
          <cell r="AF115" t="str">
            <v/>
          </cell>
          <cell r="AG115">
            <v>46244</v>
          </cell>
          <cell r="AH115" t="str">
            <v>علوم سياسية</v>
          </cell>
          <cell r="AI115" t="str">
            <v>ماجستير</v>
          </cell>
          <cell r="AJ115">
            <v>1</v>
          </cell>
          <cell r="AK115">
            <v>0</v>
          </cell>
          <cell r="AL115">
            <v>0</v>
          </cell>
          <cell r="AM115">
            <v>1</v>
          </cell>
          <cell r="AN115" t="str">
            <v/>
          </cell>
          <cell r="AO115" t="str">
            <v>مكتب الادارة الاستراتيجية</v>
          </cell>
          <cell r="AP115" t="str">
            <v>Al Rajhi Bank</v>
          </cell>
          <cell r="AQ115" t="str">
            <v>SA3980000138608010226707</v>
          </cell>
          <cell r="AR115">
            <v>41000</v>
          </cell>
          <cell r="AS115">
            <v>41000</v>
          </cell>
          <cell r="AT115">
            <v>3000</v>
          </cell>
          <cell r="AU115">
            <v>10250</v>
          </cell>
          <cell r="AV115">
            <v>500</v>
          </cell>
        </row>
        <row r="116">
          <cell r="A116">
            <v>100130</v>
          </cell>
          <cell r="B116" t="str">
            <v>1099803197</v>
          </cell>
          <cell r="C116" t="str">
            <v>السيد</v>
          </cell>
          <cell r="D116" t="str">
            <v>Turki Omar M Alotaibi</v>
          </cell>
          <cell r="E116" t="str">
            <v>تركي عمر محسن العتيبي</v>
          </cell>
          <cell r="F116" t="str">
            <v>Male</v>
          </cell>
          <cell r="G116" t="str">
            <v>أعزب</v>
          </cell>
          <cell r="H116">
            <v>35609</v>
          </cell>
          <cell r="I116">
            <v>29</v>
          </cell>
          <cell r="J116">
            <v>10581</v>
          </cell>
          <cell r="K116" t="str">
            <v>turki.omar@agriserv.sa</v>
          </cell>
          <cell r="L116" t="str">
            <v>0543110552</v>
          </cell>
          <cell r="M116" t="str">
            <v>3502</v>
          </cell>
          <cell r="N116" t="str">
            <v>المملكة العربية السعودية</v>
          </cell>
          <cell r="O116" t="str">
            <v>50000447</v>
          </cell>
          <cell r="P116" t="str">
            <v>أخصائي أول تحليل البيانات والتخطيط</v>
          </cell>
          <cell r="Q116" t="str">
            <v>الدرجة 6</v>
          </cell>
          <cell r="R116" t="str">
            <v>Class VIP</v>
          </cell>
          <cell r="S116" t="str">
            <v/>
          </cell>
          <cell r="T116" t="str">
            <v>إدارة التطوير التشغيلي</v>
          </cell>
          <cell r="U116" t="str">
            <v>إدارة التطوير التشغيلي</v>
          </cell>
          <cell r="V116" t="str">
            <v>العمليات</v>
          </cell>
          <cell r="W116" t="str">
            <v>Al Riyadh</v>
          </cell>
          <cell r="X116" t="str">
            <v xml:space="preserve">المقر الرئيسي </v>
          </cell>
          <cell r="Y116">
            <v>45515</v>
          </cell>
          <cell r="Z116">
            <v>1.85</v>
          </cell>
          <cell r="AA116">
            <v>675</v>
          </cell>
          <cell r="AB116" t="str">
            <v>غير نشط</v>
          </cell>
          <cell r="AC116" t="str">
            <v>400003</v>
          </cell>
          <cell r="AD116" t="str">
            <v>Ibrahim Bukhari</v>
          </cell>
          <cell r="AE116" t="str">
            <v>موظف</v>
          </cell>
          <cell r="AF116">
            <v>46187</v>
          </cell>
          <cell r="AG116">
            <v>46244</v>
          </cell>
          <cell r="AH116" t="str">
            <v>معلومات الأنظمة</v>
          </cell>
          <cell r="AI116" t="str">
            <v>بكالوريوس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 t="str">
            <v/>
          </cell>
          <cell r="AO116" t="str">
            <v>عام</v>
          </cell>
          <cell r="AP116" t="str">
            <v>Al Rajhi Bank</v>
          </cell>
          <cell r="AQ116" t="str">
            <v xml:space="preserve"> SA4780000219608016001676</v>
          </cell>
          <cell r="AR116">
            <v>19864</v>
          </cell>
          <cell r="AS116">
            <v>19864</v>
          </cell>
          <cell r="AT116">
            <v>1986.4</v>
          </cell>
          <cell r="AU116">
            <v>4966</v>
          </cell>
          <cell r="AV116">
            <v>500</v>
          </cell>
        </row>
        <row r="117">
          <cell r="A117">
            <v>100131</v>
          </cell>
          <cell r="B117" t="str">
            <v>1061554687</v>
          </cell>
          <cell r="C117" t="str">
            <v>السيد</v>
          </cell>
          <cell r="D117" t="str">
            <v>Abdullah Ibrahim Saleh Aldawood</v>
          </cell>
          <cell r="E117" t="str">
            <v>عبدالله ابراهيم صالح الداوود</v>
          </cell>
          <cell r="F117" t="str">
            <v>Male</v>
          </cell>
          <cell r="G117" t="str">
            <v>متزوج</v>
          </cell>
          <cell r="H117">
            <v>32178</v>
          </cell>
          <cell r="I117">
            <v>38</v>
          </cell>
          <cell r="J117">
            <v>14012</v>
          </cell>
          <cell r="K117" t="str">
            <v>Abdullah.Aldawood@agriserv.sa</v>
          </cell>
          <cell r="L117" t="str">
            <v>0555470354</v>
          </cell>
          <cell r="M117" t="str">
            <v>3401</v>
          </cell>
          <cell r="N117" t="str">
            <v>المملكة العربية السعودية</v>
          </cell>
          <cell r="O117" t="str">
            <v>50001316</v>
          </cell>
          <cell r="P117" t="str">
            <v>مـدير تنفيـذي ,تسجيل الأسمدة</v>
          </cell>
          <cell r="Q117" t="str">
            <v>الدرجة 7</v>
          </cell>
          <cell r="R117" t="str">
            <v>Class VIP</v>
          </cell>
          <cell r="S117" t="str">
            <v/>
          </cell>
          <cell r="T117" t="str">
            <v>الدراسة الفنية</v>
          </cell>
          <cell r="U117" t="str">
            <v>التسجيل والمختبرات</v>
          </cell>
          <cell r="V117" t="str">
            <v>التراخيص</v>
          </cell>
          <cell r="W117" t="str">
            <v>Head Quarter</v>
          </cell>
          <cell r="X117" t="str">
            <v xml:space="preserve">المقر الرئيسي </v>
          </cell>
          <cell r="Y117">
            <v>45536</v>
          </cell>
          <cell r="Z117">
            <v>1.79</v>
          </cell>
          <cell r="AA117">
            <v>654</v>
          </cell>
          <cell r="AB117" t="str">
            <v>نشط</v>
          </cell>
          <cell r="AC117" t="str">
            <v>100145</v>
          </cell>
          <cell r="AD117" t="str">
            <v>Hani Barniyah</v>
          </cell>
          <cell r="AE117" t="str">
            <v>موظف</v>
          </cell>
          <cell r="AF117" t="str">
            <v/>
          </cell>
          <cell r="AG117">
            <v>46265</v>
          </cell>
          <cell r="AH117" t="str">
            <v>انتاج نباتى</v>
          </cell>
          <cell r="AI117" t="str">
            <v>بكالوريوس</v>
          </cell>
          <cell r="AJ117">
            <v>4</v>
          </cell>
          <cell r="AK117">
            <v>1</v>
          </cell>
          <cell r="AL117">
            <v>1</v>
          </cell>
          <cell r="AM117">
            <v>2</v>
          </cell>
          <cell r="AN117" t="str">
            <v/>
          </cell>
          <cell r="AO117" t="str">
            <v>التسجيل</v>
          </cell>
          <cell r="AP117" t="str">
            <v>Riyad Bank</v>
          </cell>
          <cell r="AQ117" t="str">
            <v>SA6520000002340523999940</v>
          </cell>
          <cell r="AR117">
            <v>17455.36</v>
          </cell>
          <cell r="AS117">
            <v>17455.36</v>
          </cell>
          <cell r="AT117">
            <v>1745.5360000000001</v>
          </cell>
          <cell r="AU117">
            <v>4363.84</v>
          </cell>
          <cell r="AV117">
            <v>500</v>
          </cell>
        </row>
        <row r="118">
          <cell r="A118">
            <v>100132</v>
          </cell>
          <cell r="B118" t="str">
            <v>1075391704</v>
          </cell>
          <cell r="C118" t="str">
            <v>السيد</v>
          </cell>
          <cell r="D118" t="str">
            <v>Mohammed Ali Mohammed Alfurayh</v>
          </cell>
          <cell r="E118" t="str">
            <v>محمد علي محمد الفريح</v>
          </cell>
          <cell r="F118" t="str">
            <v>Male</v>
          </cell>
          <cell r="G118" t="str">
            <v>أعزب</v>
          </cell>
          <cell r="H118">
            <v>33926</v>
          </cell>
          <cell r="I118">
            <v>34</v>
          </cell>
          <cell r="J118">
            <v>12264</v>
          </cell>
          <cell r="K118" t="str">
            <v>Mohammed.Alfurayh@agriserv.sa</v>
          </cell>
          <cell r="L118" t="str">
            <v>0566344144</v>
          </cell>
          <cell r="M118" t="str">
            <v>6211</v>
          </cell>
          <cell r="N118" t="str">
            <v>المملكة العربية السعودية</v>
          </cell>
          <cell r="O118" t="str">
            <v>50001318</v>
          </cell>
          <cell r="P118" t="str">
            <v>مدير تنفيذي , محفظة البرامج</v>
          </cell>
          <cell r="Q118" t="str">
            <v>الدرجة 7</v>
          </cell>
          <cell r="R118" t="str">
            <v>Class VIP</v>
          </cell>
          <cell r="S118" t="str">
            <v/>
          </cell>
          <cell r="T118" t="str">
            <v>تنمية الأعمال</v>
          </cell>
          <cell r="U118" t="str">
            <v>إدارة الأصول والاستثمار</v>
          </cell>
          <cell r="V118" t="str">
            <v>إدارة الأصول والاستثمار</v>
          </cell>
          <cell r="W118" t="str">
            <v>Al Riyadh</v>
          </cell>
          <cell r="X118" t="str">
            <v xml:space="preserve">المقر الرئيسي </v>
          </cell>
          <cell r="Y118">
            <v>45536</v>
          </cell>
          <cell r="Z118">
            <v>1.79</v>
          </cell>
          <cell r="AA118">
            <v>654</v>
          </cell>
          <cell r="AB118" t="str">
            <v>نشط</v>
          </cell>
          <cell r="AC118" t="str">
            <v>100095</v>
          </cell>
          <cell r="AD118" t="str">
            <v>Hamad AlSaif</v>
          </cell>
          <cell r="AE118" t="str">
            <v>موظف</v>
          </cell>
          <cell r="AF118" t="str">
            <v/>
          </cell>
          <cell r="AG118">
            <v>46265</v>
          </cell>
          <cell r="AH118" t="str">
            <v>هندسة مدنية</v>
          </cell>
          <cell r="AI118" t="str">
            <v>بكالوريوس</v>
          </cell>
          <cell r="AJ118">
            <v>2</v>
          </cell>
          <cell r="AK118">
            <v>0</v>
          </cell>
          <cell r="AL118">
            <v>0</v>
          </cell>
          <cell r="AM118">
            <v>2</v>
          </cell>
          <cell r="AN118" t="str">
            <v/>
          </cell>
          <cell r="AO118" t="str">
            <v>الأصول والاستثمار</v>
          </cell>
          <cell r="AP118" t="str">
            <v>Al Rajhi Bank</v>
          </cell>
          <cell r="AQ118" t="str">
            <v>SA9380000296608010498650</v>
          </cell>
          <cell r="AR118">
            <v>30135</v>
          </cell>
          <cell r="AS118">
            <v>30135</v>
          </cell>
          <cell r="AT118">
            <v>3000</v>
          </cell>
          <cell r="AU118">
            <v>7533.75</v>
          </cell>
          <cell r="AV118">
            <v>500</v>
          </cell>
        </row>
        <row r="119">
          <cell r="A119">
            <v>100133</v>
          </cell>
          <cell r="B119" t="str">
            <v>1083945905</v>
          </cell>
          <cell r="C119" t="str">
            <v>الآنسة</v>
          </cell>
          <cell r="D119" t="str">
            <v>Nada Hadi Meshal Albogami</v>
          </cell>
          <cell r="E119" t="str">
            <v>ندى هادي مشعل البقمي</v>
          </cell>
          <cell r="F119" t="str">
            <v>Female</v>
          </cell>
          <cell r="G119" t="str">
            <v>أعزب</v>
          </cell>
          <cell r="H119">
            <v>34306</v>
          </cell>
          <cell r="I119">
            <v>33</v>
          </cell>
          <cell r="J119">
            <v>11884</v>
          </cell>
          <cell r="K119" t="str">
            <v>nada.albogami@agriserv.sa</v>
          </cell>
          <cell r="L119" t="str">
            <v>0540506007</v>
          </cell>
          <cell r="M119" t="str">
            <v>2508</v>
          </cell>
          <cell r="N119" t="str">
            <v>المملكة العربية السعودية</v>
          </cell>
          <cell r="O119" t="str">
            <v>50000355</v>
          </cell>
          <cell r="P119" t="str">
            <v>مدير تنفيذي , التطوير التنظيمي</v>
          </cell>
          <cell r="Q119" t="str">
            <v>الدرجة 7</v>
          </cell>
          <cell r="R119" t="str">
            <v>Class VIP</v>
          </cell>
          <cell r="S119" t="str">
            <v/>
          </cell>
          <cell r="T119" t="str">
            <v>التطوير التنطيمي</v>
          </cell>
          <cell r="U119" t="str">
            <v>الموارد البشرية</v>
          </cell>
          <cell r="V119" t="str">
            <v>الخدمات المشتركة</v>
          </cell>
          <cell r="W119" t="str">
            <v>Al Riyadh</v>
          </cell>
          <cell r="X119" t="str">
            <v xml:space="preserve">المقر الرئيسي </v>
          </cell>
          <cell r="Y119">
            <v>45536</v>
          </cell>
          <cell r="Z119">
            <v>1.79</v>
          </cell>
          <cell r="AA119">
            <v>654</v>
          </cell>
          <cell r="AB119" t="str">
            <v>غير نشط</v>
          </cell>
          <cell r="AC119" t="str">
            <v>100004</v>
          </cell>
          <cell r="AD119" t="str">
            <v>Abdulmajeed Alzannan</v>
          </cell>
          <cell r="AE119" t="str">
            <v>موظف</v>
          </cell>
          <cell r="AF119">
            <v>45930</v>
          </cell>
          <cell r="AG119">
            <v>45900</v>
          </cell>
          <cell r="AH119" t="str">
            <v>الموارد البشرية</v>
          </cell>
          <cell r="AI119" t="str">
            <v>بكالوريوس</v>
          </cell>
          <cell r="AJ119">
            <v>2</v>
          </cell>
          <cell r="AK119">
            <v>0</v>
          </cell>
          <cell r="AL119">
            <v>0</v>
          </cell>
          <cell r="AM119">
            <v>2</v>
          </cell>
          <cell r="AN119" t="str">
            <v/>
          </cell>
          <cell r="AO119" t="str">
            <v>Human Resources</v>
          </cell>
          <cell r="AP119" t="str">
            <v>Inma Bank</v>
          </cell>
          <cell r="AQ119" t="str">
            <v>SA2605000068200929054000</v>
          </cell>
          <cell r="AR119">
            <v>25000</v>
          </cell>
          <cell r="AS119">
            <v>25000</v>
          </cell>
          <cell r="AT119">
            <v>2500</v>
          </cell>
          <cell r="AU119">
            <v>6250</v>
          </cell>
          <cell r="AV119">
            <v>500</v>
          </cell>
        </row>
        <row r="120">
          <cell r="A120">
            <v>100134</v>
          </cell>
          <cell r="B120" t="str">
            <v>1082003516</v>
          </cell>
          <cell r="C120" t="str">
            <v>السيد</v>
          </cell>
          <cell r="D120" t="str">
            <v>Abdullah Saeed Misfer Almaliki</v>
          </cell>
          <cell r="E120" t="str">
            <v>عبدالله سعيد مسفر المالكي</v>
          </cell>
          <cell r="F120" t="str">
            <v>Male</v>
          </cell>
          <cell r="G120" t="str">
            <v>متزوج</v>
          </cell>
          <cell r="H120">
            <v>33749</v>
          </cell>
          <cell r="I120">
            <v>34</v>
          </cell>
          <cell r="J120">
            <v>12441</v>
          </cell>
          <cell r="K120" t="str">
            <v>Abdullah.Almalki@agriserv.sa</v>
          </cell>
          <cell r="L120" t="str">
            <v>0562028935</v>
          </cell>
          <cell r="M120" t="str">
            <v>3402</v>
          </cell>
          <cell r="N120" t="str">
            <v>المملكة العربية السعودية</v>
          </cell>
          <cell r="O120" t="str">
            <v>50001317</v>
          </cell>
          <cell r="P120" t="str">
            <v>مدير تنفيذي , تسجيل المبيدات</v>
          </cell>
          <cell r="Q120" t="str">
            <v>الدرجة 7</v>
          </cell>
          <cell r="R120" t="str">
            <v>Class VIP</v>
          </cell>
          <cell r="S120" t="str">
            <v/>
          </cell>
          <cell r="T120" t="str">
            <v>الدراسة الفنية</v>
          </cell>
          <cell r="U120" t="str">
            <v>التسجيل والمختبرات</v>
          </cell>
          <cell r="V120" t="str">
            <v>التراخيص</v>
          </cell>
          <cell r="W120" t="str">
            <v>Al Riyadh</v>
          </cell>
          <cell r="X120" t="str">
            <v xml:space="preserve">المقر الرئيسي </v>
          </cell>
          <cell r="Y120">
            <v>45536</v>
          </cell>
          <cell r="Z120">
            <v>1.79</v>
          </cell>
          <cell r="AA120">
            <v>654</v>
          </cell>
          <cell r="AB120" t="str">
            <v>نشط</v>
          </cell>
          <cell r="AC120" t="str">
            <v>100145</v>
          </cell>
          <cell r="AD120" t="str">
            <v>Hani Barniyah</v>
          </cell>
          <cell r="AE120" t="str">
            <v>موظف</v>
          </cell>
          <cell r="AF120" t="str">
            <v/>
          </cell>
          <cell r="AG120">
            <v>46265</v>
          </cell>
          <cell r="AH120" t="str">
            <v>هندسة زراعية</v>
          </cell>
          <cell r="AI120" t="str">
            <v>بكالوريوس</v>
          </cell>
          <cell r="AJ120">
            <v>5</v>
          </cell>
          <cell r="AK120">
            <v>2</v>
          </cell>
          <cell r="AL120">
            <v>1</v>
          </cell>
          <cell r="AM120">
            <v>2</v>
          </cell>
          <cell r="AN120">
            <v>1</v>
          </cell>
          <cell r="AO120" t="str">
            <v>التسجيل</v>
          </cell>
          <cell r="AP120" t="str">
            <v>Saudi National Bank</v>
          </cell>
          <cell r="AQ120" t="str">
            <v>SA8910000041700000076307</v>
          </cell>
          <cell r="AR120">
            <v>17455.36</v>
          </cell>
          <cell r="AS120">
            <v>17455.36</v>
          </cell>
          <cell r="AT120">
            <v>1745.5360000000001</v>
          </cell>
          <cell r="AU120">
            <v>4363.84</v>
          </cell>
          <cell r="AV120">
            <v>500</v>
          </cell>
        </row>
        <row r="121">
          <cell r="A121">
            <v>100135</v>
          </cell>
          <cell r="B121" t="str">
            <v>1011453410</v>
          </cell>
          <cell r="C121" t="str">
            <v>السيد</v>
          </cell>
          <cell r="D121" t="str">
            <v>Abdulrahman Ali Abdullah Alzahrani</v>
          </cell>
          <cell r="E121" t="str">
            <v>عبدالرحمن علي عبدالله الزهراني</v>
          </cell>
          <cell r="F121" t="str">
            <v>Male</v>
          </cell>
          <cell r="G121" t="str">
            <v>متزوج</v>
          </cell>
          <cell r="H121">
            <v>30215</v>
          </cell>
          <cell r="I121">
            <v>44</v>
          </cell>
          <cell r="J121">
            <v>15975</v>
          </cell>
          <cell r="K121" t="str">
            <v>Abdulrahman.Alzahrani@agriserv.sa</v>
          </cell>
          <cell r="L121" t="str">
            <v>0562719151</v>
          </cell>
          <cell r="M121" t="str">
            <v>3303</v>
          </cell>
          <cell r="N121" t="str">
            <v>المملكة العربية السعودية</v>
          </cell>
          <cell r="O121" t="str">
            <v>50001320</v>
          </cell>
          <cell r="P121" t="str">
            <v>مدير إدارة , خدمات المحاجر</v>
          </cell>
          <cell r="Q121" t="str">
            <v>8 الدرجة</v>
          </cell>
          <cell r="R121" t="str">
            <v>Class VIP</v>
          </cell>
          <cell r="S121" t="str">
            <v/>
          </cell>
          <cell r="T121" t="str">
            <v>خدمات المحجر</v>
          </cell>
          <cell r="U121" t="str">
            <v>الاذونات وخدمات المحاجر</v>
          </cell>
          <cell r="V121" t="str">
            <v>العمليات</v>
          </cell>
          <cell r="W121" t="str">
            <v>Head Quarter</v>
          </cell>
          <cell r="X121" t="str">
            <v xml:space="preserve">المقر الرئيسي </v>
          </cell>
          <cell r="Y121">
            <v>45536</v>
          </cell>
          <cell r="Z121">
            <v>1.79</v>
          </cell>
          <cell r="AA121">
            <v>654</v>
          </cell>
          <cell r="AB121" t="str">
            <v>نشط</v>
          </cell>
          <cell r="AC121" t="str">
            <v>100137</v>
          </cell>
          <cell r="AD121" t="str">
            <v>IBRAHIM ALNOWAISER</v>
          </cell>
          <cell r="AE121" t="str">
            <v>موظف</v>
          </cell>
          <cell r="AF121" t="str">
            <v/>
          </cell>
          <cell r="AG121">
            <v>46265</v>
          </cell>
          <cell r="AH121" t="str">
            <v>العدوى والمناعة</v>
          </cell>
          <cell r="AI121" t="str">
            <v>ماجستير</v>
          </cell>
          <cell r="AJ121">
            <v>3</v>
          </cell>
          <cell r="AK121">
            <v>2</v>
          </cell>
          <cell r="AL121">
            <v>1</v>
          </cell>
          <cell r="AM121">
            <v>0</v>
          </cell>
          <cell r="AN121">
            <v>2</v>
          </cell>
          <cell r="AO121" t="str">
            <v>الاذونات وخدمات المحاجر</v>
          </cell>
          <cell r="AP121" t="str">
            <v>Al Rajhi Bank</v>
          </cell>
          <cell r="AQ121" t="str">
            <v>SA2780000238608010081176</v>
          </cell>
          <cell r="AR121">
            <v>26649</v>
          </cell>
          <cell r="AS121">
            <v>26649</v>
          </cell>
          <cell r="AT121">
            <v>2664.9</v>
          </cell>
          <cell r="AU121">
            <v>6662.25</v>
          </cell>
          <cell r="AV121">
            <v>500</v>
          </cell>
        </row>
        <row r="122">
          <cell r="A122">
            <v>100136</v>
          </cell>
          <cell r="B122" t="str">
            <v>1045547559</v>
          </cell>
          <cell r="C122" t="str">
            <v>السيد</v>
          </cell>
          <cell r="D122" t="str">
            <v>Yagoub Ali Yagoub Aljraid</v>
          </cell>
          <cell r="E122" t="str">
            <v>يعقوب علي يعقوب الجريد</v>
          </cell>
          <cell r="F122" t="str">
            <v>Male</v>
          </cell>
          <cell r="G122" t="str">
            <v>متزوج</v>
          </cell>
          <cell r="H122">
            <v>31619</v>
          </cell>
          <cell r="I122">
            <v>40</v>
          </cell>
          <cell r="J122">
            <v>14571</v>
          </cell>
          <cell r="K122" t="str">
            <v>Yagob.aljreed@agriserv.sa</v>
          </cell>
          <cell r="L122" t="str">
            <v>0504210687</v>
          </cell>
          <cell r="M122" t="str">
            <v>3100</v>
          </cell>
          <cell r="N122" t="str">
            <v>المملكة العربية السعودية</v>
          </cell>
          <cell r="O122" t="str">
            <v>50001319</v>
          </cell>
          <cell r="P122" t="str">
            <v>مدير إدارة ,الخدمات النباتية</v>
          </cell>
          <cell r="Q122" t="str">
            <v>8 الدرجة</v>
          </cell>
          <cell r="R122" t="str">
            <v>Class VIP</v>
          </cell>
          <cell r="S122" t="str">
            <v/>
          </cell>
          <cell r="T122" t="str">
            <v>الخدمات النباتيةِ</v>
          </cell>
          <cell r="U122" t="str">
            <v>الخدمات النباتيةِ</v>
          </cell>
          <cell r="V122" t="str">
            <v>العمليات</v>
          </cell>
          <cell r="W122" t="str">
            <v>Head Quarter</v>
          </cell>
          <cell r="X122" t="str">
            <v xml:space="preserve">المقر الرئيسي </v>
          </cell>
          <cell r="Y122">
            <v>45536</v>
          </cell>
          <cell r="Z122">
            <v>1.79</v>
          </cell>
          <cell r="AA122">
            <v>654</v>
          </cell>
          <cell r="AB122" t="str">
            <v>نشط</v>
          </cell>
          <cell r="AC122" t="str">
            <v>400003</v>
          </cell>
          <cell r="AD122" t="str">
            <v>Ibrahim Bukhari</v>
          </cell>
          <cell r="AE122" t="str">
            <v>موظف</v>
          </cell>
          <cell r="AF122" t="str">
            <v/>
          </cell>
          <cell r="AG122">
            <v>46265</v>
          </cell>
          <cell r="AH122" t="str">
            <v>علم الزراعة</v>
          </cell>
          <cell r="AI122" t="str">
            <v>بكالوريوس</v>
          </cell>
          <cell r="AJ122">
            <v>6</v>
          </cell>
          <cell r="AK122">
            <v>3</v>
          </cell>
          <cell r="AL122">
            <v>1</v>
          </cell>
          <cell r="AM122">
            <v>2</v>
          </cell>
          <cell r="AN122">
            <v>2</v>
          </cell>
          <cell r="AO122" t="str">
            <v>الخدمات النباتيةِ</v>
          </cell>
          <cell r="AP122" t="str">
            <v>Al Rajhi Bank</v>
          </cell>
          <cell r="AQ122" t="str">
            <v>SA1480000412608010150698</v>
          </cell>
          <cell r="AR122">
            <v>26649</v>
          </cell>
          <cell r="AS122">
            <v>26649</v>
          </cell>
          <cell r="AT122">
            <v>2664.9</v>
          </cell>
          <cell r="AU122">
            <v>6662.25</v>
          </cell>
          <cell r="AV122">
            <v>500</v>
          </cell>
        </row>
        <row r="123">
          <cell r="A123">
            <v>100137</v>
          </cell>
          <cell r="B123" t="str">
            <v>1037778782</v>
          </cell>
          <cell r="C123" t="str">
            <v>السيد</v>
          </cell>
          <cell r="D123" t="str">
            <v>IBRAHIM SALEH IBRAHIM ALNOWAISER</v>
          </cell>
          <cell r="E123" t="str">
            <v>إبراهيم صالح إبراهيم النويصر</v>
          </cell>
          <cell r="F123" t="str">
            <v>Male</v>
          </cell>
          <cell r="G123" t="str">
            <v>متزوج</v>
          </cell>
          <cell r="H123">
            <v>29752</v>
          </cell>
          <cell r="I123">
            <v>45</v>
          </cell>
          <cell r="J123">
            <v>16438</v>
          </cell>
          <cell r="K123" t="str">
            <v>Ibrahim.AlNowaiser@agriserv.sa</v>
          </cell>
          <cell r="L123" t="str">
            <v>0553137778</v>
          </cell>
          <cell r="M123" t="str">
            <v>3300</v>
          </cell>
          <cell r="N123" t="str">
            <v>المملكة العربية السعودية</v>
          </cell>
          <cell r="O123" t="str">
            <v>50001321</v>
          </cell>
          <cell r="P123" t="str">
            <v>مدير عام ,الاذونات وخدمات المحاجر</v>
          </cell>
          <cell r="Q123" t="str">
            <v>الدرجة 9</v>
          </cell>
          <cell r="R123" t="str">
            <v>Class VVIP</v>
          </cell>
          <cell r="S123" t="str">
            <v/>
          </cell>
          <cell r="T123" t="str">
            <v/>
          </cell>
          <cell r="U123" t="str">
            <v>الاذونات وخدمات المحاجر</v>
          </cell>
          <cell r="V123" t="str">
            <v>العمليات</v>
          </cell>
          <cell r="W123" t="str">
            <v>Al Riyadh</v>
          </cell>
          <cell r="X123" t="str">
            <v xml:space="preserve">المقر الرئيسي </v>
          </cell>
          <cell r="Y123">
            <v>45536</v>
          </cell>
          <cell r="Z123">
            <v>1.79</v>
          </cell>
          <cell r="AA123">
            <v>654</v>
          </cell>
          <cell r="AB123" t="str">
            <v>نشط</v>
          </cell>
          <cell r="AC123" t="str">
            <v>400003</v>
          </cell>
          <cell r="AD123" t="str">
            <v>Ibrahim Bukhari</v>
          </cell>
          <cell r="AE123" t="str">
            <v>موظف</v>
          </cell>
          <cell r="AF123" t="str">
            <v/>
          </cell>
          <cell r="AG123">
            <v>46265</v>
          </cell>
          <cell r="AH123" t="str">
            <v>العدوى والمناعة</v>
          </cell>
          <cell r="AI123" t="str">
            <v>ماجستير</v>
          </cell>
          <cell r="AJ123">
            <v>5</v>
          </cell>
          <cell r="AK123">
            <v>4</v>
          </cell>
          <cell r="AL123">
            <v>1</v>
          </cell>
          <cell r="AM123">
            <v>0</v>
          </cell>
          <cell r="AN123">
            <v>4</v>
          </cell>
          <cell r="AO123" t="str">
            <v>الاذونات وخدمات المحاجر</v>
          </cell>
          <cell r="AP123" t="str">
            <v>Arab National Bank</v>
          </cell>
          <cell r="AQ123" t="str">
            <v>SA7730400108070101970015</v>
          </cell>
          <cell r="AR123">
            <v>39690</v>
          </cell>
          <cell r="AS123">
            <v>39690</v>
          </cell>
          <cell r="AT123">
            <v>3500</v>
          </cell>
          <cell r="AU123">
            <v>9922.5</v>
          </cell>
          <cell r="AV123">
            <v>800</v>
          </cell>
        </row>
        <row r="124">
          <cell r="A124">
            <v>100138</v>
          </cell>
          <cell r="B124" t="str">
            <v>2583222845</v>
          </cell>
          <cell r="C124" t="str">
            <v>السيد</v>
          </cell>
          <cell r="D124" t="str">
            <v>Abdulhamid Elghadban Abdullatif Sherif</v>
          </cell>
          <cell r="E124" t="str">
            <v>عبدالحميد الغضبان عبداللطيف شريف</v>
          </cell>
          <cell r="F124" t="str">
            <v>Male</v>
          </cell>
          <cell r="G124" t="str">
            <v>متزوج</v>
          </cell>
          <cell r="H124">
            <v>26145</v>
          </cell>
          <cell r="I124">
            <v>55</v>
          </cell>
          <cell r="J124">
            <v>20045</v>
          </cell>
          <cell r="K124" t="str">
            <v>Abdelhamid.Sherif@agriserv.sa</v>
          </cell>
          <cell r="L124" t="str">
            <v>0500284861</v>
          </cell>
          <cell r="M124" t="str">
            <v>5670</v>
          </cell>
          <cell r="N124" t="str">
            <v>مصر</v>
          </cell>
          <cell r="O124" t="str">
            <v>50001322</v>
          </cell>
          <cell r="P124" t="str">
            <v>مستشار تسجيل الأسمدة</v>
          </cell>
          <cell r="Q124" t="str">
            <v>الدرجة ٥</v>
          </cell>
          <cell r="R124" t="str">
            <v>Class VIP</v>
          </cell>
          <cell r="S124" t="str">
            <v/>
          </cell>
          <cell r="T124" t="str">
            <v>الدراسة الفنية</v>
          </cell>
          <cell r="U124" t="str">
            <v>التسجيل والمختبرات</v>
          </cell>
          <cell r="V124" t="str">
            <v>التراخيص</v>
          </cell>
          <cell r="W124" t="str">
            <v>Al Riyadh</v>
          </cell>
          <cell r="X124" t="str">
            <v xml:space="preserve">المقر الرئيسي </v>
          </cell>
          <cell r="Y124">
            <v>45536</v>
          </cell>
          <cell r="Z124">
            <v>1.79</v>
          </cell>
          <cell r="AA124">
            <v>654</v>
          </cell>
          <cell r="AB124" t="str">
            <v>نشط</v>
          </cell>
          <cell r="AC124" t="str">
            <v>100131</v>
          </cell>
          <cell r="AD124" t="str">
            <v>Abdullah Aldawood</v>
          </cell>
          <cell r="AE124" t="str">
            <v>موظف</v>
          </cell>
          <cell r="AF124" t="str">
            <v/>
          </cell>
          <cell r="AG124">
            <v>46265</v>
          </cell>
          <cell r="AH124" t="str">
            <v>علم الزراعة</v>
          </cell>
          <cell r="AI124" t="str">
            <v>دكتوراة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 t="str">
            <v/>
          </cell>
          <cell r="AO124" t="str">
            <v>التسجيل</v>
          </cell>
          <cell r="AP124" t="str">
            <v>Al Rajhi Bank</v>
          </cell>
          <cell r="AQ124" t="str">
            <v>SA4380000856608010827928</v>
          </cell>
          <cell r="AR124">
            <v>11564.8</v>
          </cell>
          <cell r="AS124">
            <v>11564.8</v>
          </cell>
          <cell r="AT124">
            <v>1156.48</v>
          </cell>
          <cell r="AU124">
            <v>2891.2</v>
          </cell>
          <cell r="AV124" t="str">
            <v/>
          </cell>
        </row>
        <row r="125">
          <cell r="A125">
            <v>100139</v>
          </cell>
          <cell r="B125" t="str">
            <v>1035361862</v>
          </cell>
          <cell r="C125" t="str">
            <v>السيد</v>
          </cell>
          <cell r="D125" t="str">
            <v>Akram Nife M Alobaidi</v>
          </cell>
          <cell r="E125" t="str">
            <v>أكرم نايف مريع العبيدي</v>
          </cell>
          <cell r="F125" t="str">
            <v>Male</v>
          </cell>
          <cell r="G125" t="str">
            <v>متزوج</v>
          </cell>
          <cell r="H125">
            <v>29353</v>
          </cell>
          <cell r="I125">
            <v>46</v>
          </cell>
          <cell r="J125">
            <v>16837</v>
          </cell>
          <cell r="K125" t="str">
            <v>akram.alobaidi@agriserv.sa</v>
          </cell>
          <cell r="L125" t="str">
            <v>0544717233</v>
          </cell>
          <cell r="M125" t="str">
            <v>2606</v>
          </cell>
          <cell r="N125" t="str">
            <v>المملكة العربية السعودية</v>
          </cell>
          <cell r="O125" t="str">
            <v>50001046</v>
          </cell>
          <cell r="P125" t="str">
            <v>أخصائي إدارة الأسطول</v>
          </cell>
          <cell r="Q125" t="str">
            <v>الدرجة 4</v>
          </cell>
          <cell r="R125" t="str">
            <v>Class VIP</v>
          </cell>
          <cell r="S125" t="str">
            <v/>
          </cell>
          <cell r="T125" t="str">
            <v>إدارة الأسطول</v>
          </cell>
          <cell r="U125" t="str">
            <v>الشؤون الإدارية</v>
          </cell>
          <cell r="V125" t="str">
            <v>الخدمات المشتركة</v>
          </cell>
          <cell r="W125" t="str">
            <v>Al Riyadh</v>
          </cell>
          <cell r="X125" t="str">
            <v xml:space="preserve">المقر الرئيسي </v>
          </cell>
          <cell r="Y125">
            <v>45550</v>
          </cell>
          <cell r="Z125">
            <v>1.75</v>
          </cell>
          <cell r="AA125">
            <v>640</v>
          </cell>
          <cell r="AB125" t="str">
            <v>نشط</v>
          </cell>
          <cell r="AC125" t="str">
            <v>100005</v>
          </cell>
          <cell r="AD125" t="str">
            <v>Khalid Alghannam</v>
          </cell>
          <cell r="AE125" t="str">
            <v>موظف</v>
          </cell>
          <cell r="AF125" t="str">
            <v/>
          </cell>
          <cell r="AG125">
            <v>46279</v>
          </cell>
          <cell r="AH125" t="str">
            <v>إدارة الأعمال</v>
          </cell>
          <cell r="AI125" t="str">
            <v>بكالوريوس</v>
          </cell>
          <cell r="AJ125">
            <v>5</v>
          </cell>
          <cell r="AK125">
            <v>4</v>
          </cell>
          <cell r="AL125">
            <v>1</v>
          </cell>
          <cell r="AM125">
            <v>0</v>
          </cell>
          <cell r="AN125" t="str">
            <v/>
          </cell>
          <cell r="AO125" t="str">
            <v>الشؤون الإدارية</v>
          </cell>
          <cell r="AP125" t="str">
            <v>Bank Al Bilad</v>
          </cell>
          <cell r="AQ125" t="str">
            <v>SA7315000900144161140004</v>
          </cell>
          <cell r="AR125">
            <v>8829.6</v>
          </cell>
          <cell r="AS125">
            <v>8829.6</v>
          </cell>
          <cell r="AT125">
            <v>882.96</v>
          </cell>
          <cell r="AU125">
            <v>2207.4</v>
          </cell>
          <cell r="AV125">
            <v>300</v>
          </cell>
        </row>
        <row r="126">
          <cell r="A126">
            <v>100140</v>
          </cell>
          <cell r="B126" t="str">
            <v>1048757122</v>
          </cell>
          <cell r="C126" t="str">
            <v>السيد</v>
          </cell>
          <cell r="D126" t="str">
            <v>Majed Abdulaziz Rashid Alfaraj</v>
          </cell>
          <cell r="E126" t="str">
            <v>ماجد عبدالعزيز راشد الفراج</v>
          </cell>
          <cell r="F126" t="str">
            <v>Male</v>
          </cell>
          <cell r="G126" t="str">
            <v>متزوج</v>
          </cell>
          <cell r="H126">
            <v>29752</v>
          </cell>
          <cell r="I126">
            <v>45</v>
          </cell>
          <cell r="J126">
            <v>16438</v>
          </cell>
          <cell r="K126" t="str">
            <v>Majed.Alfarraj@agriserv.sa</v>
          </cell>
          <cell r="L126" t="str">
            <v>0506150029</v>
          </cell>
          <cell r="M126" t="str">
            <v>5100</v>
          </cell>
          <cell r="N126" t="str">
            <v>المملكة العربية السعودية</v>
          </cell>
          <cell r="O126" t="str">
            <v>50001324</v>
          </cell>
          <cell r="P126" t="str">
            <v>مدير عام ،إد ارة الفروع</v>
          </cell>
          <cell r="Q126" t="str">
            <v>الدرجة 9</v>
          </cell>
          <cell r="R126" t="str">
            <v>Class VVIP</v>
          </cell>
          <cell r="S126" t="str">
            <v/>
          </cell>
          <cell r="T126" t="str">
            <v/>
          </cell>
          <cell r="U126" t="str">
            <v/>
          </cell>
          <cell r="V126" t="str">
            <v>الفروع</v>
          </cell>
          <cell r="W126" t="str">
            <v>Al Riyadh</v>
          </cell>
          <cell r="X126" t="str">
            <v xml:space="preserve">المقر الرئيسي </v>
          </cell>
          <cell r="Y126">
            <v>45543</v>
          </cell>
          <cell r="Z126">
            <v>1.77</v>
          </cell>
          <cell r="AA126">
            <v>647</v>
          </cell>
          <cell r="AB126" t="str">
            <v>نشط</v>
          </cell>
          <cell r="AC126" t="str">
            <v>100191</v>
          </cell>
          <cell r="AD126" t="str">
            <v>Nemer Alshebel</v>
          </cell>
          <cell r="AE126" t="str">
            <v>موظف</v>
          </cell>
          <cell r="AF126" t="str">
            <v/>
          </cell>
          <cell r="AG126">
            <v>46272</v>
          </cell>
          <cell r="AH126" t="str">
            <v>علم الزراعة</v>
          </cell>
          <cell r="AI126" t="str">
            <v>ماجستير</v>
          </cell>
          <cell r="AJ126">
            <v>4</v>
          </cell>
          <cell r="AK126">
            <v>3</v>
          </cell>
          <cell r="AL126">
            <v>1</v>
          </cell>
          <cell r="AM126">
            <v>0</v>
          </cell>
          <cell r="AN126">
            <v>2</v>
          </cell>
          <cell r="AO126" t="str">
            <v>عام</v>
          </cell>
          <cell r="AP126" t="str">
            <v>Al Rajhi Bank</v>
          </cell>
          <cell r="AQ126" t="str">
            <v xml:space="preserve">SA6280000371608010042274
</v>
          </cell>
          <cell r="AR126">
            <v>68952</v>
          </cell>
          <cell r="AS126">
            <v>68952</v>
          </cell>
          <cell r="AT126">
            <v>3500</v>
          </cell>
          <cell r="AU126">
            <v>17238</v>
          </cell>
          <cell r="AV126">
            <v>800</v>
          </cell>
        </row>
        <row r="127">
          <cell r="A127">
            <v>100141</v>
          </cell>
          <cell r="B127" t="str">
            <v>1104306566</v>
          </cell>
          <cell r="C127" t="str">
            <v>السيد</v>
          </cell>
          <cell r="D127" t="str">
            <v>Mohammed Ibrahim Mohammed Almuhaimid</v>
          </cell>
          <cell r="E127" t="str">
            <v>محمد براهيم محمد المحيميد</v>
          </cell>
          <cell r="F127" t="str">
            <v>Male</v>
          </cell>
          <cell r="G127" t="str">
            <v>أعزب</v>
          </cell>
          <cell r="H127">
            <v>34334</v>
          </cell>
          <cell r="I127">
            <v>32</v>
          </cell>
          <cell r="J127">
            <v>11856</v>
          </cell>
          <cell r="K127" t="str">
            <v>Mohammed.AlMohaimeed@agriserv.sa</v>
          </cell>
          <cell r="L127" t="str">
            <v>0569862299</v>
          </cell>
          <cell r="M127" t="str">
            <v>6203</v>
          </cell>
          <cell r="N127" t="str">
            <v>المملكة العربية السعودية</v>
          </cell>
          <cell r="O127" t="str">
            <v>50001325</v>
          </cell>
          <cell r="P127" t="str">
            <v>مدير تنفيذي مشاريع الاستثمار</v>
          </cell>
          <cell r="Q127" t="str">
            <v>الدرجة 7</v>
          </cell>
          <cell r="R127" t="str">
            <v>Class VIP</v>
          </cell>
          <cell r="S127" t="str">
            <v/>
          </cell>
          <cell r="T127" t="str">
            <v>تنمية الأعمال</v>
          </cell>
          <cell r="U127" t="str">
            <v>إدارة الأصول والاستثمار</v>
          </cell>
          <cell r="V127" t="str">
            <v>إدارة الأصول والاستثمار</v>
          </cell>
          <cell r="W127" t="str">
            <v>Al Riyadh</v>
          </cell>
          <cell r="X127" t="str">
            <v xml:space="preserve">المقر الرئيسي </v>
          </cell>
          <cell r="Y127">
            <v>45566</v>
          </cell>
          <cell r="Z127">
            <v>1.71</v>
          </cell>
          <cell r="AA127">
            <v>624</v>
          </cell>
          <cell r="AB127" t="str">
            <v>نشط</v>
          </cell>
          <cell r="AC127" t="str">
            <v>100084</v>
          </cell>
          <cell r="AD127" t="str">
            <v>Naif Alsudais</v>
          </cell>
          <cell r="AE127" t="str">
            <v>موظف</v>
          </cell>
          <cell r="AF127" t="str">
            <v/>
          </cell>
          <cell r="AG127">
            <v>46295</v>
          </cell>
          <cell r="AH127" t="str">
            <v>هندسة مدنية</v>
          </cell>
          <cell r="AI127" t="str">
            <v>بكالوريوس</v>
          </cell>
          <cell r="AJ127">
            <v>2</v>
          </cell>
          <cell r="AK127">
            <v>0</v>
          </cell>
          <cell r="AL127">
            <v>0</v>
          </cell>
          <cell r="AM127">
            <v>2</v>
          </cell>
          <cell r="AN127" t="str">
            <v/>
          </cell>
          <cell r="AO127" t="str">
            <v>الأصول والاستثمار</v>
          </cell>
          <cell r="AP127" t="str">
            <v>Al Rajhi Bank</v>
          </cell>
          <cell r="AQ127" t="str">
            <v>SA9180000495608010069211</v>
          </cell>
          <cell r="AR127">
            <v>17455.36</v>
          </cell>
          <cell r="AS127">
            <v>17455.36</v>
          </cell>
          <cell r="AT127">
            <v>1745.5360000000001</v>
          </cell>
          <cell r="AU127">
            <v>4363.84</v>
          </cell>
          <cell r="AV127">
            <v>500</v>
          </cell>
        </row>
        <row r="128">
          <cell r="A128">
            <v>100142</v>
          </cell>
          <cell r="B128" t="str">
            <v>1125059533</v>
          </cell>
          <cell r="C128" t="str">
            <v>السيد</v>
          </cell>
          <cell r="D128" t="str">
            <v>Saud Munif null Alotaibi</v>
          </cell>
          <cell r="E128" t="str">
            <v>سعود منيف حربي العتيبي</v>
          </cell>
          <cell r="F128" t="str">
            <v>Male</v>
          </cell>
          <cell r="G128" t="str">
            <v>أعزب</v>
          </cell>
          <cell r="H128">
            <v>35994</v>
          </cell>
          <cell r="I128">
            <v>28</v>
          </cell>
          <cell r="J128">
            <v>10196</v>
          </cell>
          <cell r="K128" t="str">
            <v>saud.alotaibi@agriserv.sa</v>
          </cell>
          <cell r="L128" t="str">
            <v>0564523967</v>
          </cell>
          <cell r="M128" t="str">
            <v>2107</v>
          </cell>
          <cell r="N128" t="str">
            <v>المملكة العربية السعودية</v>
          </cell>
          <cell r="O128" t="str">
            <v>50001326</v>
          </cell>
          <cell r="P128" t="str">
            <v>أخصائي مشتريات</v>
          </cell>
          <cell r="Q128" t="str">
            <v>الدرجة 4</v>
          </cell>
          <cell r="R128" t="str">
            <v>Class A</v>
          </cell>
          <cell r="S128" t="str">
            <v/>
          </cell>
          <cell r="T128" t="str">
            <v>الشراء والمناقصات</v>
          </cell>
          <cell r="U128" t="str">
            <v>المشتريات</v>
          </cell>
          <cell r="V128" t="str">
            <v>الخدمات المشتركة</v>
          </cell>
          <cell r="W128" t="str">
            <v>Al Riyadh</v>
          </cell>
          <cell r="X128" t="str">
            <v xml:space="preserve">المقر الرئيسي </v>
          </cell>
          <cell r="Y128">
            <v>45571</v>
          </cell>
          <cell r="Z128">
            <v>1.69</v>
          </cell>
          <cell r="AA128">
            <v>619</v>
          </cell>
          <cell r="AB128" t="str">
            <v>نشط</v>
          </cell>
          <cell r="AC128" t="str">
            <v>100110</v>
          </cell>
          <cell r="AD128" t="str">
            <v>Mohannd Alsaab</v>
          </cell>
          <cell r="AE128" t="str">
            <v>موظف</v>
          </cell>
          <cell r="AF128" t="str">
            <v/>
          </cell>
          <cell r="AG128">
            <v>46300</v>
          </cell>
          <cell r="AH128" t="str">
            <v>إدارة الأعمال</v>
          </cell>
          <cell r="AI128" t="str">
            <v>بكالوريوس</v>
          </cell>
          <cell r="AJ128">
            <v>2</v>
          </cell>
          <cell r="AK128">
            <v>0</v>
          </cell>
          <cell r="AL128">
            <v>0</v>
          </cell>
          <cell r="AM128">
            <v>2</v>
          </cell>
          <cell r="AN128" t="str">
            <v/>
          </cell>
          <cell r="AO128" t="str">
            <v>المشتريات</v>
          </cell>
          <cell r="AP128" t="str">
            <v>Al Rajhi Bank</v>
          </cell>
          <cell r="AQ128" t="str">
            <v>SA6580000441608010357850</v>
          </cell>
          <cell r="AR128">
            <v>9464</v>
          </cell>
          <cell r="AS128">
            <v>9464</v>
          </cell>
          <cell r="AT128">
            <v>946.4</v>
          </cell>
          <cell r="AU128">
            <v>2366</v>
          </cell>
          <cell r="AV128">
            <v>300</v>
          </cell>
        </row>
        <row r="129">
          <cell r="A129">
            <v>100143</v>
          </cell>
          <cell r="B129" t="str">
            <v>1078979794</v>
          </cell>
          <cell r="C129" t="str">
            <v>السيد</v>
          </cell>
          <cell r="D129" t="str">
            <v>Abdullah Soleman Abdullah Alhassoun</v>
          </cell>
          <cell r="E129" t="str">
            <v>عبدالله سليمان عبدالله الحسون</v>
          </cell>
          <cell r="F129" t="str">
            <v>Male</v>
          </cell>
          <cell r="G129" t="str">
            <v>أعزب</v>
          </cell>
          <cell r="H129">
            <v>34172</v>
          </cell>
          <cell r="I129">
            <v>33</v>
          </cell>
          <cell r="J129">
            <v>12018</v>
          </cell>
          <cell r="K129" t="str">
            <v>abdullah.alhassoun@agriserv.sa</v>
          </cell>
          <cell r="L129" t="str">
            <v>0554611117</v>
          </cell>
          <cell r="M129" t="str">
            <v>2108</v>
          </cell>
          <cell r="N129" t="str">
            <v>المملكة العربية السعودية</v>
          </cell>
          <cell r="O129" t="str">
            <v>50001327</v>
          </cell>
          <cell r="P129" t="str">
            <v>أخصائي أول ,مشتريات</v>
          </cell>
          <cell r="Q129" t="str">
            <v>الدرجة ٥</v>
          </cell>
          <cell r="R129" t="str">
            <v>Class VIP</v>
          </cell>
          <cell r="S129" t="str">
            <v/>
          </cell>
          <cell r="T129" t="str">
            <v>الشراء والمناقصات</v>
          </cell>
          <cell r="U129" t="str">
            <v>المشتريات</v>
          </cell>
          <cell r="V129" t="str">
            <v>الخدمات المشتركة</v>
          </cell>
          <cell r="W129" t="str">
            <v>Al Riyadh</v>
          </cell>
          <cell r="X129" t="str">
            <v xml:space="preserve">المقر الرئيسي </v>
          </cell>
          <cell r="Y129">
            <v>45571</v>
          </cell>
          <cell r="Z129">
            <v>1.69</v>
          </cell>
          <cell r="AA129">
            <v>619</v>
          </cell>
          <cell r="AB129" t="str">
            <v>نشط</v>
          </cell>
          <cell r="AC129" t="str">
            <v>100110</v>
          </cell>
          <cell r="AD129" t="str">
            <v>Mohannd Alsaab</v>
          </cell>
          <cell r="AE129" t="str">
            <v>موظف</v>
          </cell>
          <cell r="AF129" t="str">
            <v/>
          </cell>
          <cell r="AG129">
            <v>46300</v>
          </cell>
          <cell r="AH129" t="str">
            <v>لغات وترجمة</v>
          </cell>
          <cell r="AI129" t="str">
            <v>بكالوريوس</v>
          </cell>
          <cell r="AJ129">
            <v>1</v>
          </cell>
          <cell r="AK129">
            <v>0</v>
          </cell>
          <cell r="AL129">
            <v>0</v>
          </cell>
          <cell r="AM129">
            <v>1</v>
          </cell>
          <cell r="AN129" t="str">
            <v/>
          </cell>
          <cell r="AO129" t="str">
            <v>المشتريات</v>
          </cell>
          <cell r="AP129" t="str">
            <v>Al Rajhi Bank</v>
          </cell>
          <cell r="AQ129" t="str">
            <v>SA8180000495608010048827</v>
          </cell>
          <cell r="AR129">
            <v>12243</v>
          </cell>
          <cell r="AS129">
            <v>12243</v>
          </cell>
          <cell r="AT129">
            <v>1224.3</v>
          </cell>
          <cell r="AU129">
            <v>3060.75</v>
          </cell>
          <cell r="AV129">
            <v>300</v>
          </cell>
        </row>
        <row r="130">
          <cell r="A130">
            <v>100144</v>
          </cell>
          <cell r="B130" t="str">
            <v>1086179510</v>
          </cell>
          <cell r="C130" t="str">
            <v>الآنسة</v>
          </cell>
          <cell r="D130" t="str">
            <v>Nazik Mesfer A Alajmi</v>
          </cell>
          <cell r="E130" t="str">
            <v>نازك مسفر عائض العجمي</v>
          </cell>
          <cell r="F130" t="str">
            <v>Female</v>
          </cell>
          <cell r="G130" t="str">
            <v>أعزب</v>
          </cell>
          <cell r="H130">
            <v>34835</v>
          </cell>
          <cell r="I130">
            <v>31</v>
          </cell>
          <cell r="J130">
            <v>11355</v>
          </cell>
          <cell r="K130" t="str">
            <v>Nazik.Alajmi@agriserv.sa</v>
          </cell>
          <cell r="L130" t="str">
            <v>0569982058</v>
          </cell>
          <cell r="M130" t="str">
            <v>7304</v>
          </cell>
          <cell r="N130" t="str">
            <v>المملكة العربية السعودية</v>
          </cell>
          <cell r="O130" t="str">
            <v>50001330</v>
          </cell>
          <cell r="P130" t="str">
            <v>مدير، الحوكمة، المخاطر والالتزام</v>
          </cell>
          <cell r="Q130" t="str">
            <v>الدرجة 6</v>
          </cell>
          <cell r="R130" t="str">
            <v>Class VIP</v>
          </cell>
          <cell r="S130" t="str">
            <v/>
          </cell>
          <cell r="T130" t="str">
            <v>الحوكمة والمخاطر والالتزام</v>
          </cell>
          <cell r="U130" t="str">
            <v>السياسات والإجراءات</v>
          </cell>
          <cell r="V130" t="str">
            <v>السياسات والإجراءات</v>
          </cell>
          <cell r="W130" t="str">
            <v>Al Riyadh</v>
          </cell>
          <cell r="X130" t="str">
            <v xml:space="preserve">المقر الرئيسي </v>
          </cell>
          <cell r="Y130">
            <v>45599</v>
          </cell>
          <cell r="Z130">
            <v>1.62</v>
          </cell>
          <cell r="AA130">
            <v>591</v>
          </cell>
          <cell r="AB130" t="str">
            <v>نشط</v>
          </cell>
          <cell r="AC130" t="str">
            <v>100048</v>
          </cell>
          <cell r="AD130" t="str">
            <v>Mohammed Alothman</v>
          </cell>
          <cell r="AE130" t="str">
            <v>موظف</v>
          </cell>
          <cell r="AF130" t="str">
            <v/>
          </cell>
          <cell r="AG130">
            <v>46328</v>
          </cell>
          <cell r="AH130" t="str">
            <v>إدارة الأعمال</v>
          </cell>
          <cell r="AI130" t="str">
            <v>بكالوريوس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 t="str">
            <v/>
          </cell>
          <cell r="AO130" t="str">
            <v>الحوكمة والمخاطر والالتزام</v>
          </cell>
          <cell r="AP130" t="str">
            <v>Saudi National Bank</v>
          </cell>
          <cell r="AQ130" t="str">
            <v>SA7410000071100003518801</v>
          </cell>
          <cell r="AR130">
            <v>22048</v>
          </cell>
          <cell r="AS130">
            <v>22048</v>
          </cell>
          <cell r="AT130">
            <v>2204.8000000000002</v>
          </cell>
          <cell r="AU130">
            <v>5512</v>
          </cell>
          <cell r="AV130">
            <v>500</v>
          </cell>
        </row>
        <row r="131">
          <cell r="A131">
            <v>100145</v>
          </cell>
          <cell r="B131" t="str">
            <v>1042832822</v>
          </cell>
          <cell r="C131" t="str">
            <v>السيد</v>
          </cell>
          <cell r="D131" t="str">
            <v>Hani Hassan Hamed Barniyah</v>
          </cell>
          <cell r="E131" t="str">
            <v>هاني حسن حمد برنيه</v>
          </cell>
          <cell r="F131" t="str">
            <v>Male</v>
          </cell>
          <cell r="G131" t="str">
            <v>متزوج</v>
          </cell>
          <cell r="H131">
            <v>28540</v>
          </cell>
          <cell r="I131">
            <v>48</v>
          </cell>
          <cell r="J131">
            <v>17650</v>
          </cell>
          <cell r="K131" t="str">
            <v>Hani.Barniyah@agriserv.sa</v>
          </cell>
          <cell r="L131" t="str">
            <v>0505562862</v>
          </cell>
          <cell r="M131" t="str">
            <v>3400</v>
          </cell>
          <cell r="N131" t="str">
            <v>المملكة العربية السعودية</v>
          </cell>
          <cell r="O131" t="str">
            <v>50001331</v>
          </cell>
          <cell r="P131" t="str">
            <v>مدير إدارة ,التسجيل</v>
          </cell>
          <cell r="Q131" t="str">
            <v>8 الدرجة</v>
          </cell>
          <cell r="R131" t="str">
            <v>Class VIP</v>
          </cell>
          <cell r="S131" t="str">
            <v/>
          </cell>
          <cell r="T131" t="str">
            <v/>
          </cell>
          <cell r="U131" t="str">
            <v>التسجيل والمختبرات</v>
          </cell>
          <cell r="V131" t="str">
            <v>التراخيص</v>
          </cell>
          <cell r="W131" t="str">
            <v>Al Riyadh</v>
          </cell>
          <cell r="X131" t="str">
            <v xml:space="preserve">المقر الرئيسي </v>
          </cell>
          <cell r="Y131">
            <v>45599</v>
          </cell>
          <cell r="Z131">
            <v>1.62</v>
          </cell>
          <cell r="AA131">
            <v>591</v>
          </cell>
          <cell r="AB131" t="str">
            <v>نشط</v>
          </cell>
          <cell r="AC131" t="str">
            <v>100053</v>
          </cell>
          <cell r="AD131" t="str">
            <v>Hamad Alarifi</v>
          </cell>
          <cell r="AE131" t="str">
            <v>موظف</v>
          </cell>
          <cell r="AF131" t="str">
            <v/>
          </cell>
          <cell r="AG131">
            <v>46328</v>
          </cell>
          <cell r="AH131" t="str">
            <v>كيمياء</v>
          </cell>
          <cell r="AI131" t="str">
            <v>بكالوريوس</v>
          </cell>
          <cell r="AJ131">
            <v>4</v>
          </cell>
          <cell r="AK131">
            <v>3</v>
          </cell>
          <cell r="AL131">
            <v>0</v>
          </cell>
          <cell r="AM131">
            <v>1</v>
          </cell>
          <cell r="AN131">
            <v>1</v>
          </cell>
          <cell r="AO131" t="str">
            <v>التسجيل</v>
          </cell>
          <cell r="AP131" t="str">
            <v>Al Rajhi Bank</v>
          </cell>
          <cell r="AQ131" t="str">
            <v>SA0380000174608010136315</v>
          </cell>
          <cell r="AR131">
            <v>26395.200000000001</v>
          </cell>
          <cell r="AS131">
            <v>26395.200000000001</v>
          </cell>
          <cell r="AT131">
            <v>2639.52</v>
          </cell>
          <cell r="AU131">
            <v>6598.8</v>
          </cell>
          <cell r="AV131">
            <v>500</v>
          </cell>
        </row>
        <row r="132">
          <cell r="A132">
            <v>100146</v>
          </cell>
          <cell r="B132" t="str">
            <v>1099131375</v>
          </cell>
          <cell r="C132" t="str">
            <v>الآنسة</v>
          </cell>
          <cell r="D132" t="str">
            <v>Munirah Khalid Fahad Alqahtani</v>
          </cell>
          <cell r="E132" t="str">
            <v>منيره خالد فهد القحطاني</v>
          </cell>
          <cell r="F132" t="str">
            <v>Female</v>
          </cell>
          <cell r="G132" t="str">
            <v>أعزب</v>
          </cell>
          <cell r="H132">
            <v>35928</v>
          </cell>
          <cell r="I132">
            <v>28</v>
          </cell>
          <cell r="J132">
            <v>10262</v>
          </cell>
          <cell r="K132" t="str">
            <v>Munirah.Alqahtani@agriserv.sa</v>
          </cell>
          <cell r="L132" t="str">
            <v>0551736071</v>
          </cell>
          <cell r="M132" t="str">
            <v/>
          </cell>
          <cell r="N132" t="str">
            <v>المملكة العربية السعودية</v>
          </cell>
          <cell r="O132" t="str">
            <v>50000411</v>
          </cell>
          <cell r="P132" t="str">
            <v>أخصائي التوظيف</v>
          </cell>
          <cell r="Q132" t="str">
            <v>الدرجة 4</v>
          </cell>
          <cell r="R132" t="str">
            <v>Class A</v>
          </cell>
          <cell r="S132" t="str">
            <v/>
          </cell>
          <cell r="T132" t="str">
            <v>التوظيف</v>
          </cell>
          <cell r="U132" t="str">
            <v>الموارد البشرية</v>
          </cell>
          <cell r="V132" t="str">
            <v>الخدمات المشتركة</v>
          </cell>
          <cell r="W132" t="str">
            <v>Al Riyadh</v>
          </cell>
          <cell r="X132" t="str">
            <v xml:space="preserve">المقر الرئيسي </v>
          </cell>
          <cell r="Y132">
            <v>45627</v>
          </cell>
          <cell r="Z132">
            <v>1.54</v>
          </cell>
          <cell r="AA132">
            <v>563</v>
          </cell>
          <cell r="AB132" t="str">
            <v>نشط</v>
          </cell>
          <cell r="AC132" t="str">
            <v>100159</v>
          </cell>
          <cell r="AD132" t="str">
            <v>Amer Alkhaldi</v>
          </cell>
          <cell r="AE132" t="str">
            <v>موظف</v>
          </cell>
          <cell r="AF132" t="str">
            <v/>
          </cell>
          <cell r="AG132">
            <v>46356</v>
          </cell>
          <cell r="AH132" t="str">
            <v>إدارة الأعمال</v>
          </cell>
          <cell r="AI132" t="str">
            <v>بكالوريوس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 t="str">
            <v/>
          </cell>
          <cell r="AO132" t="str">
            <v>الموارد البشرية</v>
          </cell>
          <cell r="AP132" t="str">
            <v>Arab National Bank</v>
          </cell>
          <cell r="AQ132" t="str">
            <v>SA7330400108038579750010</v>
          </cell>
          <cell r="AR132">
            <v>11232</v>
          </cell>
          <cell r="AS132">
            <v>11232</v>
          </cell>
          <cell r="AT132">
            <v>1123.2</v>
          </cell>
          <cell r="AU132">
            <v>2808</v>
          </cell>
          <cell r="AV132">
            <v>300</v>
          </cell>
        </row>
        <row r="133">
          <cell r="A133">
            <v>100147</v>
          </cell>
          <cell r="B133" t="str">
            <v>1088019169</v>
          </cell>
          <cell r="C133" t="str">
            <v>السيد</v>
          </cell>
          <cell r="D133" t="str">
            <v>Muath Ahmad M Annasban</v>
          </cell>
          <cell r="E133" t="str">
            <v>معاذ احمد محمد النصبان</v>
          </cell>
          <cell r="F133" t="str">
            <v>Male</v>
          </cell>
          <cell r="G133" t="str">
            <v>أعزب</v>
          </cell>
          <cell r="H133">
            <v>34974</v>
          </cell>
          <cell r="I133">
            <v>31</v>
          </cell>
          <cell r="J133">
            <v>11216</v>
          </cell>
          <cell r="K133" t="str">
            <v>Muath.Annasban@agriserv.sa</v>
          </cell>
          <cell r="L133" t="str">
            <v>0508000239</v>
          </cell>
          <cell r="M133" t="str">
            <v>2407</v>
          </cell>
          <cell r="N133" t="str">
            <v>المملكة العربية السعودية</v>
          </cell>
          <cell r="O133" t="str">
            <v>50001332</v>
          </cell>
          <cell r="P133" t="str">
            <v>أخصائي أول , إيرادات</v>
          </cell>
          <cell r="Q133" t="str">
            <v>الدرجة ٥</v>
          </cell>
          <cell r="R133" t="str">
            <v>Class VIP</v>
          </cell>
          <cell r="S133" t="str">
            <v/>
          </cell>
          <cell r="T133" t="str">
            <v>الحسابات</v>
          </cell>
          <cell r="U133" t="str">
            <v>الحسابات</v>
          </cell>
          <cell r="V133" t="str">
            <v>المالية</v>
          </cell>
          <cell r="W133" t="str">
            <v>Al Riyadh</v>
          </cell>
          <cell r="X133" t="str">
            <v xml:space="preserve">المقر الرئيسي </v>
          </cell>
          <cell r="Y133">
            <v>45627</v>
          </cell>
          <cell r="Z133">
            <v>1.54</v>
          </cell>
          <cell r="AA133">
            <v>563</v>
          </cell>
          <cell r="AB133" t="str">
            <v>نشط</v>
          </cell>
          <cell r="AC133" t="str">
            <v>100189</v>
          </cell>
          <cell r="AD133" t="str">
            <v>Abdullah Bin Nawman</v>
          </cell>
          <cell r="AE133" t="str">
            <v>موظف</v>
          </cell>
          <cell r="AF133" t="str">
            <v/>
          </cell>
          <cell r="AG133">
            <v>46356</v>
          </cell>
          <cell r="AH133" t="str">
            <v>المحاسبة</v>
          </cell>
          <cell r="AI133" t="str">
            <v>بكالوريوس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 t="str">
            <v/>
          </cell>
          <cell r="AO133" t="str">
            <v>الحسابات</v>
          </cell>
          <cell r="AP133" t="str">
            <v>Al Rajhi Bank</v>
          </cell>
          <cell r="AQ133" t="str">
            <v>SA4480000446608011133008</v>
          </cell>
          <cell r="AR133">
            <v>10742.815199999999</v>
          </cell>
          <cell r="AS133">
            <v>10742.815000000001</v>
          </cell>
          <cell r="AT133">
            <v>1074.2819999999999</v>
          </cell>
          <cell r="AU133">
            <v>2685.7040000000002</v>
          </cell>
          <cell r="AV133" t="str">
            <v/>
          </cell>
        </row>
        <row r="134">
          <cell r="A134">
            <v>100148</v>
          </cell>
          <cell r="B134" t="str">
            <v>1002613717</v>
          </cell>
          <cell r="C134" t="str">
            <v>السيد</v>
          </cell>
          <cell r="D134" t="str">
            <v>Abdulrahman Abdulmohsen Mohammed Alswilim</v>
          </cell>
          <cell r="E134" t="str">
            <v>عبدالرحمن عبدالمحسن محمد السويلم</v>
          </cell>
          <cell r="F134" t="str">
            <v>Male</v>
          </cell>
          <cell r="G134" t="str">
            <v>متزوج</v>
          </cell>
          <cell r="H134">
            <v>30240</v>
          </cell>
          <cell r="I134">
            <v>44</v>
          </cell>
          <cell r="J134">
            <v>15950</v>
          </cell>
          <cell r="K134" t="str">
            <v>Abdulrahman.Alswilim@agriserv.sa</v>
          </cell>
          <cell r="L134" t="str">
            <v>0548233000</v>
          </cell>
          <cell r="M134" t="str">
            <v>6300</v>
          </cell>
          <cell r="N134" t="str">
            <v>المملكة العربية السعودية</v>
          </cell>
          <cell r="O134" t="str">
            <v>50000657</v>
          </cell>
          <cell r="P134" t="str">
            <v>مدير عام , التسويق</v>
          </cell>
          <cell r="Q134" t="str">
            <v>الدرجة 9</v>
          </cell>
          <cell r="R134" t="str">
            <v>Class VVIP</v>
          </cell>
          <cell r="S134" t="str">
            <v/>
          </cell>
          <cell r="T134" t="str">
            <v/>
          </cell>
          <cell r="U134" t="str">
            <v>تسويق</v>
          </cell>
          <cell r="V134" t="str">
            <v>الخدمات التجارية</v>
          </cell>
          <cell r="W134" t="str">
            <v>Al Riyadh</v>
          </cell>
          <cell r="X134" t="str">
            <v xml:space="preserve">المقر الرئيسي </v>
          </cell>
          <cell r="Y134">
            <v>45627</v>
          </cell>
          <cell r="Z134">
            <v>1.54</v>
          </cell>
          <cell r="AA134">
            <v>563</v>
          </cell>
          <cell r="AB134" t="str">
            <v>نشط</v>
          </cell>
          <cell r="AC134" t="str">
            <v>100154</v>
          </cell>
          <cell r="AD134" t="str">
            <v>Turki Alkhalaif</v>
          </cell>
          <cell r="AE134" t="str">
            <v>موظف</v>
          </cell>
          <cell r="AF134" t="str">
            <v/>
          </cell>
          <cell r="AG134">
            <v>46356</v>
          </cell>
          <cell r="AH134" t="str">
            <v>التسويق</v>
          </cell>
          <cell r="AI134" t="str">
            <v>ماجستير</v>
          </cell>
          <cell r="AJ134">
            <v>6</v>
          </cell>
          <cell r="AK134">
            <v>4</v>
          </cell>
          <cell r="AL134">
            <v>1</v>
          </cell>
          <cell r="AM134">
            <v>1</v>
          </cell>
          <cell r="AN134">
            <v>3</v>
          </cell>
          <cell r="AO134" t="str">
            <v>تسويق</v>
          </cell>
          <cell r="AP134" t="str">
            <v>Saudi National Bank</v>
          </cell>
          <cell r="AQ134" t="str">
            <v xml:space="preserve">SA9410000011100055311002 </v>
          </cell>
          <cell r="AR134">
            <v>63440</v>
          </cell>
          <cell r="AS134">
            <v>63440</v>
          </cell>
          <cell r="AT134">
            <v>3500</v>
          </cell>
          <cell r="AU134">
            <v>15860</v>
          </cell>
          <cell r="AV134">
            <v>800</v>
          </cell>
        </row>
        <row r="135">
          <cell r="A135">
            <v>100149</v>
          </cell>
          <cell r="B135" t="str">
            <v>1108553726</v>
          </cell>
          <cell r="C135" t="str">
            <v>الآنسة</v>
          </cell>
          <cell r="D135" t="str">
            <v>Nouf Saad Abdullah Alhuinihin</v>
          </cell>
          <cell r="E135" t="str">
            <v>نوف سعد عبدالله الحنيحن</v>
          </cell>
          <cell r="F135" t="str">
            <v>Female</v>
          </cell>
          <cell r="G135" t="str">
            <v>أعزب</v>
          </cell>
          <cell r="H135">
            <v>35480</v>
          </cell>
          <cell r="I135">
            <v>29</v>
          </cell>
          <cell r="J135">
            <v>10710</v>
          </cell>
          <cell r="K135" t="str">
            <v>Nouf.Alhuinihin@agriserv.sa</v>
          </cell>
          <cell r="L135" t="str">
            <v>0566525625</v>
          </cell>
          <cell r="M135" t="str">
            <v>7106</v>
          </cell>
          <cell r="N135" t="str">
            <v>المملكة العربية السعودية</v>
          </cell>
          <cell r="O135" t="str">
            <v>50001093</v>
          </cell>
          <cell r="P135" t="str">
            <v>أخصائي إدارة المشاريع</v>
          </cell>
          <cell r="Q135" t="str">
            <v>الدرجة ٥</v>
          </cell>
          <cell r="R135" t="str">
            <v>Class VIP</v>
          </cell>
          <cell r="S135" t="str">
            <v/>
          </cell>
          <cell r="T135" t="str">
            <v>إدارة البرامج الرئيسية</v>
          </cell>
          <cell r="U135" t="str">
            <v>مراقبة الأداء</v>
          </cell>
          <cell r="V135" t="str">
            <v>إدارة المشاريع</v>
          </cell>
          <cell r="W135" t="str">
            <v>Al Riyadh</v>
          </cell>
          <cell r="X135" t="str">
            <v xml:space="preserve">المقر الرئيسي </v>
          </cell>
          <cell r="Y135">
            <v>45641</v>
          </cell>
          <cell r="Z135">
            <v>1.5</v>
          </cell>
          <cell r="AA135">
            <v>549</v>
          </cell>
          <cell r="AB135" t="str">
            <v>نشط</v>
          </cell>
          <cell r="AC135" t="str">
            <v>100079</v>
          </cell>
          <cell r="AD135" t="str">
            <v>ABDULAZIZ ALSUNAYDI</v>
          </cell>
          <cell r="AE135" t="str">
            <v>موظف</v>
          </cell>
          <cell r="AF135" t="str">
            <v/>
          </cell>
          <cell r="AG135">
            <v>46370</v>
          </cell>
          <cell r="AH135" t="str">
            <v>اقتصاديات</v>
          </cell>
          <cell r="AI135" t="str">
            <v>بكالوريوس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 t="str">
            <v/>
          </cell>
          <cell r="AO135" t="str">
            <v>مكتب إدارة المشاريع</v>
          </cell>
          <cell r="AP135" t="str">
            <v>Saudi National Bank</v>
          </cell>
          <cell r="AQ135" t="str">
            <v>SA9010000020356549000104</v>
          </cell>
          <cell r="AR135">
            <v>14070</v>
          </cell>
          <cell r="AS135">
            <v>14070</v>
          </cell>
          <cell r="AT135">
            <v>1407</v>
          </cell>
          <cell r="AU135">
            <v>3517.5</v>
          </cell>
          <cell r="AV135">
            <v>300</v>
          </cell>
        </row>
        <row r="136">
          <cell r="A136">
            <v>100150</v>
          </cell>
          <cell r="B136" t="str">
            <v>1087936579</v>
          </cell>
          <cell r="C136" t="str">
            <v>السيد</v>
          </cell>
          <cell r="D136" t="str">
            <v>Saud Rashid Essa Albuainain</v>
          </cell>
          <cell r="E136" t="str">
            <v>سعود راشد عيسى البوعينين</v>
          </cell>
          <cell r="F136" t="str">
            <v>Male</v>
          </cell>
          <cell r="G136" t="str">
            <v>أعزب</v>
          </cell>
          <cell r="H136">
            <v>34876</v>
          </cell>
          <cell r="I136">
            <v>31</v>
          </cell>
          <cell r="J136">
            <v>11314</v>
          </cell>
          <cell r="K136" t="str">
            <v>Saud.Albuainain@agriserv.sa</v>
          </cell>
          <cell r="L136" t="str">
            <v>0503001727</v>
          </cell>
          <cell r="M136" t="str">
            <v>6104</v>
          </cell>
          <cell r="N136" t="str">
            <v>المملكة العربية السعودية</v>
          </cell>
          <cell r="O136" t="str">
            <v>50000682</v>
          </cell>
          <cell r="P136" t="str">
            <v>أخصائي أول , تسعير</v>
          </cell>
          <cell r="Q136" t="str">
            <v>الدرجة ٥</v>
          </cell>
          <cell r="R136" t="str">
            <v>Class VIP</v>
          </cell>
          <cell r="S136" t="str">
            <v/>
          </cell>
          <cell r="T136" t="str">
            <v/>
          </cell>
          <cell r="U136" t="str">
            <v>تطوير الأعمال و الاستثمارات التجارية</v>
          </cell>
          <cell r="V136" t="str">
            <v>إدارة تطوير الاعمال</v>
          </cell>
          <cell r="W136" t="str">
            <v>Al Riyadh</v>
          </cell>
          <cell r="X136" t="str">
            <v xml:space="preserve">المقر الرئيسي </v>
          </cell>
          <cell r="Y136">
            <v>45648</v>
          </cell>
          <cell r="Z136">
            <v>1.48</v>
          </cell>
          <cell r="AA136">
            <v>542</v>
          </cell>
          <cell r="AB136" t="str">
            <v>نشط</v>
          </cell>
          <cell r="AC136" t="str">
            <v>100042</v>
          </cell>
          <cell r="AD136" t="str">
            <v>Omar Ababtain</v>
          </cell>
          <cell r="AE136" t="str">
            <v>موظف</v>
          </cell>
          <cell r="AF136" t="str">
            <v/>
          </cell>
          <cell r="AG136">
            <v>46377</v>
          </cell>
          <cell r="AH136" t="str">
            <v>المالية</v>
          </cell>
          <cell r="AI136" t="str">
            <v>بكالوريوس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 t="str">
            <v/>
          </cell>
          <cell r="AO136" t="str">
            <v>تطوير الأعمال</v>
          </cell>
          <cell r="AP136" t="str">
            <v>Al Rajhi Bank</v>
          </cell>
          <cell r="AQ136" t="str">
            <v>SA8580000146608018887773</v>
          </cell>
          <cell r="AR136">
            <v>18096</v>
          </cell>
          <cell r="AS136">
            <v>18096</v>
          </cell>
          <cell r="AT136">
            <v>1809.6</v>
          </cell>
          <cell r="AU136">
            <v>4524</v>
          </cell>
          <cell r="AV136">
            <v>300</v>
          </cell>
        </row>
        <row r="137">
          <cell r="A137">
            <v>100151</v>
          </cell>
          <cell r="B137" t="str">
            <v>1062902703</v>
          </cell>
          <cell r="C137" t="str">
            <v>السيد</v>
          </cell>
          <cell r="D137" t="str">
            <v>Abdulmajeed Mohammed Abduallah Alsulami</v>
          </cell>
          <cell r="E137" t="str">
            <v>عبدالمجيد محمد عبدالله السلمي</v>
          </cell>
          <cell r="F137" t="str">
            <v>Male</v>
          </cell>
          <cell r="G137" t="str">
            <v>متزوج</v>
          </cell>
          <cell r="H137">
            <v>32780</v>
          </cell>
          <cell r="I137">
            <v>37</v>
          </cell>
          <cell r="J137">
            <v>13410</v>
          </cell>
          <cell r="K137" t="str">
            <v>Abdulmajeed.Alsulami@agriserv.sa</v>
          </cell>
          <cell r="L137" t="str">
            <v>0503118847</v>
          </cell>
          <cell r="M137" t="str">
            <v/>
          </cell>
          <cell r="N137" t="str">
            <v>المملكة العربية السعودية</v>
          </cell>
          <cell r="O137" t="str">
            <v>50000306</v>
          </cell>
          <cell r="P137" t="str">
            <v>أخصائي أول , المحتوى المرئي والتصوير الفوتوغرافي</v>
          </cell>
          <cell r="Q137" t="str">
            <v>الدرجة ٥</v>
          </cell>
          <cell r="R137" t="str">
            <v>Class VIP</v>
          </cell>
          <cell r="S137" t="str">
            <v/>
          </cell>
          <cell r="T137" t="str">
            <v>إدارة العلامة التجارية والفعاليات</v>
          </cell>
          <cell r="U137" t="str">
            <v>التواصل المؤسسي</v>
          </cell>
          <cell r="V137" t="str">
            <v>الخدمات المشتركة</v>
          </cell>
          <cell r="W137" t="str">
            <v>Al Riyadh</v>
          </cell>
          <cell r="X137" t="str">
            <v xml:space="preserve">المقر الرئيسي </v>
          </cell>
          <cell r="Y137">
            <v>45680</v>
          </cell>
          <cell r="Z137">
            <v>1.4</v>
          </cell>
          <cell r="AA137">
            <v>510</v>
          </cell>
          <cell r="AB137" t="str">
            <v>نشط</v>
          </cell>
          <cell r="AC137" t="str">
            <v>100024</v>
          </cell>
          <cell r="AD137" t="str">
            <v>Maha AlShreif</v>
          </cell>
          <cell r="AE137" t="str">
            <v>موظف</v>
          </cell>
          <cell r="AF137" t="str">
            <v/>
          </cell>
          <cell r="AG137">
            <v>46044</v>
          </cell>
          <cell r="AH137" t="str">
            <v>أصول الدين</v>
          </cell>
          <cell r="AI137" t="str">
            <v>بكالوريوس</v>
          </cell>
          <cell r="AJ137">
            <v>1</v>
          </cell>
          <cell r="AK137">
            <v>0</v>
          </cell>
          <cell r="AL137">
            <v>1</v>
          </cell>
          <cell r="AM137">
            <v>0</v>
          </cell>
          <cell r="AN137" t="str">
            <v/>
          </cell>
          <cell r="AO137" t="str">
            <v>التواصل المؤسسي</v>
          </cell>
          <cell r="AP137" t="str">
            <v>Inma Bank</v>
          </cell>
          <cell r="AQ137" t="str">
            <v>SA6505000068200368293000</v>
          </cell>
          <cell r="AR137">
            <v>14005.972599999999</v>
          </cell>
          <cell r="AS137">
            <v>14005.973</v>
          </cell>
          <cell r="AT137">
            <v>1400.597</v>
          </cell>
          <cell r="AU137">
            <v>3501.4929999999999</v>
          </cell>
          <cell r="AV137">
            <v>300</v>
          </cell>
        </row>
        <row r="138">
          <cell r="A138">
            <v>100152</v>
          </cell>
          <cell r="B138" t="str">
            <v>1104099252</v>
          </cell>
          <cell r="C138" t="str">
            <v>السيد</v>
          </cell>
          <cell r="D138" t="str">
            <v>Abdulrahman Abdulaziz Saleh Alomair</v>
          </cell>
          <cell r="E138" t="str">
            <v>عبدالرحمن عبدالعزيز صالح العمير</v>
          </cell>
          <cell r="F138" t="str">
            <v>Male</v>
          </cell>
          <cell r="G138" t="str">
            <v>أعزب</v>
          </cell>
          <cell r="H138">
            <v>36074</v>
          </cell>
          <cell r="I138">
            <v>28</v>
          </cell>
          <cell r="J138">
            <v>10116</v>
          </cell>
          <cell r="K138" t="str">
            <v>Abdulrahman.Alomair@agriserv.sa</v>
          </cell>
          <cell r="L138" t="str">
            <v>0554422417</v>
          </cell>
          <cell r="M138" t="str">
            <v>6212</v>
          </cell>
          <cell r="N138" t="str">
            <v>المملكة العربية السعودية</v>
          </cell>
          <cell r="O138" t="str">
            <v>50001341</v>
          </cell>
          <cell r="P138" t="str">
            <v>أخصائي ، التدقيق المالي والتحصيل</v>
          </cell>
          <cell r="Q138" t="str">
            <v>الدرجة 4</v>
          </cell>
          <cell r="R138" t="str">
            <v>Class A</v>
          </cell>
          <cell r="S138" t="str">
            <v/>
          </cell>
          <cell r="T138" t="str">
            <v>الحسابات</v>
          </cell>
          <cell r="U138" t="str">
            <v>الحسابات</v>
          </cell>
          <cell r="V138" t="str">
            <v>المالية</v>
          </cell>
          <cell r="W138" t="str">
            <v>Al Riyadh</v>
          </cell>
          <cell r="X138" t="str">
            <v xml:space="preserve">المقر الرئيسي </v>
          </cell>
          <cell r="Y138">
            <v>45697</v>
          </cell>
          <cell r="Z138">
            <v>1.35</v>
          </cell>
          <cell r="AA138">
            <v>493</v>
          </cell>
          <cell r="AB138" t="str">
            <v>غير نشط</v>
          </cell>
          <cell r="AC138" t="str">
            <v>100124</v>
          </cell>
          <cell r="AD138" t="str">
            <v>Salman Althaqab</v>
          </cell>
          <cell r="AE138" t="str">
            <v>موظف</v>
          </cell>
          <cell r="AF138">
            <v>46061</v>
          </cell>
          <cell r="AG138">
            <v>46061</v>
          </cell>
          <cell r="AH138" t="str">
            <v>المحاسبة</v>
          </cell>
          <cell r="AI138" t="str">
            <v>بكالوريوس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 t="str">
            <v/>
          </cell>
          <cell r="AO138" t="str">
            <v>Finance and Accounting</v>
          </cell>
          <cell r="AP138" t="str">
            <v>Al Rajhi Bank</v>
          </cell>
          <cell r="AQ138" t="str">
            <v>SA3980000296608016106125</v>
          </cell>
          <cell r="AR138">
            <v>8490</v>
          </cell>
          <cell r="AS138">
            <v>8490</v>
          </cell>
          <cell r="AT138">
            <v>849</v>
          </cell>
          <cell r="AU138">
            <v>2122.5</v>
          </cell>
          <cell r="AV138">
            <v>300</v>
          </cell>
        </row>
        <row r="139">
          <cell r="A139">
            <v>100153</v>
          </cell>
          <cell r="B139" t="str">
            <v>2254698778</v>
          </cell>
          <cell r="C139" t="str">
            <v>السيد</v>
          </cell>
          <cell r="D139" t="str">
            <v>Ashok Kumar null Verma</v>
          </cell>
          <cell r="E139" t="str">
            <v>اشوك  كومار فيرما</v>
          </cell>
          <cell r="F139" t="str">
            <v>Male</v>
          </cell>
          <cell r="G139" t="str">
            <v>متزوج</v>
          </cell>
          <cell r="H139">
            <v>30869</v>
          </cell>
          <cell r="I139">
            <v>42</v>
          </cell>
          <cell r="J139">
            <v>15321</v>
          </cell>
          <cell r="K139" t="str">
            <v>ashok.verma@agriserv.sa</v>
          </cell>
          <cell r="L139" t="str">
            <v>0507396362</v>
          </cell>
          <cell r="M139" t="str">
            <v/>
          </cell>
          <cell r="N139" t="str">
            <v>الهند</v>
          </cell>
          <cell r="O139" t="str">
            <v>50000407</v>
          </cell>
          <cell r="P139" t="str">
            <v>سائس خيول</v>
          </cell>
          <cell r="Q139" t="str">
            <v>1A الدرجة</v>
          </cell>
          <cell r="R139" t="str">
            <v>Class A</v>
          </cell>
          <cell r="S139" t="str">
            <v>محجر الخيل</v>
          </cell>
          <cell r="T139" t="str">
            <v>خدمات المحجر</v>
          </cell>
          <cell r="U139" t="str">
            <v>الاذونات وخدمات المحاجر</v>
          </cell>
          <cell r="V139" t="str">
            <v>العمليات</v>
          </cell>
          <cell r="W139" t="str">
            <v>Al Riyadh</v>
          </cell>
          <cell r="X139" t="str">
            <v xml:space="preserve">الفرع </v>
          </cell>
          <cell r="Y139">
            <v>45699</v>
          </cell>
          <cell r="Z139">
            <v>1.34</v>
          </cell>
          <cell r="AA139">
            <v>491</v>
          </cell>
          <cell r="AB139" t="str">
            <v>نشط</v>
          </cell>
          <cell r="AC139" t="str">
            <v>100051</v>
          </cell>
          <cell r="AD139" t="str">
            <v>Mohammed Alrajban</v>
          </cell>
          <cell r="AE139" t="str">
            <v>موظف</v>
          </cell>
          <cell r="AF139" t="str">
            <v/>
          </cell>
          <cell r="AG139">
            <v>46063</v>
          </cell>
          <cell r="AH139" t="str">
            <v/>
          </cell>
          <cell r="AI139" t="str">
            <v/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 t="str">
            <v/>
          </cell>
          <cell r="AO139" t="str">
            <v>الاذونات وخدمات المحاجر</v>
          </cell>
          <cell r="AP139" t="str">
            <v>Al Rajhi Bank</v>
          </cell>
          <cell r="AQ139" t="str">
            <v>SA5580000216608010360162</v>
          </cell>
          <cell r="AR139">
            <v>1253.0958900000001</v>
          </cell>
          <cell r="AS139">
            <v>1253.096</v>
          </cell>
          <cell r="AT139">
            <v>125.31</v>
          </cell>
          <cell r="AU139">
            <v>313.274</v>
          </cell>
          <cell r="AV139" t="str">
            <v/>
          </cell>
        </row>
        <row r="140">
          <cell r="A140">
            <v>100154</v>
          </cell>
          <cell r="B140" t="str">
            <v>1012649040</v>
          </cell>
          <cell r="C140" t="str">
            <v>السيد</v>
          </cell>
          <cell r="D140" t="str">
            <v>Turki Khaled Abdalaziz Alkhalaif</v>
          </cell>
          <cell r="E140" t="str">
            <v>تركي خالد عبدالعزيز الخليف</v>
          </cell>
          <cell r="F140" t="str">
            <v>Male</v>
          </cell>
          <cell r="G140" t="str">
            <v>متزوج</v>
          </cell>
          <cell r="H140">
            <v>29169</v>
          </cell>
          <cell r="I140">
            <v>47</v>
          </cell>
          <cell r="J140">
            <v>17021</v>
          </cell>
          <cell r="K140" t="str">
            <v>Turki.Alkhalaif@agriserv.sa</v>
          </cell>
          <cell r="L140" t="str">
            <v>0505130493</v>
          </cell>
          <cell r="M140" t="str">
            <v>6000</v>
          </cell>
          <cell r="N140" t="str">
            <v>المملكة العربية السعودية</v>
          </cell>
          <cell r="O140" t="str">
            <v>50001342</v>
          </cell>
          <cell r="P140" t="str">
            <v>الخدمات التجارية، نائب الرئيس</v>
          </cell>
          <cell r="Q140" t="str">
            <v>الدرجة 10</v>
          </cell>
          <cell r="R140" t="str">
            <v>Class VVIP</v>
          </cell>
          <cell r="S140" t="str">
            <v/>
          </cell>
          <cell r="T140" t="str">
            <v/>
          </cell>
          <cell r="U140" t="str">
            <v/>
          </cell>
          <cell r="V140" t="str">
            <v>الخدمات التجارية</v>
          </cell>
          <cell r="W140" t="str">
            <v>Al Riyadh</v>
          </cell>
          <cell r="X140" t="str">
            <v xml:space="preserve">المقر الرئيسي </v>
          </cell>
          <cell r="Y140">
            <v>45713</v>
          </cell>
          <cell r="Z140">
            <v>1.31</v>
          </cell>
          <cell r="AA140">
            <v>477</v>
          </cell>
          <cell r="AB140" t="str">
            <v>نشط</v>
          </cell>
          <cell r="AC140" t="str">
            <v>100191</v>
          </cell>
          <cell r="AD140" t="str">
            <v>Nemer Alshebel</v>
          </cell>
          <cell r="AE140" t="str">
            <v>موظف</v>
          </cell>
          <cell r="AF140" t="str">
            <v/>
          </cell>
          <cell r="AG140">
            <v>46077</v>
          </cell>
          <cell r="AH140" t="str">
            <v>علوم تحليل الاستثمار</v>
          </cell>
          <cell r="AI140" t="str">
            <v>ماجستير</v>
          </cell>
          <cell r="AJ140">
            <v>6</v>
          </cell>
          <cell r="AK140">
            <v>3</v>
          </cell>
          <cell r="AL140">
            <v>1</v>
          </cell>
          <cell r="AM140">
            <v>2</v>
          </cell>
          <cell r="AN140">
            <v>2</v>
          </cell>
          <cell r="AO140" t="str">
            <v>عام</v>
          </cell>
          <cell r="AP140" t="str">
            <v>Arab National Bank</v>
          </cell>
          <cell r="AQ140" t="str">
            <v>SA8630400108059830240019</v>
          </cell>
          <cell r="AR140">
            <v>112000</v>
          </cell>
          <cell r="AS140">
            <v>112000</v>
          </cell>
          <cell r="AT140">
            <v>3500</v>
          </cell>
          <cell r="AU140">
            <v>28000</v>
          </cell>
          <cell r="AV140">
            <v>800</v>
          </cell>
        </row>
        <row r="141">
          <cell r="A141">
            <v>100155</v>
          </cell>
          <cell r="B141" t="str">
            <v>1023356304</v>
          </cell>
          <cell r="C141" t="str">
            <v>السيد</v>
          </cell>
          <cell r="D141" t="str">
            <v>Ibrahim Hamad Saleh Alshamekh</v>
          </cell>
          <cell r="E141" t="str">
            <v>ابراهيم حمد صالح الشامخ</v>
          </cell>
          <cell r="F141" t="str">
            <v>Male</v>
          </cell>
          <cell r="G141" t="str">
            <v>متزوج</v>
          </cell>
          <cell r="H141">
            <v>24395</v>
          </cell>
          <cell r="I141">
            <v>60</v>
          </cell>
          <cell r="J141">
            <v>21795</v>
          </cell>
          <cell r="K141" t="str">
            <v>Ibrahim.Alshamkh@agriserv.sa</v>
          </cell>
          <cell r="L141" t="str">
            <v>0553421824</v>
          </cell>
          <cell r="M141" t="str">
            <v/>
          </cell>
          <cell r="N141" t="str">
            <v>المملكة العربية السعودية</v>
          </cell>
          <cell r="O141" t="str">
            <v>50001304</v>
          </cell>
          <cell r="P141" t="str">
            <v>مدير، اذونات استيراد وتصدير</v>
          </cell>
          <cell r="Q141" t="str">
            <v>الدرجة 6</v>
          </cell>
          <cell r="R141" t="str">
            <v>Class VIP</v>
          </cell>
          <cell r="S141" t="str">
            <v/>
          </cell>
          <cell r="T141" t="str">
            <v>الاذونات</v>
          </cell>
          <cell r="U141" t="str">
            <v>الاذونات وخدمات المحاجر</v>
          </cell>
          <cell r="V141" t="str">
            <v>العمليات</v>
          </cell>
          <cell r="W141" t="str">
            <v>Al Riyadh</v>
          </cell>
          <cell r="X141" t="str">
            <v xml:space="preserve">المقر الرئيسي </v>
          </cell>
          <cell r="Y141">
            <v>45718</v>
          </cell>
          <cell r="Z141">
            <v>1.29</v>
          </cell>
          <cell r="AA141">
            <v>472</v>
          </cell>
          <cell r="AB141" t="str">
            <v>نشط</v>
          </cell>
          <cell r="AC141" t="str">
            <v>100137</v>
          </cell>
          <cell r="AD141" t="str">
            <v>IBRAHIM ALNOWAISER</v>
          </cell>
          <cell r="AE141" t="str">
            <v>موظف</v>
          </cell>
          <cell r="AF141" t="str">
            <v/>
          </cell>
          <cell r="AG141">
            <v>46082</v>
          </cell>
          <cell r="AH141" t="str">
            <v>طب بيطري</v>
          </cell>
          <cell r="AI141" t="str">
            <v>ماجستير</v>
          </cell>
          <cell r="AJ141">
            <v>3</v>
          </cell>
          <cell r="AK141">
            <v>2</v>
          </cell>
          <cell r="AL141">
            <v>1</v>
          </cell>
          <cell r="AM141">
            <v>0</v>
          </cell>
          <cell r="AN141" t="str">
            <v/>
          </cell>
          <cell r="AO141" t="str">
            <v>الاذونات وخدمات المحاجر</v>
          </cell>
          <cell r="AP141" t="str">
            <v>Al Rajhi Bank</v>
          </cell>
          <cell r="AQ141" t="str">
            <v>SA7380000151608010038526</v>
          </cell>
          <cell r="AR141">
            <v>19483.947950000002</v>
          </cell>
          <cell r="AS141">
            <v>19483.948</v>
          </cell>
          <cell r="AT141">
            <v>1948.395</v>
          </cell>
          <cell r="AU141">
            <v>4870.9870000000001</v>
          </cell>
          <cell r="AV141">
            <v>500</v>
          </cell>
        </row>
        <row r="142">
          <cell r="A142">
            <v>100156</v>
          </cell>
          <cell r="B142" t="str">
            <v>1097296824</v>
          </cell>
          <cell r="C142" t="str">
            <v>الآنسة</v>
          </cell>
          <cell r="D142" t="str">
            <v>Raghad Khalid Abdalaziz Aljurbua</v>
          </cell>
          <cell r="E142" t="str">
            <v>رغد خالد عبدالعزيز الجربوع</v>
          </cell>
          <cell r="F142" t="str">
            <v>Female</v>
          </cell>
          <cell r="G142" t="str">
            <v>أعزب</v>
          </cell>
          <cell r="H142">
            <v>35493</v>
          </cell>
          <cell r="I142">
            <v>29</v>
          </cell>
          <cell r="J142">
            <v>10697</v>
          </cell>
          <cell r="K142" t="str">
            <v>Raghad.Aljurbua@agriserv.sa</v>
          </cell>
          <cell r="L142" t="str">
            <v>0564096270</v>
          </cell>
          <cell r="M142" t="str">
            <v>2306</v>
          </cell>
          <cell r="N142" t="str">
            <v>المملكة العربية السعودية</v>
          </cell>
          <cell r="O142" t="str">
            <v>50000310</v>
          </cell>
          <cell r="P142" t="str">
            <v>أخصائي أول، مصمم وسائط متعددة</v>
          </cell>
          <cell r="Q142" t="str">
            <v>الدرجة ٥</v>
          </cell>
          <cell r="R142" t="str">
            <v>Class VIP</v>
          </cell>
          <cell r="S142" t="str">
            <v>العلامة التجارية</v>
          </cell>
          <cell r="T142" t="str">
            <v>إدارة العلامة التجارية والفعاليات</v>
          </cell>
          <cell r="U142" t="str">
            <v>التواصل المؤسسي</v>
          </cell>
          <cell r="V142" t="str">
            <v>الخدمات المشتركة</v>
          </cell>
          <cell r="W142" t="str">
            <v>Al Riyadh</v>
          </cell>
          <cell r="X142" t="str">
            <v xml:space="preserve">المقر الرئيسي </v>
          </cell>
          <cell r="Y142">
            <v>45725</v>
          </cell>
          <cell r="Z142">
            <v>1.27</v>
          </cell>
          <cell r="AA142">
            <v>465</v>
          </cell>
          <cell r="AB142" t="str">
            <v>نشط</v>
          </cell>
          <cell r="AC142" t="str">
            <v>100024</v>
          </cell>
          <cell r="AD142" t="str">
            <v>Maha AlShreif</v>
          </cell>
          <cell r="AE142" t="str">
            <v>موظف</v>
          </cell>
          <cell r="AF142" t="str">
            <v/>
          </cell>
          <cell r="AG142">
            <v>46089</v>
          </cell>
          <cell r="AH142" t="str">
            <v>تصميم</v>
          </cell>
          <cell r="AI142" t="str">
            <v>بكالوريوس</v>
          </cell>
          <cell r="AJ142">
            <v>2</v>
          </cell>
          <cell r="AK142">
            <v>0</v>
          </cell>
          <cell r="AL142">
            <v>0</v>
          </cell>
          <cell r="AM142">
            <v>2</v>
          </cell>
          <cell r="AN142" t="str">
            <v/>
          </cell>
          <cell r="AO142" t="str">
            <v>التواصل المؤسسي</v>
          </cell>
          <cell r="AP142" t="str">
            <v>Al Rajhi Bank</v>
          </cell>
          <cell r="AQ142" t="str">
            <v>SA9480000501608016003802</v>
          </cell>
          <cell r="AR142">
            <v>12677.39651</v>
          </cell>
          <cell r="AS142">
            <v>12677.397000000001</v>
          </cell>
          <cell r="AT142">
            <v>1267.74</v>
          </cell>
          <cell r="AU142">
            <v>3169.3490000000002</v>
          </cell>
          <cell r="AV142">
            <v>300</v>
          </cell>
        </row>
        <row r="143">
          <cell r="A143">
            <v>100157</v>
          </cell>
          <cell r="B143" t="str">
            <v>1086407671</v>
          </cell>
          <cell r="C143" t="str">
            <v>السيد</v>
          </cell>
          <cell r="D143" t="str">
            <v>Rakan Khalid Mansour Alzughaibi</v>
          </cell>
          <cell r="E143" t="str">
            <v>راكان خالد منصور الزغيبي</v>
          </cell>
          <cell r="F143" t="str">
            <v>Male</v>
          </cell>
          <cell r="G143" t="str">
            <v>أعزب</v>
          </cell>
          <cell r="H143">
            <v>34395</v>
          </cell>
          <cell r="I143">
            <v>32</v>
          </cell>
          <cell r="J143">
            <v>11795</v>
          </cell>
          <cell r="K143" t="str">
            <v>Rakan.Alzughaibi@agriserv.sa</v>
          </cell>
          <cell r="L143" t="str">
            <v>0541143322</v>
          </cell>
          <cell r="M143" t="str">
            <v>6213</v>
          </cell>
          <cell r="N143" t="str">
            <v>المملكة العربية السعودية</v>
          </cell>
          <cell r="O143" t="str">
            <v>50001344</v>
          </cell>
          <cell r="P143" t="str">
            <v>مدير ، الدراسات والتخطيط</v>
          </cell>
          <cell r="Q143" t="str">
            <v>الدرجة 6</v>
          </cell>
          <cell r="R143" t="str">
            <v>Class VIP</v>
          </cell>
          <cell r="S143" t="str">
            <v/>
          </cell>
          <cell r="T143" t="str">
            <v>تنمية الأعمال</v>
          </cell>
          <cell r="U143" t="str">
            <v>إدارة الأصول والاستثمار</v>
          </cell>
          <cell r="V143" t="str">
            <v>إدارة الأصول والاستثمار</v>
          </cell>
          <cell r="W143" t="str">
            <v>Al Riyadh</v>
          </cell>
          <cell r="X143" t="str">
            <v xml:space="preserve">المقر الرئيسي </v>
          </cell>
          <cell r="Y143">
            <v>45732</v>
          </cell>
          <cell r="Z143">
            <v>1.25</v>
          </cell>
          <cell r="AA143">
            <v>458</v>
          </cell>
          <cell r="AB143" t="str">
            <v>نشط</v>
          </cell>
          <cell r="AC143" t="str">
            <v>100186</v>
          </cell>
          <cell r="AD143" t="str">
            <v>Mahmoud EL Khoja</v>
          </cell>
          <cell r="AE143" t="str">
            <v>موظف</v>
          </cell>
          <cell r="AF143" t="str">
            <v/>
          </cell>
          <cell r="AG143">
            <v>46096</v>
          </cell>
          <cell r="AH143" t="str">
            <v>هندسة معمارية</v>
          </cell>
          <cell r="AI143" t="str">
            <v>بكالوريوس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 t="str">
            <v/>
          </cell>
          <cell r="AO143" t="str">
            <v>الأصول والاستثمار</v>
          </cell>
          <cell r="AP143" t="str">
            <v>Al Rajhi Bank</v>
          </cell>
          <cell r="AQ143" t="str">
            <v>SA5680000349608018886002</v>
          </cell>
          <cell r="AR143">
            <v>22959.12329</v>
          </cell>
          <cell r="AS143">
            <v>22959.123</v>
          </cell>
          <cell r="AT143">
            <v>2295.9119999999998</v>
          </cell>
          <cell r="AU143">
            <v>5739.7809999999999</v>
          </cell>
          <cell r="AV143">
            <v>500</v>
          </cell>
        </row>
        <row r="144">
          <cell r="A144">
            <v>100158</v>
          </cell>
          <cell r="B144" t="str">
            <v>1112639479</v>
          </cell>
          <cell r="C144" t="str">
            <v>السيد</v>
          </cell>
          <cell r="D144" t="str">
            <v>Abdulaziz Ahmed Abdulrahman Aldawood</v>
          </cell>
          <cell r="E144" t="str">
            <v>عبدالعزيز احمد عبدالرحمن الداود</v>
          </cell>
          <cell r="F144" t="str">
            <v>Male</v>
          </cell>
          <cell r="G144" t="str">
            <v>أعزب</v>
          </cell>
          <cell r="H144">
            <v>36764</v>
          </cell>
          <cell r="I144">
            <v>26</v>
          </cell>
          <cell r="J144">
            <v>9426</v>
          </cell>
          <cell r="K144" t="str">
            <v>Abdulaziz.Aldawood@agriserv.sa</v>
          </cell>
          <cell r="L144" t="str">
            <v>0500013321</v>
          </cell>
          <cell r="M144" t="str">
            <v>7107</v>
          </cell>
          <cell r="N144" t="str">
            <v>المملكة العربية السعودية</v>
          </cell>
          <cell r="O144" t="str">
            <v>50000681</v>
          </cell>
          <cell r="P144" t="str">
            <v>أخصائي أول، إدارة المشاريع</v>
          </cell>
          <cell r="Q144" t="str">
            <v>الدرجة ٥</v>
          </cell>
          <cell r="R144" t="str">
            <v>Class VIP</v>
          </cell>
          <cell r="S144" t="str">
            <v/>
          </cell>
          <cell r="T144" t="str">
            <v/>
          </cell>
          <cell r="U144" t="str">
            <v>مراقبة الأداء</v>
          </cell>
          <cell r="V144" t="str">
            <v>إدارة المشاريع</v>
          </cell>
          <cell r="W144" t="str">
            <v>Al Riyadh</v>
          </cell>
          <cell r="X144" t="str">
            <v xml:space="preserve">المقر الرئيسي </v>
          </cell>
          <cell r="Y144">
            <v>45732</v>
          </cell>
          <cell r="Z144">
            <v>1.25</v>
          </cell>
          <cell r="AA144">
            <v>458</v>
          </cell>
          <cell r="AB144" t="str">
            <v>غير نشط</v>
          </cell>
          <cell r="AC144" t="str">
            <v>100116</v>
          </cell>
          <cell r="AD144" t="str">
            <v>Abdullah Alshayea</v>
          </cell>
          <cell r="AE144" t="str">
            <v>موظف</v>
          </cell>
          <cell r="AF144">
            <v>46167</v>
          </cell>
          <cell r="AG144">
            <v>46096</v>
          </cell>
          <cell r="AH144" t="str">
            <v>نظم المعلومات الإدارية</v>
          </cell>
          <cell r="AI144" t="str">
            <v>بكالوريوس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 t="str">
            <v/>
          </cell>
          <cell r="AO144" t="str">
            <v>مكتب إدارة المشاريع</v>
          </cell>
          <cell r="AP144" t="str">
            <v>Inma Bank</v>
          </cell>
          <cell r="AQ144" t="str">
            <v>SA0805000068202691170001</v>
          </cell>
          <cell r="AR144">
            <v>11130</v>
          </cell>
          <cell r="AS144">
            <v>11130</v>
          </cell>
          <cell r="AT144">
            <v>1113</v>
          </cell>
          <cell r="AU144">
            <v>2782.5</v>
          </cell>
          <cell r="AV144">
            <v>300</v>
          </cell>
        </row>
        <row r="145">
          <cell r="A145">
            <v>100159</v>
          </cell>
          <cell r="B145" t="str">
            <v>1011804554</v>
          </cell>
          <cell r="C145" t="str">
            <v>السيد</v>
          </cell>
          <cell r="D145" t="str">
            <v>Amer Lail Salman Alkhaldi</v>
          </cell>
          <cell r="E145" t="str">
            <v>عامر ليل سلمان الخالدي</v>
          </cell>
          <cell r="F145" t="str">
            <v>Male</v>
          </cell>
          <cell r="G145" t="str">
            <v>متزوج</v>
          </cell>
          <cell r="H145">
            <v>29899</v>
          </cell>
          <cell r="I145">
            <v>45</v>
          </cell>
          <cell r="J145">
            <v>16291</v>
          </cell>
          <cell r="K145" t="str">
            <v>Amer.Alshaheen@agriserv.sa</v>
          </cell>
          <cell r="L145" t="str">
            <v>0509079227</v>
          </cell>
          <cell r="M145" t="str">
            <v>2509</v>
          </cell>
          <cell r="N145" t="str">
            <v>المملكة العربية السعودية</v>
          </cell>
          <cell r="O145" t="str">
            <v>50000358</v>
          </cell>
          <cell r="P145" t="str">
            <v>مدير إدارة التوظيف</v>
          </cell>
          <cell r="Q145" t="str">
            <v>8 الدرجة</v>
          </cell>
          <cell r="R145" t="str">
            <v>Class VIP</v>
          </cell>
          <cell r="S145" t="str">
            <v/>
          </cell>
          <cell r="T145" t="str">
            <v>التوظيف</v>
          </cell>
          <cell r="U145" t="str">
            <v>الموارد البشرية</v>
          </cell>
          <cell r="V145" t="str">
            <v>الخدمات المشتركة</v>
          </cell>
          <cell r="W145" t="str">
            <v>Al Riyadh</v>
          </cell>
          <cell r="X145" t="str">
            <v xml:space="preserve">المقر الرئيسي </v>
          </cell>
          <cell r="Y145">
            <v>45735</v>
          </cell>
          <cell r="Z145">
            <v>1.25</v>
          </cell>
          <cell r="AA145">
            <v>455</v>
          </cell>
          <cell r="AB145" t="str">
            <v>نشط</v>
          </cell>
          <cell r="AC145" t="str">
            <v>100004</v>
          </cell>
          <cell r="AD145" t="str">
            <v>Abdulmajeed Alzannan</v>
          </cell>
          <cell r="AE145" t="str">
            <v>موظف</v>
          </cell>
          <cell r="AF145" t="str">
            <v/>
          </cell>
          <cell r="AG145">
            <v>46099</v>
          </cell>
          <cell r="AH145" t="str">
            <v>إدارة الأعمال</v>
          </cell>
          <cell r="AI145" t="str">
            <v>ماجستير</v>
          </cell>
          <cell r="AJ145">
            <v>5</v>
          </cell>
          <cell r="AK145">
            <v>3</v>
          </cell>
          <cell r="AL145">
            <v>1</v>
          </cell>
          <cell r="AM145">
            <v>1</v>
          </cell>
          <cell r="AN145">
            <v>3</v>
          </cell>
          <cell r="AO145" t="str">
            <v>الموارد البشرية</v>
          </cell>
          <cell r="AP145" t="str">
            <v>Arab National Bank</v>
          </cell>
          <cell r="AQ145" t="str">
            <v>SA8630400108064877570029</v>
          </cell>
          <cell r="AR145">
            <v>46980</v>
          </cell>
          <cell r="AS145">
            <v>46980</v>
          </cell>
          <cell r="AT145">
            <v>3000</v>
          </cell>
          <cell r="AU145">
            <v>11745</v>
          </cell>
          <cell r="AV145">
            <v>500</v>
          </cell>
        </row>
        <row r="146">
          <cell r="A146">
            <v>100160</v>
          </cell>
          <cell r="B146" t="str">
            <v>1100952454</v>
          </cell>
          <cell r="C146" t="str">
            <v>الآنسة</v>
          </cell>
          <cell r="D146" t="str">
            <v>Shahad Ibrahim Abdulrahman Alrumaih</v>
          </cell>
          <cell r="E146" t="str">
            <v>شهد ابراهيم عبدالرحمن الرميح</v>
          </cell>
          <cell r="F146" t="str">
            <v>Female</v>
          </cell>
          <cell r="G146" t="str">
            <v>أعزب</v>
          </cell>
          <cell r="H146">
            <v>35740</v>
          </cell>
          <cell r="I146">
            <v>29</v>
          </cell>
          <cell r="J146">
            <v>10450</v>
          </cell>
          <cell r="K146" t="str">
            <v>Shahad.Alrumaih@agriserv.sa</v>
          </cell>
          <cell r="L146" t="str">
            <v>0580563174</v>
          </cell>
          <cell r="M146" t="str">
            <v>6301</v>
          </cell>
          <cell r="N146" t="str">
            <v>المملكة العربية السعودية</v>
          </cell>
          <cell r="O146" t="str">
            <v>50001345</v>
          </cell>
          <cell r="P146" t="str">
            <v>مدير، التسويق الرقمي</v>
          </cell>
          <cell r="Q146" t="str">
            <v>الدرجة 6</v>
          </cell>
          <cell r="R146" t="str">
            <v>Class VIP</v>
          </cell>
          <cell r="S146" t="str">
            <v/>
          </cell>
          <cell r="T146" t="str">
            <v/>
          </cell>
          <cell r="U146" t="str">
            <v>تسويق</v>
          </cell>
          <cell r="V146" t="str">
            <v>الخدمات التجارية</v>
          </cell>
          <cell r="W146" t="str">
            <v>Al Riyadh</v>
          </cell>
          <cell r="X146" t="str">
            <v xml:space="preserve">المقر الرئيسي </v>
          </cell>
          <cell r="Y146">
            <v>45753</v>
          </cell>
          <cell r="Z146">
            <v>1.2</v>
          </cell>
          <cell r="AA146">
            <v>437</v>
          </cell>
          <cell r="AB146" t="str">
            <v>نشط</v>
          </cell>
          <cell r="AC146" t="str">
            <v>100148</v>
          </cell>
          <cell r="AD146" t="str">
            <v>Abdulrahman Alswilim</v>
          </cell>
          <cell r="AE146" t="str">
            <v>موظف</v>
          </cell>
          <cell r="AF146" t="str">
            <v/>
          </cell>
          <cell r="AG146">
            <v>46116</v>
          </cell>
          <cell r="AH146" t="str">
            <v>التسويق</v>
          </cell>
          <cell r="AI146" t="str">
            <v>بكالوريوس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 t="str">
            <v/>
          </cell>
          <cell r="AO146" t="str">
            <v>تسويق</v>
          </cell>
          <cell r="AP146" t="str">
            <v>Inma Bank</v>
          </cell>
          <cell r="AQ146" t="str">
            <v>SA6905000068202314130000</v>
          </cell>
          <cell r="AR146">
            <v>15034.315070000001</v>
          </cell>
          <cell r="AS146">
            <v>15034.315000000001</v>
          </cell>
          <cell r="AT146">
            <v>1503.432</v>
          </cell>
          <cell r="AU146">
            <v>3758.5790000000002</v>
          </cell>
          <cell r="AV146">
            <v>500</v>
          </cell>
        </row>
        <row r="147">
          <cell r="A147">
            <v>100161</v>
          </cell>
          <cell r="B147" t="str">
            <v>1050006087</v>
          </cell>
          <cell r="C147" t="str">
            <v>الآنسة</v>
          </cell>
          <cell r="D147" t="str">
            <v>Jawaher Abdullah Hamad Alhumaizi</v>
          </cell>
          <cell r="E147" t="str">
            <v>جواهر عبدالله حمد الحميزي</v>
          </cell>
          <cell r="F147" t="str">
            <v>Female</v>
          </cell>
          <cell r="G147" t="str">
            <v>أعزب</v>
          </cell>
          <cell r="H147">
            <v>31965</v>
          </cell>
          <cell r="I147">
            <v>39</v>
          </cell>
          <cell r="J147">
            <v>14225</v>
          </cell>
          <cell r="K147" t="str">
            <v>Jawaher.Alhumaizi@agriserv.sa</v>
          </cell>
          <cell r="L147" t="str">
            <v>0555700779</v>
          </cell>
          <cell r="M147" t="str">
            <v>6302</v>
          </cell>
          <cell r="N147" t="str">
            <v>المملكة العربية السعودية</v>
          </cell>
          <cell r="O147" t="str">
            <v>50001346</v>
          </cell>
          <cell r="P147" t="str">
            <v>مدير إدارة،التسويق</v>
          </cell>
          <cell r="Q147" t="str">
            <v>8 الدرجة</v>
          </cell>
          <cell r="R147" t="str">
            <v>Class VIP</v>
          </cell>
          <cell r="S147" t="str">
            <v/>
          </cell>
          <cell r="T147" t="str">
            <v/>
          </cell>
          <cell r="U147" t="str">
            <v>تسويق</v>
          </cell>
          <cell r="V147" t="str">
            <v>الخدمات التجارية</v>
          </cell>
          <cell r="W147" t="str">
            <v>Al Riyadh</v>
          </cell>
          <cell r="X147" t="str">
            <v xml:space="preserve">المقر الرئيسي </v>
          </cell>
          <cell r="Y147">
            <v>45753</v>
          </cell>
          <cell r="Z147">
            <v>1.2</v>
          </cell>
          <cell r="AA147">
            <v>437</v>
          </cell>
          <cell r="AB147" t="str">
            <v>نشط</v>
          </cell>
          <cell r="AC147" t="str">
            <v>100148</v>
          </cell>
          <cell r="AD147" t="str">
            <v>Abdulrahman Alswilim</v>
          </cell>
          <cell r="AE147" t="str">
            <v>موظف</v>
          </cell>
          <cell r="AF147" t="str">
            <v/>
          </cell>
          <cell r="AG147">
            <v>46116</v>
          </cell>
          <cell r="AH147" t="str">
            <v>علوم</v>
          </cell>
          <cell r="AI147" t="str">
            <v>ماجستير</v>
          </cell>
          <cell r="AJ147">
            <v>2</v>
          </cell>
          <cell r="AK147">
            <v>2</v>
          </cell>
          <cell r="AL147">
            <v>0</v>
          </cell>
          <cell r="AM147">
            <v>0</v>
          </cell>
          <cell r="AN147">
            <v>1</v>
          </cell>
          <cell r="AO147" t="str">
            <v>تسويق</v>
          </cell>
          <cell r="AP147" t="str">
            <v>Riyad Bank</v>
          </cell>
          <cell r="AQ147" t="str">
            <v>SA7120000002481215589940</v>
          </cell>
          <cell r="AR147">
            <v>39433.453150000001</v>
          </cell>
          <cell r="AS147">
            <v>39433.453000000001</v>
          </cell>
          <cell r="AT147">
            <v>3000</v>
          </cell>
          <cell r="AU147">
            <v>9858.3629999999994</v>
          </cell>
          <cell r="AV147">
            <v>500</v>
          </cell>
        </row>
        <row r="148">
          <cell r="A148">
            <v>100162</v>
          </cell>
          <cell r="B148" t="str">
            <v>1031370750</v>
          </cell>
          <cell r="C148" t="str">
            <v>السيد</v>
          </cell>
          <cell r="D148" t="str">
            <v>Abdulelah Saad Saleh Alsaane</v>
          </cell>
          <cell r="E148" t="str">
            <v>عبدالاله سعد صالح الصانع</v>
          </cell>
          <cell r="F148" t="str">
            <v>Male</v>
          </cell>
          <cell r="G148" t="str">
            <v>متزوج</v>
          </cell>
          <cell r="H148">
            <v>31474</v>
          </cell>
          <cell r="I148">
            <v>40</v>
          </cell>
          <cell r="J148">
            <v>14716</v>
          </cell>
          <cell r="K148" t="str">
            <v>Abdulelah.Alsaane@agriserv.sa</v>
          </cell>
          <cell r="L148" t="str">
            <v>0555688873</v>
          </cell>
          <cell r="M148" t="str">
            <v>6109</v>
          </cell>
          <cell r="N148" t="str">
            <v>المملكة العربية السعودية</v>
          </cell>
          <cell r="O148" t="str">
            <v>50001347</v>
          </cell>
          <cell r="P148" t="str">
            <v>مدير تنفيذي , العطاءات والعروض</v>
          </cell>
          <cell r="Q148" t="str">
            <v>الدرجة 7</v>
          </cell>
          <cell r="R148" t="str">
            <v>Class VIP</v>
          </cell>
          <cell r="S148" t="str">
            <v/>
          </cell>
          <cell r="T148" t="str">
            <v/>
          </cell>
          <cell r="U148" t="str">
            <v>تطوير الأعمال</v>
          </cell>
          <cell r="V148" t="str">
            <v>الخدمات التجارية</v>
          </cell>
          <cell r="W148" t="str">
            <v>Al Riyadh</v>
          </cell>
          <cell r="X148" t="str">
            <v xml:space="preserve">المقر الرئيسي </v>
          </cell>
          <cell r="Y148">
            <v>45755</v>
          </cell>
          <cell r="Z148">
            <v>1.19</v>
          </cell>
          <cell r="AA148">
            <v>435</v>
          </cell>
          <cell r="AB148" t="str">
            <v>نشط</v>
          </cell>
          <cell r="AC148" t="str">
            <v>100154</v>
          </cell>
          <cell r="AD148" t="str">
            <v>Turki Alkhalaif</v>
          </cell>
          <cell r="AE148" t="str">
            <v>موظف</v>
          </cell>
          <cell r="AF148" t="str">
            <v/>
          </cell>
          <cell r="AG148">
            <v>46119</v>
          </cell>
          <cell r="AH148" t="str">
            <v>أصول الدين</v>
          </cell>
          <cell r="AI148" t="str">
            <v>بكالوريوس</v>
          </cell>
          <cell r="AJ148">
            <v>4</v>
          </cell>
          <cell r="AK148">
            <v>3</v>
          </cell>
          <cell r="AL148">
            <v>1</v>
          </cell>
          <cell r="AM148">
            <v>0</v>
          </cell>
          <cell r="AN148">
            <v>2</v>
          </cell>
          <cell r="AO148" t="str">
            <v>تطوير الأعمال</v>
          </cell>
          <cell r="AP148" t="str">
            <v>Inma Bank</v>
          </cell>
          <cell r="AQ148" t="str">
            <v>SA5305000068200544394000</v>
          </cell>
          <cell r="AR148">
            <v>21460.076710000001</v>
          </cell>
          <cell r="AS148">
            <v>21460.077000000001</v>
          </cell>
          <cell r="AT148">
            <v>2146.0079999999998</v>
          </cell>
          <cell r="AU148">
            <v>5365.0190000000002</v>
          </cell>
          <cell r="AV148">
            <v>500</v>
          </cell>
        </row>
        <row r="149">
          <cell r="A149">
            <v>100163</v>
          </cell>
          <cell r="B149" t="str">
            <v>1085213211</v>
          </cell>
          <cell r="C149" t="str">
            <v>السيد</v>
          </cell>
          <cell r="D149" t="str">
            <v>Nawaf Hammad Mesfer Alquraini</v>
          </cell>
          <cell r="E149" t="str">
            <v>نواف حماد مسفر القريني</v>
          </cell>
          <cell r="F149" t="str">
            <v>Male</v>
          </cell>
          <cell r="G149" t="str">
            <v>أعزب</v>
          </cell>
          <cell r="H149">
            <v>34713</v>
          </cell>
          <cell r="I149">
            <v>31</v>
          </cell>
          <cell r="J149">
            <v>11477</v>
          </cell>
          <cell r="K149" t="str">
            <v>Nawaf.Alquraini@agriserv.sa</v>
          </cell>
          <cell r="L149" t="str">
            <v>0594407200</v>
          </cell>
          <cell r="M149" t="str">
            <v>8102</v>
          </cell>
          <cell r="N149" t="str">
            <v>المملكة العربية السعودية</v>
          </cell>
          <cell r="O149" t="str">
            <v>50000435</v>
          </cell>
          <cell r="P149" t="str">
            <v>أخصائي أول، العقود</v>
          </cell>
          <cell r="Q149" t="str">
            <v>الدرجة ٥</v>
          </cell>
          <cell r="R149" t="str">
            <v>Class VIP</v>
          </cell>
          <cell r="S149" t="str">
            <v/>
          </cell>
          <cell r="T149" t="str">
            <v/>
          </cell>
          <cell r="U149" t="str">
            <v>العقود والاتفاقيات</v>
          </cell>
          <cell r="V149" t="str">
            <v>الشؤون القانونية</v>
          </cell>
          <cell r="W149" t="str">
            <v>Al Riyadh</v>
          </cell>
          <cell r="X149" t="str">
            <v xml:space="preserve">المقر الرئيسي </v>
          </cell>
          <cell r="Y149">
            <v>45774</v>
          </cell>
          <cell r="Z149">
            <v>1.1399999999999999</v>
          </cell>
          <cell r="AA149">
            <v>416</v>
          </cell>
          <cell r="AB149" t="str">
            <v>نشط</v>
          </cell>
          <cell r="AC149" t="str">
            <v>100058</v>
          </cell>
          <cell r="AD149" t="str">
            <v>Hassan Alzahrani</v>
          </cell>
          <cell r="AE149" t="str">
            <v>موظف</v>
          </cell>
          <cell r="AF149" t="str">
            <v/>
          </cell>
          <cell r="AG149">
            <v>46138</v>
          </cell>
          <cell r="AH149" t="str">
            <v>قانون</v>
          </cell>
          <cell r="AI149" t="str">
            <v>ماجستير</v>
          </cell>
          <cell r="AJ149">
            <v>2</v>
          </cell>
          <cell r="AK149">
            <v>0</v>
          </cell>
          <cell r="AL149">
            <v>0</v>
          </cell>
          <cell r="AM149">
            <v>2</v>
          </cell>
          <cell r="AN149" t="str">
            <v/>
          </cell>
          <cell r="AO149" t="str">
            <v>الشؤون القانونية</v>
          </cell>
          <cell r="AP149" t="str">
            <v>Arab National Bank</v>
          </cell>
          <cell r="AQ149" t="str">
            <v>SA4930400108094945850012</v>
          </cell>
          <cell r="AR149">
            <v>14038.103880000001</v>
          </cell>
          <cell r="AS149">
            <v>14038.103999999999</v>
          </cell>
          <cell r="AT149">
            <v>1403.81</v>
          </cell>
          <cell r="AU149">
            <v>3509.5259999999998</v>
          </cell>
          <cell r="AV149">
            <v>300</v>
          </cell>
        </row>
        <row r="150">
          <cell r="A150">
            <v>100164</v>
          </cell>
          <cell r="B150" t="str">
            <v>1094559364</v>
          </cell>
          <cell r="C150" t="str">
            <v>السيد</v>
          </cell>
          <cell r="D150" t="str">
            <v>Mohammed Khaled Waleed Alshahwan</v>
          </cell>
          <cell r="E150" t="str">
            <v>محمد خالد وليد الشهوان</v>
          </cell>
          <cell r="F150" t="str">
            <v>Male</v>
          </cell>
          <cell r="G150" t="str">
            <v>أعزب</v>
          </cell>
          <cell r="H150">
            <v>35524</v>
          </cell>
          <cell r="I150">
            <v>29</v>
          </cell>
          <cell r="J150">
            <v>10666</v>
          </cell>
          <cell r="K150" t="str">
            <v>Mohammed.Alshahwan@agriserv.sa</v>
          </cell>
          <cell r="L150" t="str">
            <v>0595680200</v>
          </cell>
          <cell r="M150" t="str">
            <v>2510</v>
          </cell>
          <cell r="N150" t="str">
            <v>المملكة العربية السعودية</v>
          </cell>
          <cell r="O150" t="str">
            <v>50000356</v>
          </cell>
          <cell r="P150" t="str">
            <v>أخصائي أول، التطوير التنظيمي</v>
          </cell>
          <cell r="Q150" t="str">
            <v>الدرجة ٥</v>
          </cell>
          <cell r="R150" t="str">
            <v>Class VIP</v>
          </cell>
          <cell r="S150" t="str">
            <v/>
          </cell>
          <cell r="T150" t="str">
            <v>التطوير التنطيمي</v>
          </cell>
          <cell r="U150" t="str">
            <v>الموارد البشرية</v>
          </cell>
          <cell r="V150" t="str">
            <v>الخدمات المشتركة</v>
          </cell>
          <cell r="W150" t="str">
            <v>Al Riyadh</v>
          </cell>
          <cell r="X150" t="str">
            <v xml:space="preserve">المقر الرئيسي </v>
          </cell>
          <cell r="Y150">
            <v>45778</v>
          </cell>
          <cell r="Z150">
            <v>1.1299999999999999</v>
          </cell>
          <cell r="AA150">
            <v>412</v>
          </cell>
          <cell r="AB150" t="str">
            <v>نشط</v>
          </cell>
          <cell r="AC150" t="str">
            <v>100182</v>
          </cell>
          <cell r="AD150" t="str">
            <v>Mohammed Alfaddagh</v>
          </cell>
          <cell r="AE150" t="str">
            <v>موظف</v>
          </cell>
          <cell r="AF150" t="str">
            <v/>
          </cell>
          <cell r="AG150">
            <v>46142</v>
          </cell>
          <cell r="AH150" t="str">
            <v>الإنجليزية</v>
          </cell>
          <cell r="AI150" t="str">
            <v>بكالوريوس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 t="str">
            <v/>
          </cell>
          <cell r="AO150" t="str">
            <v>الموارد البشرية</v>
          </cell>
          <cell r="AP150" t="str">
            <v>Al Rajhi Bank</v>
          </cell>
          <cell r="AQ150" t="str">
            <v>SA4480000980608017453600</v>
          </cell>
          <cell r="AR150">
            <v>13433.159970000001</v>
          </cell>
          <cell r="AS150">
            <v>13433.16</v>
          </cell>
          <cell r="AT150">
            <v>1343.316</v>
          </cell>
          <cell r="AU150">
            <v>3358.29</v>
          </cell>
          <cell r="AV150">
            <v>300</v>
          </cell>
        </row>
        <row r="151">
          <cell r="A151">
            <v>100165</v>
          </cell>
          <cell r="B151" t="str">
            <v>1111370837</v>
          </cell>
          <cell r="C151" t="str">
            <v>السيد</v>
          </cell>
          <cell r="D151" t="str">
            <v>Ahmed Soleman Ali Althekri</v>
          </cell>
          <cell r="E151" t="str">
            <v>احمد سليمان علي الذكري</v>
          </cell>
          <cell r="F151" t="str">
            <v>Male</v>
          </cell>
          <cell r="G151" t="str">
            <v>أعزب</v>
          </cell>
          <cell r="H151">
            <v>36518</v>
          </cell>
          <cell r="I151">
            <v>26</v>
          </cell>
          <cell r="J151">
            <v>9672</v>
          </cell>
          <cell r="K151" t="str">
            <v>Ahmed.Althekri@agriserv.sa</v>
          </cell>
          <cell r="L151" t="str">
            <v>0508838385</v>
          </cell>
          <cell r="M151" t="str">
            <v>7203</v>
          </cell>
          <cell r="N151" t="str">
            <v>المملكة العربية السعودية</v>
          </cell>
          <cell r="O151" t="str">
            <v>50000666</v>
          </cell>
          <cell r="P151" t="str">
            <v>أخصائي أول، الاستراتيجية والأداء المؤسس ي</v>
          </cell>
          <cell r="Q151" t="str">
            <v>الدرجة ٥</v>
          </cell>
          <cell r="R151" t="str">
            <v>Class VIP</v>
          </cell>
          <cell r="S151" t="str">
            <v/>
          </cell>
          <cell r="T151" t="str">
            <v/>
          </cell>
          <cell r="U151" t="str">
            <v>الاستراتجية</v>
          </cell>
          <cell r="V151" t="str">
            <v>التخطيط والاستراتجية</v>
          </cell>
          <cell r="W151" t="str">
            <v>Al Riyadh</v>
          </cell>
          <cell r="X151" t="str">
            <v xml:space="preserve">المقر الرئيسي </v>
          </cell>
          <cell r="Y151">
            <v>45781</v>
          </cell>
          <cell r="Z151">
            <v>1.1200000000000001</v>
          </cell>
          <cell r="AA151">
            <v>409</v>
          </cell>
          <cell r="AB151" t="str">
            <v>نشط</v>
          </cell>
          <cell r="AC151" t="str">
            <v>100043</v>
          </cell>
          <cell r="AD151" t="str">
            <v>Raed Alluhaidan</v>
          </cell>
          <cell r="AE151" t="str">
            <v>موظف</v>
          </cell>
          <cell r="AF151" t="str">
            <v/>
          </cell>
          <cell r="AG151">
            <v>46145</v>
          </cell>
          <cell r="AH151" t="str">
            <v>نظم المعلومات الإدارية</v>
          </cell>
          <cell r="AI151" t="str">
            <v>بكالوريوس</v>
          </cell>
          <cell r="AJ151">
            <v>1</v>
          </cell>
          <cell r="AK151">
            <v>0</v>
          </cell>
          <cell r="AL151">
            <v>0</v>
          </cell>
          <cell r="AM151">
            <v>1</v>
          </cell>
          <cell r="AN151" t="str">
            <v/>
          </cell>
          <cell r="AO151" t="str">
            <v>مكتب الادارة الاستراتيجية</v>
          </cell>
          <cell r="AP151" t="str">
            <v>Inma Bank</v>
          </cell>
          <cell r="AQ151" t="str">
            <v>SA4005000068200997353000</v>
          </cell>
          <cell r="AR151">
            <v>11236.89575</v>
          </cell>
          <cell r="AS151">
            <v>11236.896000000001</v>
          </cell>
          <cell r="AT151">
            <v>1123.69</v>
          </cell>
          <cell r="AU151">
            <v>2809.2240000000002</v>
          </cell>
          <cell r="AV151">
            <v>300</v>
          </cell>
        </row>
        <row r="152">
          <cell r="A152">
            <v>100166</v>
          </cell>
          <cell r="B152" t="str">
            <v>1062652233</v>
          </cell>
          <cell r="C152" t="str">
            <v>السيد</v>
          </cell>
          <cell r="D152" t="str">
            <v>ALI SALEH RWDHAN ALRWDHAN</v>
          </cell>
          <cell r="E152" t="str">
            <v>علي صالح روضان الروضان</v>
          </cell>
          <cell r="F152" t="str">
            <v>Male</v>
          </cell>
          <cell r="G152" t="str">
            <v>أعزب</v>
          </cell>
          <cell r="H152">
            <v>32677</v>
          </cell>
          <cell r="I152">
            <v>37</v>
          </cell>
          <cell r="J152">
            <v>13513</v>
          </cell>
          <cell r="K152" t="str">
            <v>Ali.Alrwdhan@agriserv.sa</v>
          </cell>
          <cell r="L152" t="str">
            <v>0555142001</v>
          </cell>
          <cell r="M152" t="str">
            <v>6214</v>
          </cell>
          <cell r="N152" t="str">
            <v>المملكة العربية السعودية</v>
          </cell>
          <cell r="O152" t="str">
            <v>50000642</v>
          </cell>
          <cell r="P152" t="str">
            <v>مشرف المعلومات</v>
          </cell>
          <cell r="Q152" t="str">
            <v>الدرجة 7</v>
          </cell>
          <cell r="R152" t="str">
            <v>Class VIP</v>
          </cell>
          <cell r="S152" t="str">
            <v/>
          </cell>
          <cell r="T152" t="str">
            <v>تنمية الأعمال</v>
          </cell>
          <cell r="U152" t="str">
            <v>إدارة الأصول والاستثمار</v>
          </cell>
          <cell r="V152" t="str">
            <v>إدارة الأصول والاستثمار</v>
          </cell>
          <cell r="W152" t="str">
            <v>Al Riyadh</v>
          </cell>
          <cell r="X152" t="str">
            <v xml:space="preserve">المقر الرئيسي </v>
          </cell>
          <cell r="Y152">
            <v>45825</v>
          </cell>
          <cell r="Z152">
            <v>1</v>
          </cell>
          <cell r="AA152">
            <v>365</v>
          </cell>
          <cell r="AB152" t="str">
            <v>نشط</v>
          </cell>
          <cell r="AC152" t="str">
            <v>100095</v>
          </cell>
          <cell r="AD152" t="str">
            <v>Hamad AlSaif</v>
          </cell>
          <cell r="AE152" t="str">
            <v>موظف</v>
          </cell>
          <cell r="AF152" t="str">
            <v/>
          </cell>
          <cell r="AG152">
            <v>46554</v>
          </cell>
          <cell r="AH152" t="str">
            <v>هندسة مدنية</v>
          </cell>
          <cell r="AI152" t="str">
            <v>بكالوريوس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 t="str">
            <v/>
          </cell>
          <cell r="AO152" t="str">
            <v>الأصول والاستثمار</v>
          </cell>
          <cell r="AP152" t="str">
            <v>Al Rajhi Bank</v>
          </cell>
          <cell r="AQ152" t="str">
            <v>SA6780000517608010180384</v>
          </cell>
          <cell r="AR152">
            <v>26864.011900000001</v>
          </cell>
          <cell r="AS152">
            <v>26864.011999999999</v>
          </cell>
          <cell r="AT152">
            <v>2686.4009999999998</v>
          </cell>
          <cell r="AU152">
            <v>6716.0029999999997</v>
          </cell>
          <cell r="AV152">
            <v>500</v>
          </cell>
        </row>
        <row r="153">
          <cell r="A153">
            <v>100167</v>
          </cell>
          <cell r="B153" t="str">
            <v>1068779006</v>
          </cell>
          <cell r="C153" t="str">
            <v>الآنسة</v>
          </cell>
          <cell r="D153" t="str">
            <v>Sarah Mohammed Zaid Aldawood</v>
          </cell>
          <cell r="E153" t="str">
            <v>ساره محمد زيد آل داود</v>
          </cell>
          <cell r="F153" t="str">
            <v>Female</v>
          </cell>
          <cell r="G153" t="str">
            <v>متزوج</v>
          </cell>
          <cell r="H153">
            <v>33168</v>
          </cell>
          <cell r="I153">
            <v>36</v>
          </cell>
          <cell r="J153">
            <v>13022</v>
          </cell>
          <cell r="K153" t="str">
            <v>Sarah.Aldawood@agriser.sa</v>
          </cell>
          <cell r="L153" t="str">
            <v>0564668321</v>
          </cell>
          <cell r="M153" t="str">
            <v>2409</v>
          </cell>
          <cell r="N153" t="str">
            <v>المملكة العربية السعودية</v>
          </cell>
          <cell r="O153" t="str">
            <v>50000334</v>
          </cell>
          <cell r="P153" t="str">
            <v>مدير، التقارير الداخلية والخارجية</v>
          </cell>
          <cell r="Q153" t="str">
            <v>الدرجة 6</v>
          </cell>
          <cell r="R153" t="str">
            <v>Class VIP</v>
          </cell>
          <cell r="S153" t="str">
            <v/>
          </cell>
          <cell r="T153" t="str">
            <v>إدارة التدقيق والتقارير المالية</v>
          </cell>
          <cell r="U153" t="str">
            <v>الحسابات</v>
          </cell>
          <cell r="V153" t="str">
            <v>المالية</v>
          </cell>
          <cell r="W153" t="str">
            <v>Al Riyadh</v>
          </cell>
          <cell r="X153" t="str">
            <v xml:space="preserve">المقر الرئيسي </v>
          </cell>
          <cell r="Y153">
            <v>45830</v>
          </cell>
          <cell r="Z153">
            <v>0.99</v>
          </cell>
          <cell r="AA153">
            <v>360</v>
          </cell>
          <cell r="AB153" t="str">
            <v>نشط</v>
          </cell>
          <cell r="AC153" t="str">
            <v>100181</v>
          </cell>
          <cell r="AD153" t="str">
            <v>Mohammed Alsaab</v>
          </cell>
          <cell r="AE153" t="str">
            <v>موظف</v>
          </cell>
          <cell r="AF153" t="str">
            <v/>
          </cell>
          <cell r="AG153">
            <v>46194</v>
          </cell>
          <cell r="AH153" t="str">
            <v>المحاسبة</v>
          </cell>
          <cell r="AI153" t="str">
            <v>بكالوريوس</v>
          </cell>
          <cell r="AJ153">
            <v>1</v>
          </cell>
          <cell r="AK153">
            <v>0</v>
          </cell>
          <cell r="AL153">
            <v>0</v>
          </cell>
          <cell r="AM153">
            <v>1</v>
          </cell>
          <cell r="AN153" t="str">
            <v/>
          </cell>
          <cell r="AO153" t="str">
            <v>التقارير المالية</v>
          </cell>
          <cell r="AP153" t="str">
            <v>Al Rajhi Bank</v>
          </cell>
          <cell r="AQ153" t="str">
            <v>SA9280000369608016196193</v>
          </cell>
          <cell r="AR153">
            <v>13343.4143</v>
          </cell>
          <cell r="AS153">
            <v>13343.414000000001</v>
          </cell>
          <cell r="AT153">
            <v>1334.3409999999999</v>
          </cell>
          <cell r="AU153">
            <v>3335.8539999999998</v>
          </cell>
          <cell r="AV153">
            <v>500</v>
          </cell>
        </row>
        <row r="154">
          <cell r="A154">
            <v>100168</v>
          </cell>
          <cell r="B154" t="str">
            <v>1086518352</v>
          </cell>
          <cell r="C154" t="str">
            <v>السيد</v>
          </cell>
          <cell r="D154" t="str">
            <v>Abdulrahman Nafea A Alharbi</v>
          </cell>
          <cell r="E154" t="str">
            <v>عبدالرحمن نافع عبيد الحربي</v>
          </cell>
          <cell r="F154" t="str">
            <v>Male</v>
          </cell>
          <cell r="G154" t="str">
            <v>أعزب</v>
          </cell>
          <cell r="H154">
            <v>33783</v>
          </cell>
          <cell r="I154">
            <v>34</v>
          </cell>
          <cell r="J154">
            <v>12407</v>
          </cell>
          <cell r="K154" t="str">
            <v>Abdulrahman.Alharbi@agriserv.sa</v>
          </cell>
          <cell r="L154" t="str">
            <v>0566379009</v>
          </cell>
          <cell r="M154" t="str">
            <v>2408</v>
          </cell>
          <cell r="N154" t="str">
            <v>المملكة العربية السعودية</v>
          </cell>
          <cell r="O154" t="str">
            <v>50000346</v>
          </cell>
          <cell r="P154" t="str">
            <v>أخصائي،التحصيل</v>
          </cell>
          <cell r="Q154" t="str">
            <v>الدرجة 4</v>
          </cell>
          <cell r="R154" t="str">
            <v>Class A</v>
          </cell>
          <cell r="S154" t="str">
            <v/>
          </cell>
          <cell r="T154" t="str">
            <v>الحسابات</v>
          </cell>
          <cell r="U154" t="str">
            <v>الحسابات</v>
          </cell>
          <cell r="V154" t="str">
            <v>المالية</v>
          </cell>
          <cell r="W154" t="str">
            <v>Al Riyadh</v>
          </cell>
          <cell r="X154" t="str">
            <v xml:space="preserve">المقر الرئيسي </v>
          </cell>
          <cell r="Y154">
            <v>45830</v>
          </cell>
          <cell r="Z154">
            <v>0.99</v>
          </cell>
          <cell r="AA154">
            <v>360</v>
          </cell>
          <cell r="AB154" t="str">
            <v>نشط</v>
          </cell>
          <cell r="AC154" t="str">
            <v>100189</v>
          </cell>
          <cell r="AD154" t="str">
            <v>Abdullah Bin Nawman</v>
          </cell>
          <cell r="AE154" t="str">
            <v>موظف</v>
          </cell>
          <cell r="AF154" t="str">
            <v/>
          </cell>
          <cell r="AG154">
            <v>46194</v>
          </cell>
          <cell r="AH154" t="str">
            <v>المحاسبة</v>
          </cell>
          <cell r="AI154" t="str">
            <v>بكالوريوس</v>
          </cell>
          <cell r="AJ154">
            <v>1</v>
          </cell>
          <cell r="AK154">
            <v>0</v>
          </cell>
          <cell r="AL154">
            <v>0</v>
          </cell>
          <cell r="AM154">
            <v>1</v>
          </cell>
          <cell r="AN154" t="str">
            <v/>
          </cell>
          <cell r="AO154" t="str">
            <v>الحسابات</v>
          </cell>
          <cell r="AP154" t="str">
            <v>Al Rajhi Bank</v>
          </cell>
          <cell r="AQ154" t="str">
            <v>SA0780000412608010561522</v>
          </cell>
          <cell r="AR154">
            <v>8470.8632440000001</v>
          </cell>
          <cell r="AS154">
            <v>8470.8629999999994</v>
          </cell>
          <cell r="AT154">
            <v>847.08600000000001</v>
          </cell>
          <cell r="AU154">
            <v>2117.7159999999999</v>
          </cell>
          <cell r="AV154">
            <v>300</v>
          </cell>
        </row>
        <row r="155">
          <cell r="A155">
            <v>100169</v>
          </cell>
          <cell r="B155" t="str">
            <v>1094112578</v>
          </cell>
          <cell r="C155" t="str">
            <v>السيد</v>
          </cell>
          <cell r="D155" t="str">
            <v>ALYAS MOHAMMAD ABDULLAH ALABBAS</v>
          </cell>
          <cell r="E155" t="str">
            <v>الياس محمد عبدالله العباس</v>
          </cell>
          <cell r="F155" t="str">
            <v>Male</v>
          </cell>
          <cell r="G155" t="str">
            <v>أعزب</v>
          </cell>
          <cell r="H155">
            <v>35340</v>
          </cell>
          <cell r="I155">
            <v>30</v>
          </cell>
          <cell r="J155">
            <v>10850</v>
          </cell>
          <cell r="K155" t="str">
            <v>Alyas.Alabbas@agriserv.sa</v>
          </cell>
          <cell r="L155" t="str">
            <v>0544078527</v>
          </cell>
          <cell r="M155" t="str">
            <v>7108</v>
          </cell>
          <cell r="N155" t="str">
            <v>المملكة العربية السعودية</v>
          </cell>
          <cell r="O155" t="str">
            <v>50000679</v>
          </cell>
          <cell r="P155" t="str">
            <v>أخصائي أول تنفيذ البرنامج</v>
          </cell>
          <cell r="Q155" t="str">
            <v>الدرجة ٥</v>
          </cell>
          <cell r="R155" t="str">
            <v>Class VIP</v>
          </cell>
          <cell r="S155" t="str">
            <v/>
          </cell>
          <cell r="T155" t="str">
            <v>التخطيط الاستراتيجي</v>
          </cell>
          <cell r="U155" t="str">
            <v>الاستراتيجية والتخطيط</v>
          </cell>
          <cell r="V155" t="str">
            <v>إدارة المشاريع</v>
          </cell>
          <cell r="W155" t="str">
            <v>Al Riyadh</v>
          </cell>
          <cell r="X155" t="str">
            <v xml:space="preserve">المقر الرئيسي </v>
          </cell>
          <cell r="Y155">
            <v>45844</v>
          </cell>
          <cell r="Z155">
            <v>0.95</v>
          </cell>
          <cell r="AA155">
            <v>346</v>
          </cell>
          <cell r="AB155" t="str">
            <v>نشط</v>
          </cell>
          <cell r="AC155" t="str">
            <v>100116</v>
          </cell>
          <cell r="AD155" t="str">
            <v>Abdullah Alshayea</v>
          </cell>
          <cell r="AE155" t="str">
            <v>موظف</v>
          </cell>
          <cell r="AF155" t="str">
            <v/>
          </cell>
          <cell r="AG155">
            <v>46208</v>
          </cell>
          <cell r="AH155" t="str">
            <v>علوم كمبيوتر</v>
          </cell>
          <cell r="AI155" t="str">
            <v>بكالوريوس</v>
          </cell>
          <cell r="AJ155">
            <v>1</v>
          </cell>
          <cell r="AK155">
            <v>0</v>
          </cell>
          <cell r="AL155">
            <v>0</v>
          </cell>
          <cell r="AM155">
            <v>1</v>
          </cell>
          <cell r="AN155" t="str">
            <v/>
          </cell>
          <cell r="AO155" t="str">
            <v>مكتب إدارة المشاريع</v>
          </cell>
          <cell r="AP155" t="str">
            <v>Inma Bank</v>
          </cell>
          <cell r="AQ155" t="str">
            <v>SA6505000068202621118000</v>
          </cell>
          <cell r="AR155">
            <v>12740.74</v>
          </cell>
          <cell r="AS155">
            <v>12740.74</v>
          </cell>
          <cell r="AT155">
            <v>1274.0740000000001</v>
          </cell>
          <cell r="AU155">
            <v>3185.1849999999999</v>
          </cell>
          <cell r="AV155">
            <v>300</v>
          </cell>
        </row>
        <row r="156">
          <cell r="A156">
            <v>100170</v>
          </cell>
          <cell r="B156" t="str">
            <v>1112228877</v>
          </cell>
          <cell r="C156" t="str">
            <v>السيد</v>
          </cell>
          <cell r="D156" t="str">
            <v>Tariq Abdullah Almetairi</v>
          </cell>
          <cell r="E156" t="str">
            <v>طارق عبدالله محمد المطيري</v>
          </cell>
          <cell r="F156" t="str">
            <v>Male</v>
          </cell>
          <cell r="G156" t="str">
            <v>أعزب</v>
          </cell>
          <cell r="H156">
            <v>36535</v>
          </cell>
          <cell r="I156">
            <v>26</v>
          </cell>
          <cell r="J156">
            <v>9655</v>
          </cell>
          <cell r="K156" t="str">
            <v>Tariq.Almetairi@agriserv.sa</v>
          </cell>
          <cell r="L156" t="str">
            <v>0544239788</v>
          </cell>
          <cell r="M156" t="str">
            <v/>
          </cell>
          <cell r="N156" t="str">
            <v>المملكة العربية السعودية</v>
          </cell>
          <cell r="O156" t="str">
            <v>50000392</v>
          </cell>
          <cell r="P156" t="str">
            <v>اخصائي إدارة ومراقبة الوثائق</v>
          </cell>
          <cell r="Q156" t="str">
            <v>الدرجة 4</v>
          </cell>
          <cell r="R156" t="str">
            <v>Class A</v>
          </cell>
          <cell r="S156" t="str">
            <v/>
          </cell>
          <cell r="T156" t="str">
            <v>إدارة ومراقبة الوثائق</v>
          </cell>
          <cell r="U156" t="str">
            <v>الشؤون الإدارية</v>
          </cell>
          <cell r="V156" t="str">
            <v>الخدمات المشتركة</v>
          </cell>
          <cell r="W156" t="str">
            <v>Al Riyadh</v>
          </cell>
          <cell r="X156" t="str">
            <v xml:space="preserve">المقر الرئيسي </v>
          </cell>
          <cell r="Y156">
            <v>45846</v>
          </cell>
          <cell r="Z156">
            <v>0.94</v>
          </cell>
          <cell r="AA156">
            <v>344</v>
          </cell>
          <cell r="AB156" t="str">
            <v>نشط</v>
          </cell>
          <cell r="AC156" t="str">
            <v>100005</v>
          </cell>
          <cell r="AD156" t="str">
            <v>Khalid Alghannam</v>
          </cell>
          <cell r="AE156" t="str">
            <v>موظف</v>
          </cell>
          <cell r="AF156" t="str">
            <v/>
          </cell>
          <cell r="AG156">
            <v>46210</v>
          </cell>
          <cell r="AH156" t="str">
            <v>قانون</v>
          </cell>
          <cell r="AI156" t="str">
            <v>بكالوريوس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 t="str">
            <v/>
          </cell>
          <cell r="AO156" t="str">
            <v>الشؤون الإدارية</v>
          </cell>
          <cell r="AP156" t="str">
            <v>Al Rajhi Bank</v>
          </cell>
          <cell r="AQ156" t="str">
            <v>SA9380000627608010051517</v>
          </cell>
          <cell r="AR156">
            <v>8490</v>
          </cell>
          <cell r="AS156">
            <v>8490</v>
          </cell>
          <cell r="AT156">
            <v>849</v>
          </cell>
          <cell r="AU156">
            <v>2122.5</v>
          </cell>
          <cell r="AV156" t="str">
            <v/>
          </cell>
        </row>
        <row r="157">
          <cell r="A157">
            <v>100171</v>
          </cell>
          <cell r="B157" t="str">
            <v>1093453650</v>
          </cell>
          <cell r="C157" t="str">
            <v>السيد</v>
          </cell>
          <cell r="D157" t="str">
            <v>Abdullah Mohammed Ahmed Alghamdi</v>
          </cell>
          <cell r="E157" t="str">
            <v>عبدالله محمد احمد الخثيمي</v>
          </cell>
          <cell r="F157" t="str">
            <v>Male</v>
          </cell>
          <cell r="G157" t="str">
            <v>أعزب</v>
          </cell>
          <cell r="H157">
            <v>34275</v>
          </cell>
          <cell r="I157">
            <v>33</v>
          </cell>
          <cell r="J157">
            <v>11915</v>
          </cell>
          <cell r="K157" t="str">
            <v>Abdullah.Alkhuthaymi@agriserv.sa</v>
          </cell>
          <cell r="L157" t="str">
            <v>0566695907</v>
          </cell>
          <cell r="M157" t="str">
            <v>8202</v>
          </cell>
          <cell r="N157" t="str">
            <v>المملكة العربية السعودية</v>
          </cell>
          <cell r="O157" t="str">
            <v>50000441</v>
          </cell>
          <cell r="P157" t="str">
            <v>مدير، تخطيط المراجعة</v>
          </cell>
          <cell r="Q157" t="str">
            <v>الدرجة 6</v>
          </cell>
          <cell r="R157" t="str">
            <v>Class VIP</v>
          </cell>
          <cell r="S157" t="str">
            <v/>
          </cell>
          <cell r="T157" t="str">
            <v/>
          </cell>
          <cell r="U157" t="str">
            <v>المراجعة الداخلية المؤسسية</v>
          </cell>
          <cell r="V157" t="str">
            <v>المراجعة الداخلية</v>
          </cell>
          <cell r="W157" t="str">
            <v>Al Riyadh</v>
          </cell>
          <cell r="X157" t="str">
            <v xml:space="preserve">المقر الرئيسي </v>
          </cell>
          <cell r="Y157">
            <v>45852</v>
          </cell>
          <cell r="Z157">
            <v>0.93</v>
          </cell>
          <cell r="AA157">
            <v>338</v>
          </cell>
          <cell r="AB157" t="str">
            <v>نشط</v>
          </cell>
          <cell r="AC157" t="str">
            <v>100044</v>
          </cell>
          <cell r="AD157" t="str">
            <v>Essam Alnasayyn</v>
          </cell>
          <cell r="AE157" t="str">
            <v>موظف</v>
          </cell>
          <cell r="AF157" t="str">
            <v/>
          </cell>
          <cell r="AG157">
            <v>46216</v>
          </cell>
          <cell r="AH157" t="str">
            <v>إدارة الأعمال</v>
          </cell>
          <cell r="AI157" t="str">
            <v>ماجستير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 t="str">
            <v/>
          </cell>
          <cell r="AO157" t="str">
            <v>المراجعة الداخلية</v>
          </cell>
          <cell r="AP157" t="str">
            <v>Al Rajhi Bank</v>
          </cell>
          <cell r="AQ157" t="str">
            <v>SA6080000533608016006112</v>
          </cell>
          <cell r="AR157">
            <v>14144</v>
          </cell>
          <cell r="AS157">
            <v>14144</v>
          </cell>
          <cell r="AT157">
            <v>1414.4</v>
          </cell>
          <cell r="AU157">
            <v>3536</v>
          </cell>
          <cell r="AV157">
            <v>500</v>
          </cell>
        </row>
        <row r="158">
          <cell r="A158">
            <v>100172</v>
          </cell>
          <cell r="B158" t="str">
            <v>1108653724</v>
          </cell>
          <cell r="C158" t="str">
            <v>السيد</v>
          </cell>
          <cell r="D158" t="str">
            <v>Saleh Abdullah Saleh Alghaleb</v>
          </cell>
          <cell r="E158" t="str">
            <v>صالح عبدالله صالح الغالب</v>
          </cell>
          <cell r="F158" t="str">
            <v>Male</v>
          </cell>
          <cell r="G158" t="str">
            <v>متزوج</v>
          </cell>
          <cell r="H158">
            <v>32930</v>
          </cell>
          <cell r="I158">
            <v>36</v>
          </cell>
          <cell r="J158">
            <v>13260</v>
          </cell>
          <cell r="K158" t="str">
            <v>Saleh.Alghaleb@agriserv.sa</v>
          </cell>
          <cell r="L158" t="str">
            <v>0553006221</v>
          </cell>
          <cell r="M158" t="str">
            <v>6215</v>
          </cell>
          <cell r="N158" t="str">
            <v>المملكة العربية السعودية</v>
          </cell>
          <cell r="O158" t="str">
            <v>50000643</v>
          </cell>
          <cell r="P158" t="str">
            <v>مدير، العقود والاتفاقيات والامتثال</v>
          </cell>
          <cell r="Q158" t="str">
            <v>الدرجة 6</v>
          </cell>
          <cell r="R158" t="str">
            <v>Class VIP</v>
          </cell>
          <cell r="S158" t="str">
            <v/>
          </cell>
          <cell r="T158" t="str">
            <v/>
          </cell>
          <cell r="U158" t="str">
            <v/>
          </cell>
          <cell r="V158" t="str">
            <v>الشؤون القانونية</v>
          </cell>
          <cell r="W158" t="str">
            <v>Al Riyadh</v>
          </cell>
          <cell r="X158" t="str">
            <v xml:space="preserve">المقر الرئيسي </v>
          </cell>
          <cell r="Y158">
            <v>45854</v>
          </cell>
          <cell r="Z158">
            <v>0.92</v>
          </cell>
          <cell r="AA158">
            <v>336</v>
          </cell>
          <cell r="AB158" t="str">
            <v>نشط</v>
          </cell>
          <cell r="AC158" t="str">
            <v>100058</v>
          </cell>
          <cell r="AD158" t="str">
            <v>Hassan Alzahrani</v>
          </cell>
          <cell r="AE158" t="str">
            <v>موظف</v>
          </cell>
          <cell r="AF158" t="str">
            <v/>
          </cell>
          <cell r="AG158">
            <v>46218</v>
          </cell>
          <cell r="AH158" t="str">
            <v>الديانة</v>
          </cell>
          <cell r="AI158" t="str">
            <v>ماجستير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 t="str">
            <v/>
          </cell>
          <cell r="AO158" t="str">
            <v>الشؤون القانونية</v>
          </cell>
          <cell r="AP158" t="str">
            <v>Al Rajhi Bank</v>
          </cell>
          <cell r="AQ158" t="str">
            <v xml:space="preserve">SA1180000214608010044834 </v>
          </cell>
          <cell r="AR158">
            <v>21000</v>
          </cell>
          <cell r="AS158">
            <v>21000</v>
          </cell>
          <cell r="AT158">
            <v>2100</v>
          </cell>
          <cell r="AU158">
            <v>5250</v>
          </cell>
          <cell r="AV158">
            <v>500</v>
          </cell>
        </row>
        <row r="159">
          <cell r="A159">
            <v>100173</v>
          </cell>
          <cell r="B159" t="str">
            <v>1098762360</v>
          </cell>
          <cell r="C159" t="str">
            <v>السيد</v>
          </cell>
          <cell r="D159" t="str">
            <v>Saleh Mohammad Ibrahim Alkharashi</v>
          </cell>
          <cell r="E159" t="str">
            <v>صالح محمد ابراهيم الخراشي</v>
          </cell>
          <cell r="F159" t="str">
            <v>Male</v>
          </cell>
          <cell r="G159" t="str">
            <v>أعزب</v>
          </cell>
          <cell r="H159">
            <v>35896</v>
          </cell>
          <cell r="I159">
            <v>28</v>
          </cell>
          <cell r="J159">
            <v>10294</v>
          </cell>
          <cell r="K159" t="str">
            <v>Saleh.Alkharashi@agriserv.sa</v>
          </cell>
          <cell r="L159" t="str">
            <v>0500113392</v>
          </cell>
          <cell r="M159" t="str">
            <v>7204</v>
          </cell>
          <cell r="N159" t="str">
            <v>المملكة العربية السعودية</v>
          </cell>
          <cell r="O159" t="str">
            <v>50000665</v>
          </cell>
          <cell r="P159" t="str">
            <v>أخصائي أول، التخطيط الأستراتيجي</v>
          </cell>
          <cell r="Q159" t="str">
            <v>الدرجة ٥</v>
          </cell>
          <cell r="R159" t="str">
            <v>Class VIP</v>
          </cell>
          <cell r="S159" t="str">
            <v/>
          </cell>
          <cell r="T159" t="str">
            <v/>
          </cell>
          <cell r="U159" t="str">
            <v>الاستراتجية</v>
          </cell>
          <cell r="V159" t="str">
            <v>التخطيط والاستراتجية</v>
          </cell>
          <cell r="W159" t="str">
            <v>Al Riyadh</v>
          </cell>
          <cell r="X159" t="str">
            <v xml:space="preserve">المقر الرئيسي </v>
          </cell>
          <cell r="Y159">
            <v>45865</v>
          </cell>
          <cell r="Z159">
            <v>0.89</v>
          </cell>
          <cell r="AA159">
            <v>325</v>
          </cell>
          <cell r="AB159" t="str">
            <v>نشط</v>
          </cell>
          <cell r="AC159" t="str">
            <v>100194</v>
          </cell>
          <cell r="AD159" t="str">
            <v>Abdullah Alqahtani</v>
          </cell>
          <cell r="AE159" t="str">
            <v>موظف</v>
          </cell>
          <cell r="AF159" t="str">
            <v/>
          </cell>
          <cell r="AG159">
            <v>46229</v>
          </cell>
          <cell r="AH159" t="str">
            <v>إدارة الأعمال</v>
          </cell>
          <cell r="AI159" t="str">
            <v>بكالوريوس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 t="str">
            <v/>
          </cell>
          <cell r="AO159" t="str">
            <v>مكتب الادارة الاستراتيجية</v>
          </cell>
          <cell r="AP159" t="str">
            <v>Banque Saudi Fransi</v>
          </cell>
          <cell r="AQ159" t="str">
            <v>SA5655000000088577700102</v>
          </cell>
          <cell r="AR159">
            <v>13452</v>
          </cell>
          <cell r="AS159">
            <v>13452</v>
          </cell>
          <cell r="AT159">
            <v>1345.2</v>
          </cell>
          <cell r="AU159">
            <v>3363</v>
          </cell>
          <cell r="AV159">
            <v>300</v>
          </cell>
        </row>
        <row r="160">
          <cell r="A160">
            <v>100174</v>
          </cell>
          <cell r="B160" t="str">
            <v>1056896176</v>
          </cell>
          <cell r="C160" t="str">
            <v>السيد</v>
          </cell>
          <cell r="D160" t="str">
            <v>Adil Motlak Alshakih</v>
          </cell>
          <cell r="E160" t="str">
            <v>عادل مطلق موسم الشيخ</v>
          </cell>
          <cell r="F160" t="str">
            <v>Male</v>
          </cell>
          <cell r="G160" t="str">
            <v>متزوج</v>
          </cell>
          <cell r="H160">
            <v>31689</v>
          </cell>
          <cell r="I160">
            <v>40</v>
          </cell>
          <cell r="J160">
            <v>14501</v>
          </cell>
          <cell r="K160" t="str">
            <v>Adel.Alshaikh@agriserv.sa</v>
          </cell>
          <cell r="L160" t="str">
            <v>566999579</v>
          </cell>
          <cell r="M160" t="str">
            <v/>
          </cell>
          <cell r="N160" t="str">
            <v>المملكة العربية السعودية</v>
          </cell>
          <cell r="O160" t="str">
            <v>50000400</v>
          </cell>
          <cell r="P160" t="str">
            <v>مدير إدارة ، منطقة مكة المكرمة</v>
          </cell>
          <cell r="Q160" t="str">
            <v>8 الدرجة</v>
          </cell>
          <cell r="R160" t="str">
            <v>Class VIP</v>
          </cell>
          <cell r="S160" t="str">
            <v/>
          </cell>
          <cell r="T160" t="str">
            <v/>
          </cell>
          <cell r="U160" t="str">
            <v>عمليات الفروع</v>
          </cell>
          <cell r="V160" t="str">
            <v>الفروع</v>
          </cell>
          <cell r="W160" t="str">
            <v>Makkah</v>
          </cell>
          <cell r="X160" t="str">
            <v xml:space="preserve">الفرع </v>
          </cell>
          <cell r="Y160">
            <v>45870</v>
          </cell>
          <cell r="Z160">
            <v>0.88</v>
          </cell>
          <cell r="AA160">
            <v>320</v>
          </cell>
          <cell r="AB160" t="str">
            <v>نشط</v>
          </cell>
          <cell r="AC160" t="str">
            <v>100063</v>
          </cell>
          <cell r="AD160" t="str">
            <v>Hazza Alruwaili</v>
          </cell>
          <cell r="AE160" t="str">
            <v>موظف</v>
          </cell>
          <cell r="AF160" t="str">
            <v/>
          </cell>
          <cell r="AG160">
            <v>46234</v>
          </cell>
          <cell r="AH160" t="str">
            <v>علوم</v>
          </cell>
          <cell r="AI160" t="str">
            <v>بكالوريوس</v>
          </cell>
          <cell r="AJ160">
            <v>6</v>
          </cell>
          <cell r="AK160">
            <v>3</v>
          </cell>
          <cell r="AL160">
            <v>1</v>
          </cell>
          <cell r="AM160">
            <v>1</v>
          </cell>
          <cell r="AN160">
            <v>3</v>
          </cell>
          <cell r="AO160" t="str">
            <v>عمليات الفروع</v>
          </cell>
          <cell r="AP160" t="str">
            <v>Riyad Bank</v>
          </cell>
          <cell r="AQ160" t="str">
            <v>SA5720000001650068459940</v>
          </cell>
          <cell r="AR160">
            <v>35000</v>
          </cell>
          <cell r="AS160">
            <v>35000</v>
          </cell>
          <cell r="AT160">
            <v>3000</v>
          </cell>
          <cell r="AU160">
            <v>8750</v>
          </cell>
          <cell r="AV160">
            <v>500</v>
          </cell>
        </row>
        <row r="161">
          <cell r="A161">
            <v>100175</v>
          </cell>
          <cell r="B161" t="str">
            <v>1094332804</v>
          </cell>
          <cell r="C161" t="str">
            <v>الآنسة</v>
          </cell>
          <cell r="D161" t="str">
            <v>Alanoud Ibrahim Abdulaziz Alfawaz</v>
          </cell>
          <cell r="E161" t="str">
            <v>العنود ابراهيم عبدالعزيز الفواز</v>
          </cell>
          <cell r="F161" t="str">
            <v>Female</v>
          </cell>
          <cell r="G161" t="str">
            <v>أعزب</v>
          </cell>
          <cell r="H161">
            <v>35078</v>
          </cell>
          <cell r="I161">
            <v>30</v>
          </cell>
          <cell r="J161">
            <v>11112</v>
          </cell>
          <cell r="K161" t="str">
            <v>Alanoud.Alfawaz@agriserv.sa</v>
          </cell>
          <cell r="L161" t="str">
            <v>0508008861</v>
          </cell>
          <cell r="M161" t="str">
            <v>5106</v>
          </cell>
          <cell r="N161" t="str">
            <v>المملكة العربية السعودية</v>
          </cell>
          <cell r="O161" t="str">
            <v>50000398</v>
          </cell>
          <cell r="P161" t="str">
            <v>أخصائي أول ، متابعة الفروع</v>
          </cell>
          <cell r="Q161" t="str">
            <v>الدرجة ٥</v>
          </cell>
          <cell r="R161" t="str">
            <v>Class VIP</v>
          </cell>
          <cell r="S161" t="str">
            <v/>
          </cell>
          <cell r="T161" t="str">
            <v>عمليات الفروع-المقر الرئيسي</v>
          </cell>
          <cell r="U161" t="str">
            <v>عمليات الفروع</v>
          </cell>
          <cell r="V161" t="str">
            <v>الفروع</v>
          </cell>
          <cell r="W161" t="str">
            <v>Al Riyadh</v>
          </cell>
          <cell r="X161" t="str">
            <v xml:space="preserve">المقر الرئيسي </v>
          </cell>
          <cell r="Y161">
            <v>45879</v>
          </cell>
          <cell r="Z161">
            <v>0.85</v>
          </cell>
          <cell r="AA161">
            <v>311</v>
          </cell>
          <cell r="AB161" t="str">
            <v>نشط</v>
          </cell>
          <cell r="AC161" t="str">
            <v>100140</v>
          </cell>
          <cell r="AD161" t="str">
            <v>Majed Alfaraj</v>
          </cell>
          <cell r="AE161" t="str">
            <v>موظف</v>
          </cell>
          <cell r="AF161" t="str">
            <v/>
          </cell>
          <cell r="AG161">
            <v>46243</v>
          </cell>
          <cell r="AH161" t="str">
            <v>إدارة الأعمال</v>
          </cell>
          <cell r="AI161" t="str">
            <v>بكالوريوس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 t="str">
            <v/>
          </cell>
          <cell r="AO161" t="str">
            <v>عمليات الفروع</v>
          </cell>
          <cell r="AP161" t="str">
            <v>Bank Al Bilad</v>
          </cell>
          <cell r="AQ161" t="str">
            <v>SA7815000421123064280008</v>
          </cell>
          <cell r="AR161">
            <v>11526.85</v>
          </cell>
          <cell r="AS161">
            <v>11526.85</v>
          </cell>
          <cell r="AT161">
            <v>1152.6849999999999</v>
          </cell>
          <cell r="AU161">
            <v>2881.712</v>
          </cell>
          <cell r="AV161">
            <v>300</v>
          </cell>
        </row>
        <row r="162">
          <cell r="A162">
            <v>100176</v>
          </cell>
          <cell r="B162" t="str">
            <v>1060697578</v>
          </cell>
          <cell r="C162" t="str">
            <v>السيد</v>
          </cell>
          <cell r="D162" t="str">
            <v>Ali Zaid Abdullah Aloqayli</v>
          </cell>
          <cell r="E162" t="str">
            <v>علي زيد عبدالله العقيلي</v>
          </cell>
          <cell r="F162" t="str">
            <v>Male</v>
          </cell>
          <cell r="G162" t="str">
            <v>متزوج</v>
          </cell>
          <cell r="H162">
            <v>32105</v>
          </cell>
          <cell r="I162">
            <v>39</v>
          </cell>
          <cell r="J162">
            <v>14085</v>
          </cell>
          <cell r="K162" t="str">
            <v>Ali.Aloqayli@agriserv.sa</v>
          </cell>
          <cell r="L162" t="str">
            <v>0555877086</v>
          </cell>
          <cell r="M162" t="str">
            <v>2608</v>
          </cell>
          <cell r="N162" t="str">
            <v>المملكة العربية السعودية</v>
          </cell>
          <cell r="O162" t="str">
            <v>50000391</v>
          </cell>
          <cell r="P162" t="str">
            <v>مدير، إدارة المخزون</v>
          </cell>
          <cell r="Q162" t="str">
            <v>الدرجة 6</v>
          </cell>
          <cell r="R162" t="str">
            <v>Class VIP</v>
          </cell>
          <cell r="S162" t="str">
            <v/>
          </cell>
          <cell r="T162" t="str">
            <v/>
          </cell>
          <cell r="U162" t="str">
            <v>الشؤون الإدارية</v>
          </cell>
          <cell r="V162" t="str">
            <v>الخدمات المشتركة</v>
          </cell>
          <cell r="W162" t="str">
            <v>Al Riyadh</v>
          </cell>
          <cell r="X162" t="str">
            <v xml:space="preserve">المقر الرئيسي </v>
          </cell>
          <cell r="Y162">
            <v>45879</v>
          </cell>
          <cell r="Z162">
            <v>0.85</v>
          </cell>
          <cell r="AA162">
            <v>311</v>
          </cell>
          <cell r="AB162" t="str">
            <v>نشط</v>
          </cell>
          <cell r="AC162" t="str">
            <v>100005</v>
          </cell>
          <cell r="AD162" t="str">
            <v>Khalid Alghannam</v>
          </cell>
          <cell r="AE162" t="str">
            <v>موظف</v>
          </cell>
          <cell r="AF162" t="str">
            <v/>
          </cell>
          <cell r="AG162">
            <v>46243</v>
          </cell>
          <cell r="AH162" t="str">
            <v/>
          </cell>
          <cell r="AI162" t="str">
            <v/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 t="str">
            <v/>
          </cell>
          <cell r="AO162" t="str">
            <v>الشؤون الإدارية</v>
          </cell>
          <cell r="AP162" t="str">
            <v>Arab National Bank</v>
          </cell>
          <cell r="AQ162" t="str">
            <v xml:space="preserve">SA2030400108083803710018
</v>
          </cell>
          <cell r="AR162">
            <v>20662.07</v>
          </cell>
          <cell r="AS162">
            <v>20662.07</v>
          </cell>
          <cell r="AT162">
            <v>2066.2069999999999</v>
          </cell>
          <cell r="AU162">
            <v>5165.518</v>
          </cell>
          <cell r="AV162">
            <v>500</v>
          </cell>
        </row>
        <row r="163">
          <cell r="A163">
            <v>100177</v>
          </cell>
          <cell r="B163" t="str">
            <v>1096413537</v>
          </cell>
          <cell r="C163" t="str">
            <v>الآنسة</v>
          </cell>
          <cell r="D163" t="str">
            <v>Lamya Meshal M Alotaibi</v>
          </cell>
          <cell r="E163" t="str">
            <v>لميا مشعل مريزيق العتيبي</v>
          </cell>
          <cell r="F163" t="str">
            <v>Female</v>
          </cell>
          <cell r="G163" t="str">
            <v>متزوج</v>
          </cell>
          <cell r="H163">
            <v>33748</v>
          </cell>
          <cell r="I163">
            <v>34</v>
          </cell>
          <cell r="J163">
            <v>12442</v>
          </cell>
          <cell r="K163" t="str">
            <v>lamia.alotaibi@agriserv.sa</v>
          </cell>
          <cell r="L163" t="str">
            <v>0569325595</v>
          </cell>
          <cell r="M163" t="str">
            <v>2207</v>
          </cell>
          <cell r="N163" t="str">
            <v>المملكة العربية السعودية</v>
          </cell>
          <cell r="O163" t="str">
            <v>50000379</v>
          </cell>
          <cell r="P163" t="str">
            <v>مدير ، تحليل الأعمال</v>
          </cell>
          <cell r="Q163" t="str">
            <v>الدرجة 6</v>
          </cell>
          <cell r="R163" t="str">
            <v>Class VIP</v>
          </cell>
          <cell r="S163" t="str">
            <v/>
          </cell>
          <cell r="T163" t="str">
            <v>الإبتكار والتطوير لتقنية المعلومات</v>
          </cell>
          <cell r="U163" t="str">
            <v>تقنية المعلومات</v>
          </cell>
          <cell r="V163" t="str">
            <v>الخدمات المشتركة</v>
          </cell>
          <cell r="W163" t="str">
            <v>Al Riyadh</v>
          </cell>
          <cell r="X163" t="str">
            <v xml:space="preserve">المقر الرئيسي </v>
          </cell>
          <cell r="Y163">
            <v>45879</v>
          </cell>
          <cell r="Z163">
            <v>0.85</v>
          </cell>
          <cell r="AA163">
            <v>311</v>
          </cell>
          <cell r="AB163" t="str">
            <v>نشط</v>
          </cell>
          <cell r="AC163" t="str">
            <v>100067</v>
          </cell>
          <cell r="AD163" t="str">
            <v>Moath Almqbel</v>
          </cell>
          <cell r="AE163" t="str">
            <v>موظف</v>
          </cell>
          <cell r="AF163" t="str">
            <v/>
          </cell>
          <cell r="AG163">
            <v>46243</v>
          </cell>
          <cell r="AH163" t="str">
            <v/>
          </cell>
          <cell r="AI163" t="str">
            <v/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 t="str">
            <v/>
          </cell>
          <cell r="AO163" t="str">
            <v>التحول الرقمي وتقنية المعلومات</v>
          </cell>
          <cell r="AP163" t="str">
            <v>Al Rajhi Bank</v>
          </cell>
          <cell r="AQ163" t="str">
            <v>SA5780000365608019643336</v>
          </cell>
          <cell r="AR163">
            <v>21111.11</v>
          </cell>
          <cell r="AS163">
            <v>21111.11</v>
          </cell>
          <cell r="AT163">
            <v>2111.1109999999999</v>
          </cell>
          <cell r="AU163">
            <v>5277.7780000000002</v>
          </cell>
          <cell r="AV163">
            <v>500</v>
          </cell>
        </row>
        <row r="164">
          <cell r="A164">
            <v>100178</v>
          </cell>
          <cell r="B164" t="str">
            <v>1063663361</v>
          </cell>
          <cell r="C164" t="str">
            <v>الآنسة</v>
          </cell>
          <cell r="D164" t="str">
            <v>Haya Saad Mohammed Alturir</v>
          </cell>
          <cell r="E164" t="str">
            <v>هيا سعد محمد الطرير</v>
          </cell>
          <cell r="F164" t="str">
            <v>Female</v>
          </cell>
          <cell r="G164" t="str">
            <v>أعزب</v>
          </cell>
          <cell r="H164">
            <v>32807</v>
          </cell>
          <cell r="I164">
            <v>37</v>
          </cell>
          <cell r="J164">
            <v>13383</v>
          </cell>
          <cell r="K164" t="str">
            <v>Haya.Alturir@agriserv.sa</v>
          </cell>
          <cell r="L164" t="str">
            <v>0546789224</v>
          </cell>
          <cell r="M164" t="str">
            <v>5505</v>
          </cell>
          <cell r="N164" t="str">
            <v>المملكة العربية السعودية</v>
          </cell>
          <cell r="O164" t="str">
            <v>50001440</v>
          </cell>
          <cell r="P164" t="str">
            <v>أخصائي تحسين تجربة العميل</v>
          </cell>
          <cell r="Q164" t="str">
            <v>الدرجة 4</v>
          </cell>
          <cell r="R164" t="str">
            <v>Class A</v>
          </cell>
          <cell r="S164" t="str">
            <v/>
          </cell>
          <cell r="T164" t="str">
            <v>خدمة العملاء</v>
          </cell>
          <cell r="U164" t="str">
            <v>خدمة العملاء</v>
          </cell>
          <cell r="V164" t="str">
            <v>الفروع</v>
          </cell>
          <cell r="W164" t="str">
            <v>Al Riyadh</v>
          </cell>
          <cell r="X164" t="str">
            <v xml:space="preserve">المقر الرئيسي </v>
          </cell>
          <cell r="Y164">
            <v>45893</v>
          </cell>
          <cell r="Z164">
            <v>0.81</v>
          </cell>
          <cell r="AA164">
            <v>297</v>
          </cell>
          <cell r="AB164" t="str">
            <v>نشط</v>
          </cell>
          <cell r="AC164" t="str">
            <v>100071</v>
          </cell>
          <cell r="AD164" t="str">
            <v>ABDULRAHMAN ALJUNAYDIL</v>
          </cell>
          <cell r="AE164" t="str">
            <v>موظف</v>
          </cell>
          <cell r="AF164" t="str">
            <v/>
          </cell>
          <cell r="AG164">
            <v>46257</v>
          </cell>
          <cell r="AH164" t="str">
            <v>الفنون</v>
          </cell>
          <cell r="AI164" t="str">
            <v>بكالوريوس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 t="str">
            <v/>
          </cell>
          <cell r="AO164" t="str">
            <v>خدمة العملاء</v>
          </cell>
          <cell r="AP164" t="str">
            <v>Saudi National Bank</v>
          </cell>
          <cell r="AQ164" t="str">
            <v>SA3910000071600004001302</v>
          </cell>
          <cell r="AR164">
            <v>8490</v>
          </cell>
          <cell r="AS164">
            <v>8490</v>
          </cell>
          <cell r="AT164">
            <v>849</v>
          </cell>
          <cell r="AU164">
            <v>2122.5</v>
          </cell>
          <cell r="AV164">
            <v>300</v>
          </cell>
        </row>
        <row r="165">
          <cell r="A165">
            <v>100179</v>
          </cell>
          <cell r="B165" t="str">
            <v>1097621005</v>
          </cell>
          <cell r="C165" t="str">
            <v>السيد</v>
          </cell>
          <cell r="D165" t="str">
            <v>Sultan Uthman Ahmed Alghamdi</v>
          </cell>
          <cell r="E165" t="str">
            <v>سلطان عثمان احمد الغامدي</v>
          </cell>
          <cell r="F165" t="str">
            <v>Male</v>
          </cell>
          <cell r="G165" t="str">
            <v>متزوج</v>
          </cell>
          <cell r="H165">
            <v>35529</v>
          </cell>
          <cell r="I165">
            <v>29</v>
          </cell>
          <cell r="J165">
            <v>10661</v>
          </cell>
          <cell r="K165" t="str">
            <v>Sultan.Alghamdi@agriserv.sa</v>
          </cell>
          <cell r="L165" t="str">
            <v>0556910493</v>
          </cell>
          <cell r="M165" t="str">
            <v>0226</v>
          </cell>
          <cell r="N165" t="str">
            <v>المملكة العربية السعودية</v>
          </cell>
          <cell r="O165" t="str">
            <v>50000683</v>
          </cell>
          <cell r="P165" t="str">
            <v>مدير تنفيذي، الأمن السيبراني</v>
          </cell>
          <cell r="Q165" t="str">
            <v>الدرجة 7</v>
          </cell>
          <cell r="R165" t="str">
            <v>Class VIP</v>
          </cell>
          <cell r="S165" t="str">
            <v/>
          </cell>
          <cell r="T165" t="str">
            <v>الحوكمة والمخاطر والالتزام</v>
          </cell>
          <cell r="U165" t="str">
            <v>السياسات والإجراءات</v>
          </cell>
          <cell r="V165" t="str">
            <v>السياسات والإجراءات</v>
          </cell>
          <cell r="W165" t="str">
            <v>Al Riyadh</v>
          </cell>
          <cell r="X165" t="str">
            <v xml:space="preserve">المقر الرئيسي </v>
          </cell>
          <cell r="Y165">
            <v>45900</v>
          </cell>
          <cell r="Z165">
            <v>0.79</v>
          </cell>
          <cell r="AA165">
            <v>290</v>
          </cell>
          <cell r="AB165" t="str">
            <v>نشط</v>
          </cell>
          <cell r="AC165" t="str">
            <v>100048</v>
          </cell>
          <cell r="AD165" t="str">
            <v>Mohammed Alothman</v>
          </cell>
          <cell r="AE165" t="str">
            <v>موظف</v>
          </cell>
          <cell r="AF165" t="str">
            <v/>
          </cell>
          <cell r="AG165">
            <v>46264</v>
          </cell>
          <cell r="AH165" t="str">
            <v/>
          </cell>
          <cell r="AI165" t="str">
            <v/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 t="str">
            <v/>
          </cell>
          <cell r="AO165" t="str">
            <v>الحوكمة والمخاطر والالتزام</v>
          </cell>
          <cell r="AP165" t="str">
            <v>Saudi National Bank</v>
          </cell>
          <cell r="AQ165" t="str">
            <v>SA8810000059400003665701</v>
          </cell>
          <cell r="AR165">
            <v>23481.48</v>
          </cell>
          <cell r="AS165">
            <v>23481.48</v>
          </cell>
          <cell r="AT165">
            <v>2348.1480000000001</v>
          </cell>
          <cell r="AU165">
            <v>5870.37</v>
          </cell>
          <cell r="AV165">
            <v>500</v>
          </cell>
        </row>
        <row r="166">
          <cell r="A166">
            <v>100180</v>
          </cell>
          <cell r="B166" t="str">
            <v>1103991046</v>
          </cell>
          <cell r="C166" t="str">
            <v>الآنسة</v>
          </cell>
          <cell r="D166" t="str">
            <v>Naif Mohsen Omar Albaqami</v>
          </cell>
          <cell r="E166" t="str">
            <v>نايف محسن عمر البقمي</v>
          </cell>
          <cell r="F166" t="str">
            <v>Male</v>
          </cell>
          <cell r="G166" t="str">
            <v>أعزب</v>
          </cell>
          <cell r="H166">
            <v>36324</v>
          </cell>
          <cell r="I166">
            <v>27</v>
          </cell>
          <cell r="J166">
            <v>9866</v>
          </cell>
          <cell r="K166" t="str">
            <v>Naif.Albaqami@agriserv.sa</v>
          </cell>
          <cell r="L166" t="str">
            <v>0558838580</v>
          </cell>
          <cell r="M166" t="str">
            <v>2410</v>
          </cell>
          <cell r="N166" t="str">
            <v>المملكة العربية السعودية</v>
          </cell>
          <cell r="O166" t="str">
            <v>50000338</v>
          </cell>
          <cell r="P166" t="str">
            <v>أخصائي الحسابات العامة</v>
          </cell>
          <cell r="Q166" t="str">
            <v>الدرجة 4</v>
          </cell>
          <cell r="R166" t="str">
            <v>Class A</v>
          </cell>
          <cell r="S166" t="str">
            <v/>
          </cell>
          <cell r="T166" t="str">
            <v>الحسابات</v>
          </cell>
          <cell r="U166" t="str">
            <v>الحسابات</v>
          </cell>
          <cell r="V166" t="str">
            <v>المالية</v>
          </cell>
          <cell r="W166" t="str">
            <v>Al Riyadh</v>
          </cell>
          <cell r="X166" t="str">
            <v xml:space="preserve">المقر الرئيسي </v>
          </cell>
          <cell r="Y166">
            <v>45907</v>
          </cell>
          <cell r="Z166">
            <v>0.77</v>
          </cell>
          <cell r="AA166">
            <v>283</v>
          </cell>
          <cell r="AB166" t="str">
            <v>نشط</v>
          </cell>
          <cell r="AC166" t="str">
            <v>100189</v>
          </cell>
          <cell r="AD166" t="str">
            <v>Abdullah Bin Nawman</v>
          </cell>
          <cell r="AE166" t="str">
            <v>موظف</v>
          </cell>
          <cell r="AF166" t="str">
            <v/>
          </cell>
          <cell r="AG166">
            <v>46271</v>
          </cell>
          <cell r="AH166" t="str">
            <v>المحاسبة</v>
          </cell>
          <cell r="AI166" t="str">
            <v>بكالوريوس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 t="str">
            <v/>
          </cell>
          <cell r="AO166" t="str">
            <v>الحسابات</v>
          </cell>
          <cell r="AP166" t="str">
            <v>Al Rajhi Bank</v>
          </cell>
          <cell r="AQ166" t="str">
            <v>SA1280000597608010547429</v>
          </cell>
          <cell r="AR166">
            <v>10013.66</v>
          </cell>
          <cell r="AS166">
            <v>10013.66</v>
          </cell>
          <cell r="AT166">
            <v>1001.366</v>
          </cell>
          <cell r="AU166">
            <v>2503.415</v>
          </cell>
          <cell r="AV166">
            <v>300</v>
          </cell>
        </row>
        <row r="167">
          <cell r="A167">
            <v>100181</v>
          </cell>
          <cell r="B167" t="str">
            <v>1008286328</v>
          </cell>
          <cell r="C167" t="str">
            <v>السيد</v>
          </cell>
          <cell r="D167" t="str">
            <v>Mohammed Abdulaziz Abdullah Alsaab</v>
          </cell>
          <cell r="E167" t="str">
            <v>محمد عبدالعزيز عبدالله الصعب</v>
          </cell>
          <cell r="F167" t="str">
            <v>Male</v>
          </cell>
          <cell r="G167" t="str">
            <v>متزوج</v>
          </cell>
          <cell r="H167">
            <v>30455</v>
          </cell>
          <cell r="I167">
            <v>43</v>
          </cell>
          <cell r="J167">
            <v>15735</v>
          </cell>
          <cell r="K167" t="str">
            <v>Mohammed.Alsaab@agriserv.sa</v>
          </cell>
          <cell r="L167" t="str">
            <v>0554944447</v>
          </cell>
          <cell r="M167" t="str">
            <v/>
          </cell>
          <cell r="N167" t="str">
            <v>المملكة العربية السعودية</v>
          </cell>
          <cell r="O167" t="str">
            <v>50001396</v>
          </cell>
          <cell r="P167" t="str">
            <v>نائب الرئيس للمالية</v>
          </cell>
          <cell r="Q167" t="str">
            <v>الدرجة 10</v>
          </cell>
          <cell r="R167" t="str">
            <v>Class VVIP</v>
          </cell>
          <cell r="S167" t="str">
            <v/>
          </cell>
          <cell r="T167" t="str">
            <v/>
          </cell>
          <cell r="U167" t="str">
            <v/>
          </cell>
          <cell r="V167" t="str">
            <v>المالية</v>
          </cell>
          <cell r="W167" t="str">
            <v>Head Quarter</v>
          </cell>
          <cell r="X167" t="str">
            <v xml:space="preserve">المقر الرئيسي </v>
          </cell>
          <cell r="Y167">
            <v>45942</v>
          </cell>
          <cell r="Z167">
            <v>0.68</v>
          </cell>
          <cell r="AA167">
            <v>248</v>
          </cell>
          <cell r="AB167" t="str">
            <v>نشط</v>
          </cell>
          <cell r="AC167" t="str">
            <v>100191</v>
          </cell>
          <cell r="AD167" t="str">
            <v>Nemer Alshebel</v>
          </cell>
          <cell r="AE167" t="str">
            <v>موظف</v>
          </cell>
          <cell r="AF167" t="str">
            <v/>
          </cell>
          <cell r="AG167">
            <v>46306</v>
          </cell>
          <cell r="AH167" t="str">
            <v/>
          </cell>
          <cell r="AI167" t="str">
            <v/>
          </cell>
          <cell r="AJ167">
            <v>3</v>
          </cell>
          <cell r="AK167">
            <v>2</v>
          </cell>
          <cell r="AL167">
            <v>1</v>
          </cell>
          <cell r="AM167">
            <v>0</v>
          </cell>
          <cell r="AN167">
            <v>2</v>
          </cell>
          <cell r="AO167" t="str">
            <v>عام</v>
          </cell>
          <cell r="AP167" t="str">
            <v>Saudi National Bank</v>
          </cell>
          <cell r="AQ167" t="str">
            <v>SA4110000098400001281501</v>
          </cell>
          <cell r="AR167">
            <v>102161.76</v>
          </cell>
          <cell r="AS167">
            <v>102161.76</v>
          </cell>
          <cell r="AT167">
            <v>3500</v>
          </cell>
          <cell r="AU167">
            <v>25540.44</v>
          </cell>
          <cell r="AV167">
            <v>800</v>
          </cell>
        </row>
        <row r="168">
          <cell r="A168">
            <v>100182</v>
          </cell>
          <cell r="B168" t="str">
            <v>1006408049</v>
          </cell>
          <cell r="C168" t="str">
            <v>السيد</v>
          </cell>
          <cell r="D168" t="str">
            <v>Mohammed Abdulhameed Abdullah Alfaddagh</v>
          </cell>
          <cell r="E168" t="str">
            <v>محمد عبدالحميد عبدالله الفداغ</v>
          </cell>
          <cell r="F168" t="str">
            <v>Male</v>
          </cell>
          <cell r="G168" t="str">
            <v>متزوج</v>
          </cell>
          <cell r="H168">
            <v>31105</v>
          </cell>
          <cell r="I168">
            <v>41</v>
          </cell>
          <cell r="J168">
            <v>15085</v>
          </cell>
          <cell r="K168" t="str">
            <v>Mohammed.Alfaddagh@agriserv.sa</v>
          </cell>
          <cell r="L168" t="str">
            <v>0507878987</v>
          </cell>
          <cell r="M168" t="str">
            <v/>
          </cell>
          <cell r="N168" t="str">
            <v>المملكة العربية السعودية</v>
          </cell>
          <cell r="O168" t="str">
            <v>50000355</v>
          </cell>
          <cell r="P168" t="str">
            <v>مدير تنفيذي , التطوير التنظيمي</v>
          </cell>
          <cell r="Q168" t="str">
            <v>الدرجة 7</v>
          </cell>
          <cell r="R168" t="str">
            <v>Class VIP</v>
          </cell>
          <cell r="S168" t="str">
            <v/>
          </cell>
          <cell r="T168" t="str">
            <v>التطوير التنطيمي</v>
          </cell>
          <cell r="U168" t="str">
            <v>الموارد البشرية</v>
          </cell>
          <cell r="V168" t="str">
            <v>الخدمات المشتركة</v>
          </cell>
          <cell r="W168" t="str">
            <v>Head Quarter</v>
          </cell>
          <cell r="X168" t="str">
            <v xml:space="preserve">المقر الرئيسي </v>
          </cell>
          <cell r="Y168">
            <v>45951</v>
          </cell>
          <cell r="Z168">
            <v>0.65</v>
          </cell>
          <cell r="AA168">
            <v>239</v>
          </cell>
          <cell r="AB168" t="str">
            <v>نشط</v>
          </cell>
          <cell r="AC168" t="str">
            <v>100004</v>
          </cell>
          <cell r="AD168" t="str">
            <v>Abdulmajeed Alzannan</v>
          </cell>
          <cell r="AE168" t="str">
            <v>موظف</v>
          </cell>
          <cell r="AF168" t="str">
            <v/>
          </cell>
          <cell r="AG168">
            <v>46315</v>
          </cell>
          <cell r="AH168" t="str">
            <v>نظم المعلومات الإدارية</v>
          </cell>
          <cell r="AI168" t="str">
            <v>بكالوريوس</v>
          </cell>
          <cell r="AJ168">
            <v>5</v>
          </cell>
          <cell r="AK168">
            <v>4</v>
          </cell>
          <cell r="AL168">
            <v>1</v>
          </cell>
          <cell r="AM168">
            <v>0</v>
          </cell>
          <cell r="AN168">
            <v>4</v>
          </cell>
          <cell r="AO168" t="str">
            <v>الموارد البشرية</v>
          </cell>
          <cell r="AP168" t="str">
            <v>Al Rajhi Bank</v>
          </cell>
          <cell r="AQ168" t="str">
            <v>SA1880000527608010008591</v>
          </cell>
          <cell r="AR168">
            <v>25000</v>
          </cell>
          <cell r="AS168">
            <v>25000</v>
          </cell>
          <cell r="AT168">
            <v>2500</v>
          </cell>
          <cell r="AU168">
            <v>6250</v>
          </cell>
          <cell r="AV168">
            <v>500</v>
          </cell>
        </row>
        <row r="169">
          <cell r="A169">
            <v>100183</v>
          </cell>
          <cell r="B169" t="str">
            <v>1062019151</v>
          </cell>
          <cell r="C169" t="str">
            <v>السيد</v>
          </cell>
          <cell r="D169" t="str">
            <v>Abdulaziz Ahmed Jasim Aljadaan</v>
          </cell>
          <cell r="E169" t="str">
            <v>عبدالعزيز احمد جاسم الجدعان</v>
          </cell>
          <cell r="F169" t="str">
            <v>Male</v>
          </cell>
          <cell r="G169" t="str">
            <v>متزوج</v>
          </cell>
          <cell r="H169">
            <v>30645</v>
          </cell>
          <cell r="I169">
            <v>43</v>
          </cell>
          <cell r="J169">
            <v>15545</v>
          </cell>
          <cell r="K169" t="str">
            <v>Abdulaziz.Aljadaan@agriserv.sa</v>
          </cell>
          <cell r="L169" t="str">
            <v>0555541230</v>
          </cell>
          <cell r="M169" t="str">
            <v>2400</v>
          </cell>
          <cell r="N169" t="str">
            <v>المملكة العربية السعودية</v>
          </cell>
          <cell r="O169" t="str">
            <v>50001397</v>
          </cell>
          <cell r="P169" t="str">
            <v>مدير عام ، التخطيط والأداء المالي</v>
          </cell>
          <cell r="Q169" t="str">
            <v>الدرجة 9</v>
          </cell>
          <cell r="R169" t="str">
            <v>Class VVIP</v>
          </cell>
          <cell r="S169" t="str">
            <v/>
          </cell>
          <cell r="T169" t="str">
            <v/>
          </cell>
          <cell r="U169" t="str">
            <v>التخطيط والأداء المالي</v>
          </cell>
          <cell r="V169" t="str">
            <v>المالية</v>
          </cell>
          <cell r="W169" t="str">
            <v>Al Riyadh</v>
          </cell>
          <cell r="X169" t="str">
            <v xml:space="preserve">المقر الرئيسي </v>
          </cell>
          <cell r="Y169">
            <v>45963</v>
          </cell>
          <cell r="Z169">
            <v>0.62</v>
          </cell>
          <cell r="AA169">
            <v>227</v>
          </cell>
          <cell r="AB169" t="str">
            <v>نشط</v>
          </cell>
          <cell r="AC169" t="str">
            <v>100181</v>
          </cell>
          <cell r="AD169" t="str">
            <v>Mohammed Alsaab</v>
          </cell>
          <cell r="AE169" t="str">
            <v>موظف</v>
          </cell>
          <cell r="AF169" t="str">
            <v/>
          </cell>
          <cell r="AG169">
            <v>46327</v>
          </cell>
          <cell r="AH169" t="str">
            <v>إدارة الأعمال</v>
          </cell>
          <cell r="AI169" t="str">
            <v>ماجستير</v>
          </cell>
          <cell r="AJ169">
            <v>7</v>
          </cell>
          <cell r="AK169">
            <v>4</v>
          </cell>
          <cell r="AL169">
            <v>1</v>
          </cell>
          <cell r="AM169">
            <v>2</v>
          </cell>
          <cell r="AN169">
            <v>4</v>
          </cell>
          <cell r="AO169" t="str">
            <v>التخطيط والأداء المالي</v>
          </cell>
          <cell r="AP169" t="str">
            <v>Bank Al Jazirah</v>
          </cell>
          <cell r="AQ169" t="str">
            <v>SA0660100023394011169001</v>
          </cell>
          <cell r="AR169">
            <v>67272.36</v>
          </cell>
          <cell r="AS169">
            <v>67272.36</v>
          </cell>
          <cell r="AT169">
            <v>3500</v>
          </cell>
          <cell r="AU169">
            <v>16818.09</v>
          </cell>
          <cell r="AV169">
            <v>800</v>
          </cell>
        </row>
        <row r="170">
          <cell r="A170">
            <v>100184</v>
          </cell>
          <cell r="B170" t="str">
            <v>1113884116</v>
          </cell>
          <cell r="C170" t="str">
            <v>السيد</v>
          </cell>
          <cell r="D170" t="str">
            <v>Abdullah Saeed Eidhah Alharthi</v>
          </cell>
          <cell r="E170" t="str">
            <v>عبدالله سعيد عيظه الحارثي</v>
          </cell>
          <cell r="F170" t="str">
            <v>Male</v>
          </cell>
          <cell r="G170" t="str">
            <v>أعزب</v>
          </cell>
          <cell r="H170">
            <v>36835</v>
          </cell>
          <cell r="I170">
            <v>26</v>
          </cell>
          <cell r="J170">
            <v>9355</v>
          </cell>
          <cell r="K170" t="str">
            <v>Abdullah.Alharthi@agriserv.sa</v>
          </cell>
          <cell r="L170" t="str">
            <v>0550304199</v>
          </cell>
          <cell r="M170" t="str">
            <v>2307</v>
          </cell>
          <cell r="N170" t="str">
            <v>المملكة العربية السعودية</v>
          </cell>
          <cell r="O170" t="str">
            <v>50000308</v>
          </cell>
          <cell r="P170" t="str">
            <v>أخصائي ,تطوير محتوى</v>
          </cell>
          <cell r="Q170" t="str">
            <v>الدرجة 4</v>
          </cell>
          <cell r="R170" t="str">
            <v>Class A</v>
          </cell>
          <cell r="S170" t="str">
            <v/>
          </cell>
          <cell r="T170" t="str">
            <v>التواصل الخارجي والعلاقات العامة</v>
          </cell>
          <cell r="U170" t="str">
            <v>التواصل المؤسسي</v>
          </cell>
          <cell r="V170" t="str">
            <v>الخدمات المشتركة</v>
          </cell>
          <cell r="W170" t="str">
            <v>Al Riyadh</v>
          </cell>
          <cell r="X170" t="str">
            <v xml:space="preserve">المقر الرئيسي </v>
          </cell>
          <cell r="Y170">
            <v>45971</v>
          </cell>
          <cell r="Z170">
            <v>0.6</v>
          </cell>
          <cell r="AA170">
            <v>219</v>
          </cell>
          <cell r="AB170" t="str">
            <v>غير نشط</v>
          </cell>
          <cell r="AC170" t="str">
            <v>100024</v>
          </cell>
          <cell r="AD170" t="str">
            <v>Maha AlShreif</v>
          </cell>
          <cell r="AE170" t="str">
            <v>موظف</v>
          </cell>
          <cell r="AF170">
            <v>46058</v>
          </cell>
          <cell r="AG170" t="str">
            <v/>
          </cell>
          <cell r="AH170" t="str">
            <v/>
          </cell>
          <cell r="AI170" t="str">
            <v/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 t="str">
            <v/>
          </cell>
          <cell r="AO170" t="str">
            <v>Communication</v>
          </cell>
          <cell r="AP170" t="str">
            <v>Saudi National Bank</v>
          </cell>
          <cell r="AQ170" t="str">
            <v>SA8410000085300000481908</v>
          </cell>
          <cell r="AR170">
            <v>9962.9599999999991</v>
          </cell>
          <cell r="AS170">
            <v>9962.9599999999991</v>
          </cell>
          <cell r="AT170">
            <v>996.29600000000005</v>
          </cell>
          <cell r="AU170">
            <v>2490.7399999999998</v>
          </cell>
          <cell r="AV170">
            <v>300</v>
          </cell>
        </row>
        <row r="171">
          <cell r="A171">
            <v>100185</v>
          </cell>
          <cell r="B171" t="str">
            <v>1065554360</v>
          </cell>
          <cell r="C171" t="str">
            <v>السيد</v>
          </cell>
          <cell r="D171" t="str">
            <v>Marwan Abdulrahman Alshaded</v>
          </cell>
          <cell r="E171" t="str">
            <v xml:space="preserve">مروان  عبدالرحمن  عبدالله  الشديد </v>
          </cell>
          <cell r="F171" t="str">
            <v>Male</v>
          </cell>
          <cell r="G171" t="str">
            <v>متزوج</v>
          </cell>
          <cell r="H171">
            <v>32935</v>
          </cell>
          <cell r="I171">
            <v>36</v>
          </cell>
          <cell r="J171">
            <v>13255</v>
          </cell>
          <cell r="K171" t="str">
            <v>Marwan.alshaded@agriserv.sa</v>
          </cell>
          <cell r="L171" t="str">
            <v>0594346007</v>
          </cell>
          <cell r="M171" t="str">
            <v>6206</v>
          </cell>
          <cell r="N171" t="str">
            <v>المملكة العربية السعودية</v>
          </cell>
          <cell r="O171" t="str">
            <v>50000053</v>
          </cell>
          <cell r="P171" t="str">
            <v>مدير إدارة، تشغيل الأصول</v>
          </cell>
          <cell r="Q171" t="str">
            <v>8 الدرجة</v>
          </cell>
          <cell r="R171" t="str">
            <v>Class VIP</v>
          </cell>
          <cell r="S171" t="str">
            <v/>
          </cell>
          <cell r="T171" t="str">
            <v>تنمية الأعمال</v>
          </cell>
          <cell r="U171" t="str">
            <v>إدارة الأصول والاستثمار</v>
          </cell>
          <cell r="V171" t="str">
            <v>إدارة الأصول والاستثمار</v>
          </cell>
          <cell r="W171" t="str">
            <v>Al Riyadh</v>
          </cell>
          <cell r="X171" t="str">
            <v xml:space="preserve">المقر الرئيسي </v>
          </cell>
          <cell r="Y171">
            <v>45985</v>
          </cell>
          <cell r="Z171">
            <v>0.56000000000000005</v>
          </cell>
          <cell r="AA171">
            <v>205</v>
          </cell>
          <cell r="AB171" t="str">
            <v>نشط</v>
          </cell>
          <cell r="AC171" t="str">
            <v>100084</v>
          </cell>
          <cell r="AD171" t="str">
            <v>Naif Alsudais</v>
          </cell>
          <cell r="AE171" t="str">
            <v>موظف</v>
          </cell>
          <cell r="AF171" t="str">
            <v/>
          </cell>
          <cell r="AG171">
            <v>46349</v>
          </cell>
          <cell r="AH171" t="str">
            <v/>
          </cell>
          <cell r="AI171" t="str">
            <v/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 t="str">
            <v/>
          </cell>
          <cell r="AO171" t="str">
            <v>الأصول والاستثمار</v>
          </cell>
          <cell r="AP171" t="str">
            <v>Riyad Bank</v>
          </cell>
          <cell r="AQ171" t="str">
            <v>SA9420000003440313299940</v>
          </cell>
          <cell r="AR171">
            <v>46862.13</v>
          </cell>
          <cell r="AS171">
            <v>46862.13</v>
          </cell>
          <cell r="AT171">
            <v>3000</v>
          </cell>
          <cell r="AU171">
            <v>11715.531999999999</v>
          </cell>
          <cell r="AV171">
            <v>500</v>
          </cell>
        </row>
        <row r="172">
          <cell r="A172">
            <v>100186</v>
          </cell>
          <cell r="B172" t="str">
            <v>2624324337</v>
          </cell>
          <cell r="C172" t="str">
            <v>السيد</v>
          </cell>
          <cell r="D172" t="str">
            <v>Mahmoud Ahmad Mazen Mahmoud EL Khoja</v>
          </cell>
          <cell r="E172" t="str">
            <v>محمود احمد مازن محمود الخوجه</v>
          </cell>
          <cell r="F172" t="str">
            <v>Male</v>
          </cell>
          <cell r="G172" t="str">
            <v/>
          </cell>
          <cell r="H172">
            <v>29806</v>
          </cell>
          <cell r="I172">
            <v>45</v>
          </cell>
          <cell r="J172">
            <v>16384</v>
          </cell>
          <cell r="K172" t="str">
            <v>Mahmoud.Elkhoja@agriserv.sa</v>
          </cell>
          <cell r="L172" t="str">
            <v>564332076</v>
          </cell>
          <cell r="M172" t="str">
            <v/>
          </cell>
          <cell r="N172" t="str">
            <v>فرنسا</v>
          </cell>
          <cell r="O172" t="str">
            <v>50001457</v>
          </cell>
          <cell r="P172" t="str">
            <v>مستشار، تنفيذ إستراتيجية أسواق النفع العام والمسالخ</v>
          </cell>
          <cell r="Q172" t="str">
            <v>الدرجة 9</v>
          </cell>
          <cell r="R172" t="str">
            <v/>
          </cell>
          <cell r="S172" t="str">
            <v/>
          </cell>
          <cell r="T172" t="str">
            <v/>
          </cell>
          <cell r="U172" t="str">
            <v/>
          </cell>
          <cell r="V172" t="str">
            <v>الخدمات التجارية</v>
          </cell>
          <cell r="W172" t="str">
            <v>Al Riyadh</v>
          </cell>
          <cell r="X172" t="str">
            <v xml:space="preserve">المقر الرئيسي </v>
          </cell>
          <cell r="Y172">
            <v>45998</v>
          </cell>
          <cell r="Z172">
            <v>0.53</v>
          </cell>
          <cell r="AA172">
            <v>192</v>
          </cell>
          <cell r="AB172" t="str">
            <v>نشط</v>
          </cell>
          <cell r="AC172" t="str">
            <v>100154</v>
          </cell>
          <cell r="AD172" t="str">
            <v>Turki Alkhalaif</v>
          </cell>
          <cell r="AE172" t="str">
            <v>موظف</v>
          </cell>
          <cell r="AF172" t="str">
            <v/>
          </cell>
          <cell r="AG172">
            <v>46362</v>
          </cell>
          <cell r="AH172" t="str">
            <v/>
          </cell>
          <cell r="AI172" t="str">
            <v/>
          </cell>
          <cell r="AJ172">
            <v>5</v>
          </cell>
          <cell r="AK172">
            <v>3</v>
          </cell>
          <cell r="AL172">
            <v>1</v>
          </cell>
          <cell r="AM172">
            <v>1</v>
          </cell>
          <cell r="AN172">
            <v>3</v>
          </cell>
          <cell r="AO172" t="str">
            <v>الأصول والاستثمار</v>
          </cell>
          <cell r="AP172" t="str">
            <v>Saudi Awwal Bank</v>
          </cell>
          <cell r="AQ172" t="str">
            <v>SA5445000000629050964001</v>
          </cell>
          <cell r="AR172">
            <v>56560</v>
          </cell>
          <cell r="AS172">
            <v>56560</v>
          </cell>
          <cell r="AT172">
            <v>3500</v>
          </cell>
          <cell r="AU172">
            <v>14140</v>
          </cell>
          <cell r="AV172">
            <v>800</v>
          </cell>
        </row>
        <row r="173">
          <cell r="A173">
            <v>100187</v>
          </cell>
          <cell r="B173" t="str">
            <v>1107020768</v>
          </cell>
          <cell r="C173" t="str">
            <v>السيد</v>
          </cell>
          <cell r="D173" t="str">
            <v>Mohamad Rashed Mohamad Altamimi</v>
          </cell>
          <cell r="E173" t="str">
            <v>محمد راشد محمد التميمي</v>
          </cell>
          <cell r="F173" t="str">
            <v>Male</v>
          </cell>
          <cell r="G173" t="str">
            <v/>
          </cell>
          <cell r="H173">
            <v>36354</v>
          </cell>
          <cell r="I173">
            <v>27</v>
          </cell>
          <cell r="J173">
            <v>9836</v>
          </cell>
          <cell r="K173" t="str">
            <v>Mohamad.Altamimi@agriserv.sa</v>
          </cell>
          <cell r="L173" t="str">
            <v>0511525218</v>
          </cell>
          <cell r="M173" t="str">
            <v>6304</v>
          </cell>
          <cell r="N173" t="str">
            <v>المملكة العربية السعودية</v>
          </cell>
          <cell r="O173" t="str">
            <v>50000307</v>
          </cell>
          <cell r="P173" t="str">
            <v>أخصائي أول، عمليات التسويق</v>
          </cell>
          <cell r="Q173" t="str">
            <v>الدرجة ٥</v>
          </cell>
          <cell r="R173" t="str">
            <v/>
          </cell>
          <cell r="S173" t="str">
            <v/>
          </cell>
          <cell r="T173" t="str">
            <v/>
          </cell>
          <cell r="U173" t="str">
            <v>تسويق</v>
          </cell>
          <cell r="V173" t="str">
            <v>الخدمات التجارية</v>
          </cell>
          <cell r="W173" t="str">
            <v>Al Riyadh</v>
          </cell>
          <cell r="X173" t="str">
            <v xml:space="preserve">المقر الرئيسي </v>
          </cell>
          <cell r="Y173">
            <v>45998</v>
          </cell>
          <cell r="Z173">
            <v>0.53</v>
          </cell>
          <cell r="AA173">
            <v>192</v>
          </cell>
          <cell r="AB173" t="str">
            <v>نشط</v>
          </cell>
          <cell r="AC173" t="str">
            <v>100161</v>
          </cell>
          <cell r="AD173" t="str">
            <v>Jawaher Alhumaizi</v>
          </cell>
          <cell r="AE173" t="str">
            <v>موظف</v>
          </cell>
          <cell r="AF173" t="str">
            <v/>
          </cell>
          <cell r="AG173">
            <v>46362</v>
          </cell>
          <cell r="AH173" t="str">
            <v/>
          </cell>
          <cell r="AI173" t="str">
            <v/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 t="str">
            <v/>
          </cell>
          <cell r="AO173" t="str">
            <v>تسويق</v>
          </cell>
          <cell r="AP173" t="str">
            <v>Al Rajhi Bank</v>
          </cell>
          <cell r="AQ173" t="str">
            <v>SA8380000501608010575201</v>
          </cell>
          <cell r="AR173">
            <v>13625.23</v>
          </cell>
          <cell r="AS173">
            <v>13625.23</v>
          </cell>
          <cell r="AT173">
            <v>1362.5229999999999</v>
          </cell>
          <cell r="AU173">
            <v>3406.308</v>
          </cell>
          <cell r="AV173">
            <v>300</v>
          </cell>
        </row>
        <row r="174">
          <cell r="A174">
            <v>100188</v>
          </cell>
          <cell r="B174" t="str">
            <v>1027247459</v>
          </cell>
          <cell r="C174" t="str">
            <v>السيد</v>
          </cell>
          <cell r="D174" t="str">
            <v>Abdulmalik Sulaiman Mohammed Alrothea</v>
          </cell>
          <cell r="E174" t="str">
            <v>عبدالملك سليمان محمد الرثيع</v>
          </cell>
          <cell r="F174" t="str">
            <v>Male</v>
          </cell>
          <cell r="G174" t="str">
            <v/>
          </cell>
          <cell r="H174">
            <v>29790</v>
          </cell>
          <cell r="I174">
            <v>45</v>
          </cell>
          <cell r="J174">
            <v>16400</v>
          </cell>
          <cell r="K174" t="str">
            <v>Abdulmalik.Alrothea@agriserv.sa</v>
          </cell>
          <cell r="L174" t="str">
            <v>0504894559</v>
          </cell>
          <cell r="M174" t="str">
            <v>3200</v>
          </cell>
          <cell r="N174" t="str">
            <v>المملكة العربية السعودية</v>
          </cell>
          <cell r="O174" t="str">
            <v>50000604</v>
          </cell>
          <cell r="P174" t="str">
            <v>مدير عام الخدمات البيطرية</v>
          </cell>
          <cell r="Q174" t="str">
            <v>الدرجة 9</v>
          </cell>
          <cell r="R174" t="str">
            <v/>
          </cell>
          <cell r="S174" t="str">
            <v/>
          </cell>
          <cell r="T174" t="str">
            <v/>
          </cell>
          <cell r="U174" t="str">
            <v>الخدمات البيطرية</v>
          </cell>
          <cell r="V174" t="str">
            <v>العمليات</v>
          </cell>
          <cell r="W174" t="str">
            <v>Al Riyadh</v>
          </cell>
          <cell r="X174" t="str">
            <v xml:space="preserve">المقر الرئيسي </v>
          </cell>
          <cell r="Y174">
            <v>46023</v>
          </cell>
          <cell r="Z174">
            <v>0.46</v>
          </cell>
          <cell r="AA174">
            <v>167</v>
          </cell>
          <cell r="AB174" t="str">
            <v>نشط</v>
          </cell>
          <cell r="AC174" t="str">
            <v>400003</v>
          </cell>
          <cell r="AD174" t="str">
            <v>Ibrahim Bukhari</v>
          </cell>
          <cell r="AE174" t="str">
            <v>موظف</v>
          </cell>
          <cell r="AF174" t="str">
            <v/>
          </cell>
          <cell r="AG174">
            <v>46387</v>
          </cell>
          <cell r="AH174" t="str">
            <v/>
          </cell>
          <cell r="AI174" t="str">
            <v/>
          </cell>
          <cell r="AJ174">
            <v>4</v>
          </cell>
          <cell r="AK174">
            <v>3</v>
          </cell>
          <cell r="AL174">
            <v>1</v>
          </cell>
          <cell r="AM174">
            <v>0</v>
          </cell>
          <cell r="AN174">
            <v>3</v>
          </cell>
          <cell r="AO174" t="str">
            <v>الخدمات البيطرية</v>
          </cell>
          <cell r="AP174" t="str">
            <v>Al Rajhi Bank</v>
          </cell>
          <cell r="AQ174" t="str">
            <v>SA7880000280608010318815</v>
          </cell>
          <cell r="AR174">
            <v>37846.47</v>
          </cell>
          <cell r="AS174">
            <v>37846.47</v>
          </cell>
          <cell r="AT174">
            <v>3500</v>
          </cell>
          <cell r="AU174">
            <v>9461.6180000000004</v>
          </cell>
          <cell r="AV174">
            <v>800</v>
          </cell>
        </row>
        <row r="175">
          <cell r="A175">
            <v>100189</v>
          </cell>
          <cell r="B175" t="str">
            <v>1067642742</v>
          </cell>
          <cell r="C175" t="str">
            <v>السيد</v>
          </cell>
          <cell r="D175" t="str">
            <v>Abdullah Mohammed Abdulrahman Bin Nawman</v>
          </cell>
          <cell r="E175" t="str">
            <v>عبدالله محمد عبدالرحمن بن نومان</v>
          </cell>
          <cell r="F175" t="str">
            <v>Male</v>
          </cell>
          <cell r="G175" t="str">
            <v/>
          </cell>
          <cell r="H175">
            <v>33067</v>
          </cell>
          <cell r="I175">
            <v>36</v>
          </cell>
          <cell r="J175">
            <v>13123</v>
          </cell>
          <cell r="K175" t="str">
            <v>Abdullah.binnawman@agriserv.sa</v>
          </cell>
          <cell r="L175" t="str">
            <v>0535554544</v>
          </cell>
          <cell r="M175" t="str">
            <v>9200</v>
          </cell>
          <cell r="N175" t="str">
            <v>المملكة العربية السعودية</v>
          </cell>
          <cell r="O175" t="str">
            <v>50001336</v>
          </cell>
          <cell r="P175" t="str">
            <v>مدير عام، الحسابات</v>
          </cell>
          <cell r="Q175" t="str">
            <v>الدرجة 9</v>
          </cell>
          <cell r="R175" t="str">
            <v>Class VVIP</v>
          </cell>
          <cell r="S175" t="str">
            <v/>
          </cell>
          <cell r="T175" t="str">
            <v/>
          </cell>
          <cell r="U175" t="str">
            <v>الحسابات</v>
          </cell>
          <cell r="V175" t="str">
            <v>المالية</v>
          </cell>
          <cell r="W175" t="str">
            <v>Al Riyadh</v>
          </cell>
          <cell r="X175" t="str">
            <v xml:space="preserve">المقر الرئيسي </v>
          </cell>
          <cell r="Y175">
            <v>46026</v>
          </cell>
          <cell r="Z175">
            <v>0.45</v>
          </cell>
          <cell r="AA175">
            <v>164</v>
          </cell>
          <cell r="AB175" t="str">
            <v>نشط</v>
          </cell>
          <cell r="AC175" t="str">
            <v>100181</v>
          </cell>
          <cell r="AD175" t="str">
            <v>Mohammed Alsaab</v>
          </cell>
          <cell r="AE175" t="str">
            <v>موظف</v>
          </cell>
          <cell r="AF175" t="str">
            <v/>
          </cell>
          <cell r="AG175">
            <v>46390</v>
          </cell>
          <cell r="AH175" t="str">
            <v/>
          </cell>
          <cell r="AI175" t="str">
            <v/>
          </cell>
          <cell r="AJ175">
            <v>1</v>
          </cell>
          <cell r="AK175">
            <v>1</v>
          </cell>
          <cell r="AL175">
            <v>0</v>
          </cell>
          <cell r="AM175">
            <v>0</v>
          </cell>
          <cell r="AN175" t="str">
            <v/>
          </cell>
          <cell r="AO175" t="str">
            <v>الحسابات</v>
          </cell>
          <cell r="AP175" t="str">
            <v>Saudi National Bank</v>
          </cell>
          <cell r="AQ175" t="str">
            <v>SA3910000024900000205505</v>
          </cell>
          <cell r="AR175">
            <v>63182.14</v>
          </cell>
          <cell r="AS175">
            <v>63182.14</v>
          </cell>
          <cell r="AT175">
            <v>3500</v>
          </cell>
          <cell r="AU175">
            <v>15795.535</v>
          </cell>
          <cell r="AV175">
            <v>800</v>
          </cell>
        </row>
        <row r="176">
          <cell r="A176">
            <v>100190</v>
          </cell>
          <cell r="B176" t="str">
            <v>1019805108</v>
          </cell>
          <cell r="C176" t="str">
            <v>السيد</v>
          </cell>
          <cell r="D176" t="str">
            <v>Mohammed Ahmed Mohammed Jelli</v>
          </cell>
          <cell r="E176" t="str">
            <v>محمد احمد محمد جلي</v>
          </cell>
          <cell r="F176" t="str">
            <v>Male</v>
          </cell>
          <cell r="G176" t="str">
            <v/>
          </cell>
          <cell r="H176">
            <v>30676</v>
          </cell>
          <cell r="I176">
            <v>42</v>
          </cell>
          <cell r="J176">
            <v>15514</v>
          </cell>
          <cell r="K176" t="str">
            <v>mohammed.jelli@agriserv.sa</v>
          </cell>
          <cell r="L176" t="str">
            <v>0503840157</v>
          </cell>
          <cell r="M176" t="str">
            <v>5501</v>
          </cell>
          <cell r="N176" t="str">
            <v>المملكة العربية السعودية</v>
          </cell>
          <cell r="O176" t="str">
            <v>50000440</v>
          </cell>
          <cell r="P176" t="str">
            <v>مدير، دعم العملاء</v>
          </cell>
          <cell r="Q176" t="str">
            <v>الدرجة 6</v>
          </cell>
          <cell r="R176" t="str">
            <v/>
          </cell>
          <cell r="S176" t="str">
            <v/>
          </cell>
          <cell r="T176" t="str">
            <v/>
          </cell>
          <cell r="U176" t="str">
            <v>خدمة العملاء</v>
          </cell>
          <cell r="V176" t="str">
            <v>الفروع</v>
          </cell>
          <cell r="W176" t="str">
            <v>Al Riyadh</v>
          </cell>
          <cell r="X176" t="str">
            <v xml:space="preserve">المقر الرئيسي </v>
          </cell>
          <cell r="Y176">
            <v>46040</v>
          </cell>
          <cell r="Z176">
            <v>0.41</v>
          </cell>
          <cell r="AA176">
            <v>150</v>
          </cell>
          <cell r="AB176" t="str">
            <v>نشط</v>
          </cell>
          <cell r="AC176" t="str">
            <v>100071</v>
          </cell>
          <cell r="AD176" t="str">
            <v>ABDULRAHMAN ALJUNAYDIL</v>
          </cell>
          <cell r="AE176" t="str">
            <v>موظف</v>
          </cell>
          <cell r="AF176" t="str">
            <v/>
          </cell>
          <cell r="AG176" t="str">
            <v/>
          </cell>
          <cell r="AH176" t="str">
            <v/>
          </cell>
          <cell r="AI176" t="str">
            <v/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 t="str">
            <v/>
          </cell>
          <cell r="AO176" t="str">
            <v>خدمة العملاء</v>
          </cell>
          <cell r="AP176" t="str">
            <v>Saudi Awwal Bank</v>
          </cell>
          <cell r="AQ176" t="str">
            <v>SA4845000000834006652001</v>
          </cell>
          <cell r="AR176">
            <v>14748.38</v>
          </cell>
          <cell r="AS176">
            <v>14748.38</v>
          </cell>
          <cell r="AT176">
            <v>1474.838</v>
          </cell>
          <cell r="AU176">
            <v>3687.0949999999998</v>
          </cell>
          <cell r="AV176">
            <v>500</v>
          </cell>
        </row>
        <row r="177">
          <cell r="A177">
            <v>100191</v>
          </cell>
          <cell r="B177" t="str">
            <v>1041338243</v>
          </cell>
          <cell r="C177" t="str">
            <v>السيد</v>
          </cell>
          <cell r="D177" t="str">
            <v>Nemer Mohammed Abdullah Alshebel</v>
          </cell>
          <cell r="E177" t="str">
            <v>نمر محمد عبدالله الشبل</v>
          </cell>
          <cell r="F177" t="str">
            <v>Male</v>
          </cell>
          <cell r="G177" t="str">
            <v/>
          </cell>
          <cell r="H177">
            <v>26521</v>
          </cell>
          <cell r="I177">
            <v>54</v>
          </cell>
          <cell r="J177">
            <v>19669</v>
          </cell>
          <cell r="K177" t="str">
            <v>ceo@agriserv.sa</v>
          </cell>
          <cell r="L177" t="str">
            <v>0554118330</v>
          </cell>
          <cell r="M177" t="str">
            <v/>
          </cell>
          <cell r="N177" t="str">
            <v>المملكة العربية السعودية</v>
          </cell>
          <cell r="O177" t="str">
            <v>50000906</v>
          </cell>
          <cell r="P177" t="str">
            <v>الرئيس التنفيذي</v>
          </cell>
          <cell r="Q177" t="str">
            <v>غير مقييم</v>
          </cell>
          <cell r="R177" t="str">
            <v/>
          </cell>
          <cell r="S177" t="str">
            <v/>
          </cell>
          <cell r="T177" t="str">
            <v/>
          </cell>
          <cell r="U177" t="str">
            <v/>
          </cell>
          <cell r="V177" t="str">
            <v>مكتب الرئيس التنفيذي</v>
          </cell>
          <cell r="W177" t="str">
            <v>Al Riyadh</v>
          </cell>
          <cell r="X177" t="str">
            <v xml:space="preserve">المقر الرئيسي </v>
          </cell>
          <cell r="Y177">
            <v>46082</v>
          </cell>
          <cell r="Z177">
            <v>0.3</v>
          </cell>
          <cell r="AA177">
            <v>108</v>
          </cell>
          <cell r="AB177" t="str">
            <v>نشط</v>
          </cell>
          <cell r="AC177" t="str">
            <v/>
          </cell>
          <cell r="AD177" t="str">
            <v xml:space="preserve"> </v>
          </cell>
          <cell r="AE177" t="str">
            <v>موظف</v>
          </cell>
          <cell r="AF177" t="str">
            <v/>
          </cell>
          <cell r="AG177" t="str">
            <v/>
          </cell>
          <cell r="AH177" t="str">
            <v/>
          </cell>
          <cell r="AI177" t="str">
            <v/>
          </cell>
          <cell r="AJ177">
            <v>1</v>
          </cell>
          <cell r="AK177">
            <v>1</v>
          </cell>
          <cell r="AL177">
            <v>0</v>
          </cell>
          <cell r="AM177">
            <v>0</v>
          </cell>
          <cell r="AN177">
            <v>1</v>
          </cell>
          <cell r="AO177" t="str">
            <v>عام</v>
          </cell>
          <cell r="AP177" t="str">
            <v>Riyad Bank</v>
          </cell>
          <cell r="AQ177" t="str">
            <v>SA5220000002230513579906</v>
          </cell>
          <cell r="AR177">
            <v>164560</v>
          </cell>
          <cell r="AS177">
            <v>164560</v>
          </cell>
          <cell r="AT177">
            <v>3500</v>
          </cell>
          <cell r="AU177">
            <v>41140</v>
          </cell>
          <cell r="AV177">
            <v>800</v>
          </cell>
        </row>
        <row r="178">
          <cell r="A178">
            <v>100192</v>
          </cell>
          <cell r="B178" t="str">
            <v>1004744742</v>
          </cell>
          <cell r="C178" t="str">
            <v>الآنسة</v>
          </cell>
          <cell r="D178" t="str">
            <v>Nada Abduljabbar Othman Almuqait</v>
          </cell>
          <cell r="E178" t="str">
            <v>ندى عبدالجبار عثمان المقيط</v>
          </cell>
          <cell r="F178" t="str">
            <v>Female</v>
          </cell>
          <cell r="G178" t="str">
            <v/>
          </cell>
          <cell r="H178">
            <v>30472</v>
          </cell>
          <cell r="I178">
            <v>43</v>
          </cell>
          <cell r="J178">
            <v>15718</v>
          </cell>
          <cell r="K178" t="str">
            <v>Nada.Almuqait@agriserv.sa</v>
          </cell>
          <cell r="L178" t="str">
            <v>0554192182</v>
          </cell>
          <cell r="M178" t="str">
            <v/>
          </cell>
          <cell r="N178" t="str">
            <v>المملكة العربية السعودية</v>
          </cell>
          <cell r="O178" t="str">
            <v>50001553</v>
          </cell>
          <cell r="P178" t="str">
            <v>سكرتير التنفيذي</v>
          </cell>
          <cell r="Q178" t="str">
            <v>الدرجة ٥</v>
          </cell>
          <cell r="R178" t="str">
            <v/>
          </cell>
          <cell r="S178" t="str">
            <v/>
          </cell>
          <cell r="T178" t="str">
            <v/>
          </cell>
          <cell r="U178" t="str">
            <v/>
          </cell>
          <cell r="V178" t="str">
            <v>الخدمات التجارية</v>
          </cell>
          <cell r="W178" t="str">
            <v>Al Riyadh</v>
          </cell>
          <cell r="X178" t="str">
            <v xml:space="preserve">المقر الرئيسي </v>
          </cell>
          <cell r="Y178">
            <v>46117</v>
          </cell>
          <cell r="Z178">
            <v>0.2</v>
          </cell>
          <cell r="AA178">
            <v>73</v>
          </cell>
          <cell r="AB178" t="str">
            <v>نشط</v>
          </cell>
          <cell r="AC178" t="str">
            <v>100154</v>
          </cell>
          <cell r="AD178" t="str">
            <v>Turki Alkhalaif</v>
          </cell>
          <cell r="AE178" t="str">
            <v>موظف</v>
          </cell>
          <cell r="AF178" t="str">
            <v/>
          </cell>
          <cell r="AG178" t="str">
            <v/>
          </cell>
          <cell r="AH178" t="str">
            <v/>
          </cell>
          <cell r="AI178" t="str">
            <v/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 t="str">
            <v/>
          </cell>
          <cell r="AO178" t="str">
            <v>عام</v>
          </cell>
          <cell r="AP178" t="str">
            <v>Arab National Bank</v>
          </cell>
          <cell r="AQ178" t="str">
            <v>SA2230400108056683880010</v>
          </cell>
          <cell r="AR178">
            <v>14237.04</v>
          </cell>
          <cell r="AS178">
            <v>14237.04</v>
          </cell>
          <cell r="AT178">
            <v>1423.704</v>
          </cell>
          <cell r="AU178">
            <v>3559.26</v>
          </cell>
          <cell r="AV178">
            <v>300</v>
          </cell>
        </row>
        <row r="179">
          <cell r="A179">
            <v>100193</v>
          </cell>
          <cell r="B179" t="str">
            <v>1063972341</v>
          </cell>
          <cell r="C179" t="str">
            <v>السيد</v>
          </cell>
          <cell r="D179" t="str">
            <v>Abdullah Tami Abdulwahab Almathami</v>
          </cell>
          <cell r="E179" t="str">
            <v>عبدالله  طامي عبدالوهاب المتحمي</v>
          </cell>
          <cell r="F179" t="str">
            <v>Male</v>
          </cell>
          <cell r="G179" t="str">
            <v/>
          </cell>
          <cell r="H179">
            <v>32806</v>
          </cell>
          <cell r="I179">
            <v>37</v>
          </cell>
          <cell r="J179">
            <v>13384</v>
          </cell>
          <cell r="K179" t="str">
            <v>Abdullah.Almathami@agriserv.sa</v>
          </cell>
          <cell r="L179" t="str">
            <v>0532651070</v>
          </cell>
          <cell r="M179" t="str">
            <v/>
          </cell>
          <cell r="N179" t="str">
            <v>المملكة العربية السعودية</v>
          </cell>
          <cell r="O179" t="str">
            <v>50001571</v>
          </cell>
          <cell r="P179" t="str">
            <v>أخصائي، العلاقات الحكومية والمستثمرين</v>
          </cell>
          <cell r="Q179" t="str">
            <v>الدرجة 4</v>
          </cell>
          <cell r="R179" t="str">
            <v/>
          </cell>
          <cell r="S179" t="str">
            <v/>
          </cell>
          <cell r="T179" t="str">
            <v/>
          </cell>
          <cell r="U179" t="str">
            <v>الأصول والاستثمار</v>
          </cell>
          <cell r="V179" t="str">
            <v>الخدمات التجارية</v>
          </cell>
          <cell r="W179" t="str">
            <v>Head Quarter</v>
          </cell>
          <cell r="X179" t="str">
            <v xml:space="preserve">المقر الرئيسي </v>
          </cell>
          <cell r="Y179">
            <v>46175</v>
          </cell>
          <cell r="Z179">
            <v>0.04</v>
          </cell>
          <cell r="AA179">
            <v>15</v>
          </cell>
          <cell r="AB179" t="str">
            <v>نشط</v>
          </cell>
          <cell r="AC179" t="str">
            <v>100185</v>
          </cell>
          <cell r="AD179" t="str">
            <v>Marwan Alshaded</v>
          </cell>
          <cell r="AE179" t="str">
            <v>موظف</v>
          </cell>
          <cell r="AF179" t="str">
            <v/>
          </cell>
          <cell r="AG179">
            <v>46539</v>
          </cell>
          <cell r="AH179" t="str">
            <v/>
          </cell>
          <cell r="AI179" t="str">
            <v/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 t="str">
            <v/>
          </cell>
          <cell r="AO179" t="str">
            <v>Business Development &amp; Commercial Invest</v>
          </cell>
          <cell r="AP179" t="str">
            <v>Al Rajhi Bank</v>
          </cell>
          <cell r="AQ179" t="str">
            <v>SA0580000461608010095836</v>
          </cell>
          <cell r="AR179">
            <v>9036.5300000000007</v>
          </cell>
          <cell r="AS179">
            <v>9036.5300000000007</v>
          </cell>
          <cell r="AT179">
            <v>903.65300000000002</v>
          </cell>
          <cell r="AU179">
            <v>2259.1320000000001</v>
          </cell>
          <cell r="AV179">
            <v>300</v>
          </cell>
        </row>
        <row r="180">
          <cell r="A180">
            <v>100194</v>
          </cell>
          <cell r="B180" t="str">
            <v>1072876459</v>
          </cell>
          <cell r="C180" t="str">
            <v>السيد</v>
          </cell>
          <cell r="D180" t="str">
            <v>Abdullah Saleh Alqahtani</v>
          </cell>
          <cell r="E180" t="str">
            <v>عبدالله صالح محمد القحطاني</v>
          </cell>
          <cell r="F180" t="str">
            <v>Male</v>
          </cell>
          <cell r="G180" t="str">
            <v/>
          </cell>
          <cell r="H180">
            <v>32993</v>
          </cell>
          <cell r="I180">
            <v>36</v>
          </cell>
          <cell r="J180">
            <v>13197</v>
          </cell>
          <cell r="K180" t="str">
            <v>Abdullah.Alqahtani@agrisev.sa</v>
          </cell>
          <cell r="L180" t="str">
            <v>0591111245</v>
          </cell>
          <cell r="M180" t="str">
            <v/>
          </cell>
          <cell r="N180" t="str">
            <v>المملكة العربية السعودية</v>
          </cell>
          <cell r="O180" t="str">
            <v>50000667</v>
          </cell>
          <cell r="P180" t="str">
            <v>مدير ادارة، التخطيط الاستراتيجي</v>
          </cell>
          <cell r="Q180" t="str">
            <v>8 الدرجة</v>
          </cell>
          <cell r="R180" t="str">
            <v/>
          </cell>
          <cell r="S180" t="str">
            <v/>
          </cell>
          <cell r="T180" t="str">
            <v/>
          </cell>
          <cell r="U180" t="str">
            <v>الاستراتجية</v>
          </cell>
          <cell r="V180" t="str">
            <v>التخطيط والاستراتجية</v>
          </cell>
          <cell r="W180" t="str">
            <v>Al Riyadh</v>
          </cell>
          <cell r="X180" t="str">
            <v xml:space="preserve">المقر الرئيسي </v>
          </cell>
          <cell r="Y180">
            <v>46182</v>
          </cell>
          <cell r="Z180">
            <v>0.02</v>
          </cell>
          <cell r="AA180">
            <v>8</v>
          </cell>
          <cell r="AB180" t="str">
            <v>نشط</v>
          </cell>
          <cell r="AC180" t="str">
            <v>100043</v>
          </cell>
          <cell r="AD180" t="str">
            <v>Raed Alluhaidan</v>
          </cell>
          <cell r="AE180" t="str">
            <v>موظف</v>
          </cell>
          <cell r="AF180" t="str">
            <v/>
          </cell>
          <cell r="AG180" t="str">
            <v/>
          </cell>
          <cell r="AH180" t="str">
            <v/>
          </cell>
          <cell r="AI180" t="str">
            <v/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 t="str">
            <v/>
          </cell>
          <cell r="AO180" t="str">
            <v>Strategy and Policy</v>
          </cell>
          <cell r="AP180" t="str">
            <v>Saudi Awwal Bank</v>
          </cell>
          <cell r="AQ180" t="str">
            <v>SA3945000000825138704001</v>
          </cell>
          <cell r="AR180">
            <v>46657.34</v>
          </cell>
          <cell r="AS180">
            <v>46657.34</v>
          </cell>
          <cell r="AT180">
            <v>3000</v>
          </cell>
          <cell r="AU180">
            <v>11664.334999999999</v>
          </cell>
          <cell r="AV180">
            <v>500</v>
          </cell>
        </row>
        <row r="181">
          <cell r="A181">
            <v>400000</v>
          </cell>
          <cell r="B181" t="str">
            <v>1088073190</v>
          </cell>
          <cell r="C181" t="str">
            <v>السيد</v>
          </cell>
          <cell r="D181" t="str">
            <v>Youssef Abdulatif Yusuf Aldoulh</v>
          </cell>
          <cell r="E181" t="str">
            <v>يوسف عبداللطيف يوسف الدوله</v>
          </cell>
          <cell r="F181" t="str">
            <v>Male</v>
          </cell>
          <cell r="G181" t="str">
            <v>أعزب</v>
          </cell>
          <cell r="H181">
            <v>36557</v>
          </cell>
          <cell r="I181">
            <v>26</v>
          </cell>
          <cell r="J181">
            <v>9633</v>
          </cell>
          <cell r="K181" t="str">
            <v>YALDOULH@agriserv.com.sa</v>
          </cell>
          <cell r="L181" t="str">
            <v>0505301005</v>
          </cell>
          <cell r="M181" t="str">
            <v/>
          </cell>
          <cell r="N181" t="str">
            <v>المملكة العربية السعودية</v>
          </cell>
          <cell r="O181" t="str">
            <v>50000912</v>
          </cell>
          <cell r="P181" t="str">
            <v>أخصائي ترخيص المشاريع الحيوانية</v>
          </cell>
          <cell r="Q181" t="str">
            <v>الدرجة ٥</v>
          </cell>
          <cell r="R181" t="str">
            <v/>
          </cell>
          <cell r="S181" t="str">
            <v/>
          </cell>
          <cell r="T181" t="str">
            <v/>
          </cell>
          <cell r="U181" t="str">
            <v>الشهادات</v>
          </cell>
          <cell r="V181" t="str">
            <v>التراخيص</v>
          </cell>
          <cell r="W181" t="str">
            <v>Al Riyadh</v>
          </cell>
          <cell r="X181" t="str">
            <v xml:space="preserve">الفرع </v>
          </cell>
          <cell r="Y181">
            <v>44592</v>
          </cell>
          <cell r="Z181">
            <v>4.38</v>
          </cell>
          <cell r="AA181">
            <v>1598</v>
          </cell>
          <cell r="AB181" t="str">
            <v>غير نشط</v>
          </cell>
          <cell r="AC181" t="str">
            <v/>
          </cell>
          <cell r="AD181" t="str">
            <v xml:space="preserve"> </v>
          </cell>
          <cell r="AE181" t="str">
            <v>إعارة</v>
          </cell>
          <cell r="AF181">
            <v>45178</v>
          </cell>
          <cell r="AG181" t="str">
            <v/>
          </cell>
          <cell r="AH181" t="str">
            <v/>
          </cell>
          <cell r="AI181" t="str">
            <v/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 t="str">
            <v/>
          </cell>
          <cell r="AO181" t="str">
            <v>Vet Occupational &amp; Bus Licenses</v>
          </cell>
          <cell r="AP181" t="str">
            <v>Saudi National Bank</v>
          </cell>
          <cell r="AQ181" t="str">
            <v>SA9110000011100197369108</v>
          </cell>
          <cell r="AR181">
            <v>8470</v>
          </cell>
          <cell r="AS181" t="str">
            <v/>
          </cell>
          <cell r="AT181">
            <v>147</v>
          </cell>
          <cell r="AU181">
            <v>2117.5</v>
          </cell>
          <cell r="AV181" t="str">
            <v/>
          </cell>
        </row>
        <row r="182">
          <cell r="A182">
            <v>400001</v>
          </cell>
          <cell r="B182" t="str">
            <v/>
          </cell>
          <cell r="C182" t="str">
            <v>السيد</v>
          </cell>
          <cell r="D182" t="str">
            <v>Abdullah Ghannam Mohammed Alotaibi</v>
          </cell>
          <cell r="E182" t="str">
            <v>عبدالله غنام محمد العتيبي</v>
          </cell>
          <cell r="F182" t="str">
            <v>Male</v>
          </cell>
          <cell r="G182" t="str">
            <v>أعزب</v>
          </cell>
          <cell r="H182">
            <v>34150</v>
          </cell>
          <cell r="I182">
            <v>33</v>
          </cell>
          <cell r="J182">
            <v>12040</v>
          </cell>
          <cell r="K182" t="str">
            <v>Abdullah.AlOtaibi@agriserv.sa</v>
          </cell>
          <cell r="L182" t="str">
            <v>0550900809</v>
          </cell>
          <cell r="M182" t="str">
            <v/>
          </cell>
          <cell r="N182" t="str">
            <v>المملكة العربية السعودية</v>
          </cell>
          <cell r="O182" t="str">
            <v>50000001</v>
          </cell>
          <cell r="P182" t="str">
            <v>مدير تنفيذي , الشهادات</v>
          </cell>
          <cell r="Q182" t="str">
            <v>8 الدرجة</v>
          </cell>
          <cell r="R182" t="str">
            <v>Class A</v>
          </cell>
          <cell r="S182" t="str">
            <v/>
          </cell>
          <cell r="T182" t="str">
            <v/>
          </cell>
          <cell r="U182" t="str">
            <v>الشهادات</v>
          </cell>
          <cell r="V182" t="str">
            <v>التراخيص</v>
          </cell>
          <cell r="W182" t="str">
            <v>Al Riyadh</v>
          </cell>
          <cell r="X182" t="str">
            <v xml:space="preserve">المقر الرئيسي </v>
          </cell>
          <cell r="Y182">
            <v>44592</v>
          </cell>
          <cell r="Z182">
            <v>4.38</v>
          </cell>
          <cell r="AA182">
            <v>1598</v>
          </cell>
          <cell r="AB182" t="str">
            <v>غير نشط</v>
          </cell>
          <cell r="AC182" t="str">
            <v>100053</v>
          </cell>
          <cell r="AD182" t="str">
            <v>Hamad Alarifi</v>
          </cell>
          <cell r="AE182" t="str">
            <v>إعارة</v>
          </cell>
          <cell r="AF182">
            <v>45504</v>
          </cell>
          <cell r="AG182" t="str">
            <v/>
          </cell>
          <cell r="AH182" t="str">
            <v>الثروة الحيوانية</v>
          </cell>
          <cell r="AI182" t="str">
            <v>بكالوريوس</v>
          </cell>
          <cell r="AJ182">
            <v>2</v>
          </cell>
          <cell r="AK182">
            <v>0</v>
          </cell>
          <cell r="AL182">
            <v>0</v>
          </cell>
          <cell r="AM182">
            <v>2</v>
          </cell>
          <cell r="AN182" t="str">
            <v/>
          </cell>
          <cell r="AO182" t="str">
            <v>Vet Occupational &amp; Bus Licenses</v>
          </cell>
          <cell r="AP182" t="str">
            <v>Banque Saudi Fransi</v>
          </cell>
          <cell r="AQ182" t="str">
            <v>SA82550000000L3781100196</v>
          </cell>
          <cell r="AR182">
            <v>9184</v>
          </cell>
          <cell r="AS182" t="str">
            <v/>
          </cell>
          <cell r="AT182">
            <v>418.4</v>
          </cell>
          <cell r="AU182">
            <v>2296</v>
          </cell>
          <cell r="AV182" t="str">
            <v/>
          </cell>
        </row>
        <row r="183">
          <cell r="A183">
            <v>400002</v>
          </cell>
          <cell r="B183" t="str">
            <v/>
          </cell>
          <cell r="C183" t="str">
            <v>السيد</v>
          </cell>
          <cell r="D183" t="str">
            <v>Abdulaziz Mohammed Nafel Alkhamshi</v>
          </cell>
          <cell r="E183" t="str">
            <v>عبدالعزيز محمد نافل الخميشي</v>
          </cell>
          <cell r="F183" t="str">
            <v>Male</v>
          </cell>
          <cell r="G183" t="str">
            <v>متزوج</v>
          </cell>
          <cell r="H183">
            <v>31842</v>
          </cell>
          <cell r="I183">
            <v>39</v>
          </cell>
          <cell r="J183">
            <v>14348</v>
          </cell>
          <cell r="K183" t="str">
            <v/>
          </cell>
          <cell r="L183" t="str">
            <v>0555441354</v>
          </cell>
          <cell r="M183" t="str">
            <v/>
          </cell>
          <cell r="N183" t="str">
            <v>المملكة العربية السعودية</v>
          </cell>
          <cell r="O183" t="str">
            <v>50000009</v>
          </cell>
          <cell r="P183" t="str">
            <v>مدير تنفيذي التراخيص</v>
          </cell>
          <cell r="Q183" t="str">
            <v>الدرجة 7</v>
          </cell>
          <cell r="R183" t="str">
            <v>Class A</v>
          </cell>
          <cell r="S183" t="str">
            <v/>
          </cell>
          <cell r="T183" t="str">
            <v/>
          </cell>
          <cell r="U183" t="str">
            <v>التراخيص</v>
          </cell>
          <cell r="V183" t="str">
            <v>التراخيص</v>
          </cell>
          <cell r="W183" t="str">
            <v>Al Riyadh</v>
          </cell>
          <cell r="X183" t="str">
            <v xml:space="preserve">الفرع </v>
          </cell>
          <cell r="Y183">
            <v>44592</v>
          </cell>
          <cell r="Z183">
            <v>4.38</v>
          </cell>
          <cell r="AA183">
            <v>1598</v>
          </cell>
          <cell r="AB183" t="str">
            <v>غير نشط</v>
          </cell>
          <cell r="AC183" t="str">
            <v>100053</v>
          </cell>
          <cell r="AD183" t="str">
            <v>Hamad Alarifi</v>
          </cell>
          <cell r="AE183" t="str">
            <v>إعارة</v>
          </cell>
          <cell r="AF183">
            <v>45504</v>
          </cell>
          <cell r="AG183" t="str">
            <v/>
          </cell>
          <cell r="AH183" t="str">
            <v>النظم الحيوية</v>
          </cell>
          <cell r="AI183" t="str">
            <v>بكالوريوس</v>
          </cell>
          <cell r="AJ183">
            <v>7</v>
          </cell>
          <cell r="AK183">
            <v>4</v>
          </cell>
          <cell r="AL183">
            <v>1</v>
          </cell>
          <cell r="AM183">
            <v>2</v>
          </cell>
          <cell r="AN183" t="str">
            <v/>
          </cell>
          <cell r="AO183" t="str">
            <v>Agri. Occupational &amp; Bus Licenses</v>
          </cell>
          <cell r="AP183" t="str">
            <v>Banque Saudi Fransi</v>
          </cell>
          <cell r="AQ183" t="str">
            <v>SA82550000000K9214800170</v>
          </cell>
          <cell r="AR183">
            <v>10915</v>
          </cell>
          <cell r="AS183" t="str">
            <v/>
          </cell>
          <cell r="AT183">
            <v>391.5</v>
          </cell>
          <cell r="AU183">
            <v>2728.75</v>
          </cell>
          <cell r="AV183" t="str">
            <v/>
          </cell>
        </row>
        <row r="184">
          <cell r="A184">
            <v>400003</v>
          </cell>
          <cell r="B184" t="str">
            <v>1001574928</v>
          </cell>
          <cell r="C184" t="str">
            <v>السيد</v>
          </cell>
          <cell r="D184" t="str">
            <v>Ibrahim Ahmed Qassem Bukhari</v>
          </cell>
          <cell r="E184" t="str">
            <v>إبراهيم أحمد قاسم بخاري</v>
          </cell>
          <cell r="F184" t="str">
            <v>Male</v>
          </cell>
          <cell r="G184" t="str">
            <v>متزوج</v>
          </cell>
          <cell r="H184">
            <v>28263</v>
          </cell>
          <cell r="I184">
            <v>49</v>
          </cell>
          <cell r="J184">
            <v>17927</v>
          </cell>
          <cell r="K184" t="str">
            <v>I.qasim@agriserv.sa</v>
          </cell>
          <cell r="L184" t="str">
            <v>0556337336</v>
          </cell>
          <cell r="M184" t="str">
            <v>3000</v>
          </cell>
          <cell r="N184" t="str">
            <v>المملكة العربية السعودية</v>
          </cell>
          <cell r="O184" t="str">
            <v>50000603</v>
          </cell>
          <cell r="P184" t="str">
            <v>مساعد الرئيس للعمليات</v>
          </cell>
          <cell r="Q184" t="str">
            <v>الدرجة 10</v>
          </cell>
          <cell r="R184" t="str">
            <v>Class VVIP</v>
          </cell>
          <cell r="S184" t="str">
            <v/>
          </cell>
          <cell r="T184" t="str">
            <v/>
          </cell>
          <cell r="U184" t="str">
            <v>العمليات</v>
          </cell>
          <cell r="V184" t="str">
            <v>العمليات</v>
          </cell>
          <cell r="W184" t="str">
            <v>Head Quarter</v>
          </cell>
          <cell r="X184" t="str">
            <v xml:space="preserve">المقر الرئيسي </v>
          </cell>
          <cell r="Y184">
            <v>44592</v>
          </cell>
          <cell r="Z184">
            <v>4.38</v>
          </cell>
          <cell r="AA184">
            <v>1598</v>
          </cell>
          <cell r="AB184" t="str">
            <v>نشط</v>
          </cell>
          <cell r="AC184" t="str">
            <v>100191</v>
          </cell>
          <cell r="AD184" t="str">
            <v>Nemer Alshebel</v>
          </cell>
          <cell r="AE184" t="str">
            <v>إعارة</v>
          </cell>
          <cell r="AF184" t="str">
            <v/>
          </cell>
          <cell r="AG184" t="str">
            <v/>
          </cell>
          <cell r="AH184" t="str">
            <v>طب بيطري</v>
          </cell>
          <cell r="AI184" t="str">
            <v>بكالوريوس</v>
          </cell>
          <cell r="AJ184">
            <v>6</v>
          </cell>
          <cell r="AK184">
            <v>3</v>
          </cell>
          <cell r="AL184">
            <v>1</v>
          </cell>
          <cell r="AM184">
            <v>2</v>
          </cell>
          <cell r="AN184" t="str">
            <v/>
          </cell>
          <cell r="AO184" t="str">
            <v>عام</v>
          </cell>
          <cell r="AP184" t="str">
            <v>Al Rajhi Bank</v>
          </cell>
          <cell r="AQ184" t="str">
            <v>SA1680000419608010079114</v>
          </cell>
          <cell r="AR184">
            <v>74360</v>
          </cell>
          <cell r="AS184">
            <v>74360</v>
          </cell>
          <cell r="AT184">
            <v>3500</v>
          </cell>
          <cell r="AU184">
            <v>18590</v>
          </cell>
          <cell r="AV184">
            <v>800</v>
          </cell>
        </row>
        <row r="185">
          <cell r="A185">
            <v>400004</v>
          </cell>
          <cell r="B185" t="str">
            <v>1016764365</v>
          </cell>
          <cell r="C185" t="str">
            <v>السيد</v>
          </cell>
          <cell r="D185" t="str">
            <v>Ahmed Abdrpsalem Ali Aladhab</v>
          </cell>
          <cell r="E185" t="str">
            <v>احمد عبد رب علي العضب</v>
          </cell>
          <cell r="F185" t="str">
            <v>Male</v>
          </cell>
          <cell r="G185" t="str">
            <v>متزوج</v>
          </cell>
          <cell r="H185">
            <v>31411</v>
          </cell>
          <cell r="I185">
            <v>40</v>
          </cell>
          <cell r="J185">
            <v>14779</v>
          </cell>
          <cell r="K185" t="str">
            <v>Ahmed.Aladhab@agriserv.sa</v>
          </cell>
          <cell r="L185" t="str">
            <v>0594611112</v>
          </cell>
          <cell r="M185" t="str">
            <v/>
          </cell>
          <cell r="N185" t="str">
            <v>المملكة العربية السعودية</v>
          </cell>
          <cell r="O185" t="str">
            <v>50000036</v>
          </cell>
          <cell r="P185" t="str">
            <v>مدير التراخيص</v>
          </cell>
          <cell r="Q185" t="str">
            <v>الدرجة 7</v>
          </cell>
          <cell r="R185" t="str">
            <v>Class A</v>
          </cell>
          <cell r="S185" t="str">
            <v/>
          </cell>
          <cell r="T185" t="str">
            <v/>
          </cell>
          <cell r="U185" t="str">
            <v>الشهادات</v>
          </cell>
          <cell r="V185" t="str">
            <v>التراخيص</v>
          </cell>
          <cell r="W185" t="str">
            <v>Al Riyadh</v>
          </cell>
          <cell r="X185" t="str">
            <v xml:space="preserve">المقر الرئيسي </v>
          </cell>
          <cell r="Y185">
            <v>44592</v>
          </cell>
          <cell r="Z185">
            <v>4.38</v>
          </cell>
          <cell r="AA185">
            <v>1598</v>
          </cell>
          <cell r="AB185" t="str">
            <v>غير نشط</v>
          </cell>
          <cell r="AC185" t="str">
            <v>100127</v>
          </cell>
          <cell r="AD185" t="str">
            <v>Abdullah Alotaibi</v>
          </cell>
          <cell r="AE185" t="str">
            <v>إعارة</v>
          </cell>
          <cell r="AF185">
            <v>45582</v>
          </cell>
          <cell r="AG185" t="str">
            <v/>
          </cell>
          <cell r="AH185" t="str">
            <v>طب بيطري</v>
          </cell>
          <cell r="AI185" t="str">
            <v>بكالوريوس</v>
          </cell>
          <cell r="AJ185">
            <v>4</v>
          </cell>
          <cell r="AK185">
            <v>2</v>
          </cell>
          <cell r="AL185">
            <v>1</v>
          </cell>
          <cell r="AM185">
            <v>1</v>
          </cell>
          <cell r="AN185" t="str">
            <v/>
          </cell>
          <cell r="AO185" t="str">
            <v>Licensing Department</v>
          </cell>
          <cell r="AP185" t="str">
            <v>Al Rajhi Bank</v>
          </cell>
          <cell r="AQ185" t="str">
            <v>SA2280000634608010033433</v>
          </cell>
          <cell r="AR185">
            <v>9097</v>
          </cell>
          <cell r="AS185" t="str">
            <v/>
          </cell>
          <cell r="AT185">
            <v>409.7</v>
          </cell>
          <cell r="AU185">
            <v>2274.25</v>
          </cell>
          <cell r="AV185" t="str">
            <v/>
          </cell>
        </row>
        <row r="186">
          <cell r="A186">
            <v>400005</v>
          </cell>
          <cell r="B186" t="str">
            <v>1025432251</v>
          </cell>
          <cell r="C186" t="str">
            <v>السيد</v>
          </cell>
          <cell r="D186" t="str">
            <v>Mohammed al-Yousef</v>
          </cell>
          <cell r="E186" t="str">
            <v>محمد حسين  اليوسف</v>
          </cell>
          <cell r="F186" t="str">
            <v>Male</v>
          </cell>
          <cell r="G186" t="str">
            <v>أعزب</v>
          </cell>
          <cell r="H186">
            <v>36526</v>
          </cell>
          <cell r="I186">
            <v>26</v>
          </cell>
          <cell r="J186">
            <v>9664</v>
          </cell>
          <cell r="K186" t="str">
            <v>E16977@agriserv.com.sa</v>
          </cell>
          <cell r="L186" t="str">
            <v>0565000654</v>
          </cell>
          <cell r="M186" t="str">
            <v/>
          </cell>
          <cell r="N186" t="str">
            <v>المملكة العربية السعودية</v>
          </cell>
          <cell r="O186" t="str">
            <v>50000916</v>
          </cell>
          <cell r="P186" t="str">
            <v>مشرف تراخيص المهن والأعمال البيطرية والثروة الحيوانية</v>
          </cell>
          <cell r="Q186" t="str">
            <v>8 الدرجة</v>
          </cell>
          <cell r="R186" t="str">
            <v/>
          </cell>
          <cell r="S186" t="str">
            <v/>
          </cell>
          <cell r="T186" t="str">
            <v/>
          </cell>
          <cell r="U186" t="str">
            <v>الشهادات</v>
          </cell>
          <cell r="V186" t="str">
            <v>التراخيص</v>
          </cell>
          <cell r="W186" t="str">
            <v>Al Riyadh</v>
          </cell>
          <cell r="X186" t="str">
            <v xml:space="preserve">الفرع </v>
          </cell>
          <cell r="Y186">
            <v>44592</v>
          </cell>
          <cell r="Z186">
            <v>4.38</v>
          </cell>
          <cell r="AA186">
            <v>1598</v>
          </cell>
          <cell r="AB186" t="str">
            <v>غير نشط</v>
          </cell>
          <cell r="AC186" t="str">
            <v>400256</v>
          </cell>
          <cell r="AD186" t="str">
            <v>Majed Alfaraj</v>
          </cell>
          <cell r="AE186" t="str">
            <v>إعارة</v>
          </cell>
          <cell r="AF186">
            <v>45091</v>
          </cell>
          <cell r="AG186" t="str">
            <v/>
          </cell>
          <cell r="AH186" t="str">
            <v/>
          </cell>
          <cell r="AI186" t="str">
            <v/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 t="str">
            <v/>
          </cell>
          <cell r="AO186" t="str">
            <v>Vet Occupational &amp; Bus Licenses</v>
          </cell>
          <cell r="AP186" t="str">
            <v>Riyad Bank</v>
          </cell>
          <cell r="AQ186" t="str">
            <v xml:space="preserve">SA8920000002641025639940
</v>
          </cell>
          <cell r="AR186">
            <v>17645</v>
          </cell>
          <cell r="AS186" t="str">
            <v/>
          </cell>
          <cell r="AT186">
            <v>864.5</v>
          </cell>
          <cell r="AU186">
            <v>4411.25</v>
          </cell>
          <cell r="AV186" t="str">
            <v/>
          </cell>
        </row>
        <row r="187">
          <cell r="A187">
            <v>400006</v>
          </cell>
          <cell r="B187" t="str">
            <v>1042831576</v>
          </cell>
          <cell r="C187" t="str">
            <v>السيد</v>
          </cell>
          <cell r="D187" t="str">
            <v>Drihm AL-Drihm</v>
          </cell>
          <cell r="E187" t="str">
            <v>دريهم حمد محمد الدريهم</v>
          </cell>
          <cell r="F187" t="str">
            <v>Male</v>
          </cell>
          <cell r="G187" t="str">
            <v>أعزب</v>
          </cell>
          <cell r="H187">
            <v>36526</v>
          </cell>
          <cell r="I187">
            <v>26</v>
          </cell>
          <cell r="J187">
            <v>9664</v>
          </cell>
          <cell r="K187" t="str">
            <v>DALDRIHM@agriserv.com.sa</v>
          </cell>
          <cell r="L187" t="str">
            <v>0554288478</v>
          </cell>
          <cell r="M187" t="str">
            <v/>
          </cell>
          <cell r="N187" t="str">
            <v>المملكة العربية السعودية</v>
          </cell>
          <cell r="O187" t="str">
            <v>50000008</v>
          </cell>
          <cell r="P187" t="str">
            <v>مشرف تراخيص المهن والأعمال الزراعية</v>
          </cell>
          <cell r="Q187" t="str">
            <v>8 الدرجة</v>
          </cell>
          <cell r="R187" t="str">
            <v/>
          </cell>
          <cell r="S187" t="str">
            <v/>
          </cell>
          <cell r="T187" t="str">
            <v/>
          </cell>
          <cell r="U187" t="str">
            <v>التراخيص</v>
          </cell>
          <cell r="V187" t="str">
            <v>التراخيص</v>
          </cell>
          <cell r="W187" t="str">
            <v>Head Quarter</v>
          </cell>
          <cell r="X187" t="str">
            <v xml:space="preserve">الفرع </v>
          </cell>
          <cell r="Y187">
            <v>44592</v>
          </cell>
          <cell r="Z187">
            <v>4.38</v>
          </cell>
          <cell r="AA187">
            <v>1598</v>
          </cell>
          <cell r="AB187" t="str">
            <v>غير نشط</v>
          </cell>
          <cell r="AC187" t="str">
            <v>400256</v>
          </cell>
          <cell r="AD187" t="str">
            <v>Majed Alfaraj</v>
          </cell>
          <cell r="AE187" t="str">
            <v>إعارة</v>
          </cell>
          <cell r="AF187">
            <v>44957</v>
          </cell>
          <cell r="AG187" t="str">
            <v/>
          </cell>
          <cell r="AH187" t="str">
            <v/>
          </cell>
          <cell r="AI187" t="str">
            <v/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 t="str">
            <v/>
          </cell>
          <cell r="AO187" t="str">
            <v>Agri. Occupational &amp; Bus Licenses</v>
          </cell>
          <cell r="AP187" t="str">
            <v>Bank Al Bilad</v>
          </cell>
          <cell r="AQ187" t="str">
            <v xml:space="preserve">SA9015000425103911060008
</v>
          </cell>
          <cell r="AR187">
            <v>16285</v>
          </cell>
          <cell r="AS187" t="str">
            <v/>
          </cell>
          <cell r="AT187">
            <v>728.5</v>
          </cell>
          <cell r="AU187">
            <v>4071.25</v>
          </cell>
          <cell r="AV187" t="str">
            <v/>
          </cell>
        </row>
        <row r="188">
          <cell r="A188">
            <v>400007</v>
          </cell>
          <cell r="B188" t="str">
            <v>1065553412</v>
          </cell>
          <cell r="C188" t="str">
            <v>السيد</v>
          </cell>
          <cell r="D188" t="str">
            <v>Abdul Al-Anzi</v>
          </cell>
          <cell r="E188" t="str">
            <v>عبدالكريم  سالم العنزي</v>
          </cell>
          <cell r="F188" t="str">
            <v>Male</v>
          </cell>
          <cell r="G188" t="str">
            <v>أعزب</v>
          </cell>
          <cell r="H188">
            <v>36526</v>
          </cell>
          <cell r="I188">
            <v>26</v>
          </cell>
          <cell r="J188">
            <v>9664</v>
          </cell>
          <cell r="K188" t="str">
            <v/>
          </cell>
          <cell r="L188" t="str">
            <v/>
          </cell>
          <cell r="M188" t="str">
            <v/>
          </cell>
          <cell r="N188" t="str">
            <v>المملكة العربية السعودية</v>
          </cell>
          <cell r="O188" t="str">
            <v>50000041</v>
          </cell>
          <cell r="P188" t="str">
            <v>مشرف تراخيص المهن والأعمال الزراعية</v>
          </cell>
          <cell r="Q188" t="str">
            <v>8 الدرجة</v>
          </cell>
          <cell r="R188" t="str">
            <v/>
          </cell>
          <cell r="S188" t="str">
            <v/>
          </cell>
          <cell r="T188" t="str">
            <v>تراخيص المهن والأعمال الزراعية</v>
          </cell>
          <cell r="U188" t="str">
            <v/>
          </cell>
          <cell r="V188" t="str">
            <v>التراخيص</v>
          </cell>
          <cell r="W188" t="str">
            <v>Al Riyadh</v>
          </cell>
          <cell r="X188" t="str">
            <v xml:space="preserve">الفرع </v>
          </cell>
          <cell r="Y188">
            <v>44592</v>
          </cell>
          <cell r="Z188">
            <v>4.38</v>
          </cell>
          <cell r="AA188">
            <v>1598</v>
          </cell>
          <cell r="AB188" t="str">
            <v>غير نشط</v>
          </cell>
          <cell r="AC188" t="str">
            <v>400004</v>
          </cell>
          <cell r="AD188" t="str">
            <v>Ahmed Aladhab</v>
          </cell>
          <cell r="AE188" t="str">
            <v>إعارة</v>
          </cell>
          <cell r="AF188">
            <v>44620</v>
          </cell>
          <cell r="AG188" t="str">
            <v/>
          </cell>
          <cell r="AH188" t="str">
            <v/>
          </cell>
          <cell r="AI188" t="str">
            <v/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 t="str">
            <v/>
          </cell>
          <cell r="AO188" t="str">
            <v>Agri. Occupational &amp; Bus Licenses</v>
          </cell>
          <cell r="AP188" t="str">
            <v>Saudi National Bank</v>
          </cell>
          <cell r="AQ188" t="str">
            <v>SA4310000023265323000102</v>
          </cell>
          <cell r="AR188">
            <v>9255</v>
          </cell>
          <cell r="AS188" t="str">
            <v/>
          </cell>
          <cell r="AT188">
            <v>225.5</v>
          </cell>
          <cell r="AU188">
            <v>2313.75</v>
          </cell>
          <cell r="AV188" t="str">
            <v/>
          </cell>
        </row>
        <row r="189">
          <cell r="A189">
            <v>400008</v>
          </cell>
          <cell r="B189" t="str">
            <v>1051436259</v>
          </cell>
          <cell r="C189" t="str">
            <v>السيد</v>
          </cell>
          <cell r="D189" t="str">
            <v>Khalid AL-Shaye</v>
          </cell>
          <cell r="E189" t="str">
            <v>خالد صالح  الشايع</v>
          </cell>
          <cell r="F189" t="str">
            <v>Male</v>
          </cell>
          <cell r="G189" t="str">
            <v>أعزب</v>
          </cell>
          <cell r="H189">
            <v>36526</v>
          </cell>
          <cell r="I189">
            <v>26</v>
          </cell>
          <cell r="J189">
            <v>9664</v>
          </cell>
          <cell r="K189" t="str">
            <v>SHAYE@agriserv.com.sa</v>
          </cell>
          <cell r="L189" t="str">
            <v>0505101634</v>
          </cell>
          <cell r="M189" t="str">
            <v/>
          </cell>
          <cell r="N189" t="str">
            <v>المملكة العربية السعودية</v>
          </cell>
          <cell r="O189" t="str">
            <v>50000011</v>
          </cell>
          <cell r="P189" t="str">
            <v>مساعد مشرف مهن وأعمال الثروة السمكية</v>
          </cell>
          <cell r="Q189" t="str">
            <v>الدرجة 7</v>
          </cell>
          <cell r="R189" t="str">
            <v/>
          </cell>
          <cell r="S189" t="str">
            <v/>
          </cell>
          <cell r="T189" t="str">
            <v>ترخيص مهن وأعمال الثروة السمكية</v>
          </cell>
          <cell r="U189" t="str">
            <v>التراخيص</v>
          </cell>
          <cell r="V189" t="str">
            <v>التراخيص</v>
          </cell>
          <cell r="W189" t="str">
            <v>Al Riyadh</v>
          </cell>
          <cell r="X189" t="str">
            <v xml:space="preserve">الفرع </v>
          </cell>
          <cell r="Y189">
            <v>44592</v>
          </cell>
          <cell r="Z189">
            <v>4.38</v>
          </cell>
          <cell r="AA189">
            <v>1598</v>
          </cell>
          <cell r="AB189" t="str">
            <v>غير نشط</v>
          </cell>
          <cell r="AC189" t="str">
            <v>400006</v>
          </cell>
          <cell r="AD189" t="str">
            <v>Drihm AL-Drihm</v>
          </cell>
          <cell r="AE189" t="str">
            <v>إعارة</v>
          </cell>
          <cell r="AF189">
            <v>44957</v>
          </cell>
          <cell r="AG189" t="str">
            <v/>
          </cell>
          <cell r="AH189" t="str">
            <v/>
          </cell>
          <cell r="AI189" t="str">
            <v/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 t="str">
            <v/>
          </cell>
          <cell r="AO189" t="str">
            <v>Agri. Occupational &amp; Bus Licenses</v>
          </cell>
          <cell r="AP189" t="str">
            <v>Al Rajhi Bank</v>
          </cell>
          <cell r="AQ189" t="str">
            <v xml:space="preserve">SA7480000129608010163380
</v>
          </cell>
          <cell r="AR189">
            <v>21835</v>
          </cell>
          <cell r="AS189" t="str">
            <v/>
          </cell>
          <cell r="AT189">
            <v>1283.5</v>
          </cell>
          <cell r="AU189">
            <v>5458.75</v>
          </cell>
          <cell r="AV189" t="str">
            <v/>
          </cell>
        </row>
        <row r="190">
          <cell r="A190">
            <v>400009</v>
          </cell>
          <cell r="B190" t="str">
            <v>1038346134</v>
          </cell>
          <cell r="C190" t="str">
            <v>السيد</v>
          </cell>
          <cell r="D190" t="str">
            <v>Rasheed AL-Salhi</v>
          </cell>
          <cell r="E190" t="str">
            <v>رشيد علي رشيد الصالحي</v>
          </cell>
          <cell r="F190" t="str">
            <v>Male</v>
          </cell>
          <cell r="G190" t="str">
            <v>أعزب</v>
          </cell>
          <cell r="H190">
            <v>36526</v>
          </cell>
          <cell r="I190">
            <v>26</v>
          </cell>
          <cell r="J190">
            <v>9664</v>
          </cell>
          <cell r="K190" t="str">
            <v>E22495@agriserv.com.sa</v>
          </cell>
          <cell r="L190" t="str">
            <v>0553321456</v>
          </cell>
          <cell r="M190" t="str">
            <v/>
          </cell>
          <cell r="N190" t="str">
            <v>المملكة العربية السعودية</v>
          </cell>
          <cell r="O190" t="str">
            <v>50000005</v>
          </cell>
          <cell r="P190" t="str">
            <v>مساعد مشرف ترخيص المهن البيطرية والثروة الحيوانية</v>
          </cell>
          <cell r="Q190" t="str">
            <v>الدرجة 7</v>
          </cell>
          <cell r="R190" t="str">
            <v/>
          </cell>
          <cell r="S190" t="str">
            <v/>
          </cell>
          <cell r="T190" t="str">
            <v>ترخيص الأعمال البيطرية والثروة الحيوانية</v>
          </cell>
          <cell r="U190" t="str">
            <v>الشهادات</v>
          </cell>
          <cell r="V190" t="str">
            <v>التراخيص</v>
          </cell>
          <cell r="W190" t="str">
            <v>Al Riyadh</v>
          </cell>
          <cell r="X190" t="str">
            <v xml:space="preserve">المقر الرئيسي </v>
          </cell>
          <cell r="Y190">
            <v>44592</v>
          </cell>
          <cell r="Z190">
            <v>4.38</v>
          </cell>
          <cell r="AA190">
            <v>1598</v>
          </cell>
          <cell r="AB190" t="str">
            <v>غير نشط</v>
          </cell>
          <cell r="AC190" t="str">
            <v>400256</v>
          </cell>
          <cell r="AD190" t="str">
            <v>Majed Alfaraj</v>
          </cell>
          <cell r="AE190" t="str">
            <v>إعارة</v>
          </cell>
          <cell r="AF190">
            <v>44957</v>
          </cell>
          <cell r="AG190" t="str">
            <v/>
          </cell>
          <cell r="AH190" t="str">
            <v/>
          </cell>
          <cell r="AI190" t="str">
            <v/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 t="str">
            <v/>
          </cell>
          <cell r="AO190" t="str">
            <v>Vet Occupational &amp; Bus Licenses</v>
          </cell>
          <cell r="AP190" t="str">
            <v>Saudi National Bank</v>
          </cell>
          <cell r="AQ190" t="str">
            <v xml:space="preserve">SA4110000037553532000105
</v>
          </cell>
          <cell r="AR190">
            <v>14355</v>
          </cell>
          <cell r="AS190" t="str">
            <v/>
          </cell>
          <cell r="AT190">
            <v>735.5</v>
          </cell>
          <cell r="AU190">
            <v>3588.75</v>
          </cell>
          <cell r="AV190" t="str">
            <v/>
          </cell>
        </row>
        <row r="191">
          <cell r="A191">
            <v>400010</v>
          </cell>
          <cell r="B191" t="str">
            <v>1049094376</v>
          </cell>
          <cell r="C191" t="str">
            <v>السيد</v>
          </cell>
          <cell r="D191" t="str">
            <v>Abdullah Saleh Abdullah Alrajaa</v>
          </cell>
          <cell r="E191" t="str">
            <v>عبدالله صالح عبدالله الرجاء</v>
          </cell>
          <cell r="F191" t="str">
            <v>Male</v>
          </cell>
          <cell r="G191" t="str">
            <v>متزوج</v>
          </cell>
          <cell r="H191">
            <v>31920</v>
          </cell>
          <cell r="I191">
            <v>39</v>
          </cell>
          <cell r="J191">
            <v>14270</v>
          </cell>
          <cell r="K191" t="str">
            <v>Abdullah.AlRajaa@agriserv.sa</v>
          </cell>
          <cell r="L191" t="str">
            <v>0500950002</v>
          </cell>
          <cell r="M191" t="str">
            <v>4101</v>
          </cell>
          <cell r="N191" t="str">
            <v>المملكة العربية السعودية</v>
          </cell>
          <cell r="O191" t="str">
            <v>50000002</v>
          </cell>
          <cell r="P191" t="str">
            <v>مساعد مشرف ترخيص الأعمال البيطرية والثروة الحيوانية</v>
          </cell>
          <cell r="Q191" t="str">
            <v>الدرجة 7</v>
          </cell>
          <cell r="R191" t="str">
            <v>Class A</v>
          </cell>
          <cell r="S191" t="str">
            <v/>
          </cell>
          <cell r="T191" t="str">
            <v/>
          </cell>
          <cell r="U191" t="str">
            <v>التراخيص</v>
          </cell>
          <cell r="V191" t="str">
            <v>التراخيص</v>
          </cell>
          <cell r="W191" t="str">
            <v>Al Riyadh</v>
          </cell>
          <cell r="X191" t="str">
            <v xml:space="preserve">المقر الرئيسي </v>
          </cell>
          <cell r="Y191">
            <v>44592</v>
          </cell>
          <cell r="Z191">
            <v>4.38</v>
          </cell>
          <cell r="AA191">
            <v>1598</v>
          </cell>
          <cell r="AB191" t="str">
            <v>نشط</v>
          </cell>
          <cell r="AC191" t="str">
            <v>100128</v>
          </cell>
          <cell r="AD191" t="str">
            <v>Abdalaziz Alkhamshi</v>
          </cell>
          <cell r="AE191" t="str">
            <v>إعارة</v>
          </cell>
          <cell r="AF191" t="str">
            <v/>
          </cell>
          <cell r="AG191" t="str">
            <v/>
          </cell>
          <cell r="AH191" t="str">
            <v>طب بيطري</v>
          </cell>
          <cell r="AI191" t="str">
            <v>بكالوريوس</v>
          </cell>
          <cell r="AJ191">
            <v>6</v>
          </cell>
          <cell r="AK191">
            <v>4</v>
          </cell>
          <cell r="AL191">
            <v>1</v>
          </cell>
          <cell r="AM191">
            <v>1</v>
          </cell>
          <cell r="AN191" t="str">
            <v/>
          </cell>
          <cell r="AO191" t="str">
            <v>التراخيص والشهادات</v>
          </cell>
          <cell r="AP191" t="str">
            <v>Al Rajhi Bank</v>
          </cell>
          <cell r="AQ191" t="str">
            <v>SA2580000515608010113049</v>
          </cell>
          <cell r="AR191">
            <v>12565</v>
          </cell>
          <cell r="AS191" t="str">
            <v/>
          </cell>
          <cell r="AT191">
            <v>556.5</v>
          </cell>
          <cell r="AU191">
            <v>3141.25</v>
          </cell>
          <cell r="AV191" t="str">
            <v/>
          </cell>
        </row>
        <row r="192">
          <cell r="A192">
            <v>400011</v>
          </cell>
          <cell r="B192" t="str">
            <v>1025571579</v>
          </cell>
          <cell r="C192" t="str">
            <v>السيد</v>
          </cell>
          <cell r="D192" t="str">
            <v>Musleh Sahbi</v>
          </cell>
          <cell r="E192" t="str">
            <v>مصلح  حمود الصحبي</v>
          </cell>
          <cell r="F192" t="str">
            <v>Male</v>
          </cell>
          <cell r="G192" t="str">
            <v>أعزب</v>
          </cell>
          <cell r="H192">
            <v>36526</v>
          </cell>
          <cell r="I192">
            <v>26</v>
          </cell>
          <cell r="J192">
            <v>9664</v>
          </cell>
          <cell r="K192" t="str">
            <v/>
          </cell>
          <cell r="L192" t="str">
            <v/>
          </cell>
          <cell r="M192" t="str">
            <v/>
          </cell>
          <cell r="N192" t="str">
            <v>المملكة العربية السعودية</v>
          </cell>
          <cell r="O192" t="str">
            <v>50000042</v>
          </cell>
          <cell r="P192" t="str">
            <v>أخصائي أول ترخيص الأعمال الثروة النباتية</v>
          </cell>
          <cell r="Q192" t="str">
            <v>الدرجة 6</v>
          </cell>
          <cell r="R192" t="str">
            <v/>
          </cell>
          <cell r="S192" t="str">
            <v>ترخيص الأعمال الثروة النباتية</v>
          </cell>
          <cell r="T192" t="str">
            <v>تراخيص المهن والأعمال الزراعية</v>
          </cell>
          <cell r="U192" t="str">
            <v/>
          </cell>
          <cell r="V192" t="str">
            <v>التراخيص</v>
          </cell>
          <cell r="W192" t="str">
            <v>Al Riyadh</v>
          </cell>
          <cell r="X192" t="str">
            <v xml:space="preserve">الفرع </v>
          </cell>
          <cell r="Y192">
            <v>44592</v>
          </cell>
          <cell r="Z192">
            <v>4.38</v>
          </cell>
          <cell r="AA192">
            <v>1598</v>
          </cell>
          <cell r="AB192" t="str">
            <v>غير نشط</v>
          </cell>
          <cell r="AC192" t="str">
            <v>100000</v>
          </cell>
          <cell r="AD192" t="str">
            <v>Hussain Almalki</v>
          </cell>
          <cell r="AE192" t="str">
            <v>إعارة</v>
          </cell>
          <cell r="AF192">
            <v>44620</v>
          </cell>
          <cell r="AG192" t="str">
            <v/>
          </cell>
          <cell r="AH192" t="str">
            <v/>
          </cell>
          <cell r="AI192" t="str">
            <v/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 t="str">
            <v/>
          </cell>
          <cell r="AO192" t="str">
            <v>Agri. Occupational &amp; Bus Licenses</v>
          </cell>
          <cell r="AP192" t="str">
            <v>Al Rajhi Bank</v>
          </cell>
          <cell r="AQ192" t="str">
            <v xml:space="preserve">SA7980000219608010093703
</v>
          </cell>
          <cell r="AR192">
            <v>15525</v>
          </cell>
          <cell r="AS192" t="str">
            <v/>
          </cell>
          <cell r="AT192">
            <v>652.5</v>
          </cell>
          <cell r="AU192">
            <v>3881.25</v>
          </cell>
          <cell r="AV192" t="str">
            <v/>
          </cell>
        </row>
        <row r="193">
          <cell r="A193">
            <v>400012</v>
          </cell>
          <cell r="B193" t="str">
            <v>1025002351</v>
          </cell>
          <cell r="C193" t="str">
            <v>السيد</v>
          </cell>
          <cell r="D193" t="str">
            <v>Salman Mureeb Abdullah Alammar</v>
          </cell>
          <cell r="E193" t="str">
            <v>سلمان مرعب عبدالله العمار</v>
          </cell>
          <cell r="F193" t="str">
            <v>Male</v>
          </cell>
          <cell r="G193" t="str">
            <v>متزوج</v>
          </cell>
          <cell r="H193">
            <v>29488</v>
          </cell>
          <cell r="I193">
            <v>46</v>
          </cell>
          <cell r="J193">
            <v>16702</v>
          </cell>
          <cell r="K193" t="str">
            <v>Salman.AlAmmar@agriserv.sa</v>
          </cell>
          <cell r="L193" t="str">
            <v>0505121419</v>
          </cell>
          <cell r="M193" t="str">
            <v/>
          </cell>
          <cell r="N193" t="str">
            <v>المملكة العربية السعودية</v>
          </cell>
          <cell r="O193" t="str">
            <v>50000907</v>
          </cell>
          <cell r="P193" t="str">
            <v>أخصائي أول ترخيص الأعمال الثروة النباتية</v>
          </cell>
          <cell r="Q193" t="str">
            <v>الدرجة ٥</v>
          </cell>
          <cell r="R193" t="str">
            <v>Class A</v>
          </cell>
          <cell r="S193" t="str">
            <v/>
          </cell>
          <cell r="T193" t="str">
            <v>محافظة  الغاط</v>
          </cell>
          <cell r="U193" t="str">
            <v>عمليات الفروع</v>
          </cell>
          <cell r="V193" t="str">
            <v>الفروع</v>
          </cell>
          <cell r="W193" t="str">
            <v>Al Riyadh</v>
          </cell>
          <cell r="X193" t="str">
            <v xml:space="preserve">الفرع </v>
          </cell>
          <cell r="Y193">
            <v>44592</v>
          </cell>
          <cell r="Z193">
            <v>4.38</v>
          </cell>
          <cell r="AA193">
            <v>1598</v>
          </cell>
          <cell r="AB193" t="str">
            <v>نشط</v>
          </cell>
          <cell r="AC193" t="str">
            <v>400183</v>
          </cell>
          <cell r="AD193" t="str">
            <v>Jehad Alkharraz</v>
          </cell>
          <cell r="AE193" t="str">
            <v>إعارة</v>
          </cell>
          <cell r="AF193" t="str">
            <v/>
          </cell>
          <cell r="AG193" t="str">
            <v/>
          </cell>
          <cell r="AH193" t="str">
            <v>وقاية النبات</v>
          </cell>
          <cell r="AI193" t="str">
            <v>بكالوريوس</v>
          </cell>
          <cell r="AJ193">
            <v>7</v>
          </cell>
          <cell r="AK193">
            <v>4</v>
          </cell>
          <cell r="AL193">
            <v>1</v>
          </cell>
          <cell r="AM193">
            <v>2</v>
          </cell>
          <cell r="AN193" t="str">
            <v/>
          </cell>
          <cell r="AO193" t="str">
            <v>عمليات الفروع</v>
          </cell>
          <cell r="AP193" t="str">
            <v>Inma Bank</v>
          </cell>
          <cell r="AQ193" t="str">
            <v>SA4805000068201225628000</v>
          </cell>
          <cell r="AR193">
            <v>16395</v>
          </cell>
          <cell r="AS193" t="str">
            <v/>
          </cell>
          <cell r="AT193">
            <v>939.5</v>
          </cell>
          <cell r="AU193">
            <v>4098.75</v>
          </cell>
          <cell r="AV193" t="str">
            <v/>
          </cell>
        </row>
        <row r="194">
          <cell r="A194">
            <v>400013</v>
          </cell>
          <cell r="B194" t="str">
            <v>1023040833</v>
          </cell>
          <cell r="C194" t="str">
            <v>السيد</v>
          </cell>
          <cell r="D194" t="str">
            <v>Issa Khalaf</v>
          </cell>
          <cell r="E194" t="str">
            <v>عيسى  حسين الخلف</v>
          </cell>
          <cell r="F194" t="str">
            <v>Male</v>
          </cell>
          <cell r="G194" t="str">
            <v>أعزب</v>
          </cell>
          <cell r="H194">
            <v>36526</v>
          </cell>
          <cell r="I194">
            <v>26</v>
          </cell>
          <cell r="J194">
            <v>9664</v>
          </cell>
          <cell r="K194" t="str">
            <v/>
          </cell>
          <cell r="L194" t="str">
            <v/>
          </cell>
          <cell r="M194" t="str">
            <v/>
          </cell>
          <cell r="N194" t="str">
            <v>المملكة العربية السعودية</v>
          </cell>
          <cell r="O194" t="str">
            <v>50000908</v>
          </cell>
          <cell r="P194" t="str">
            <v>أخصائي أول ترخيص الأعمال الثروة النباتية</v>
          </cell>
          <cell r="Q194" t="str">
            <v>الدرجة 6</v>
          </cell>
          <cell r="R194" t="str">
            <v/>
          </cell>
          <cell r="S194" t="str">
            <v/>
          </cell>
          <cell r="T194" t="str">
            <v/>
          </cell>
          <cell r="U194" t="str">
            <v>التراخيص</v>
          </cell>
          <cell r="V194" t="str">
            <v>التراخيص</v>
          </cell>
          <cell r="W194" t="str">
            <v>Al Riyadh</v>
          </cell>
          <cell r="X194" t="str">
            <v xml:space="preserve">الفرع </v>
          </cell>
          <cell r="Y194">
            <v>44592</v>
          </cell>
          <cell r="Z194">
            <v>4.38</v>
          </cell>
          <cell r="AA194">
            <v>1598</v>
          </cell>
          <cell r="AB194" t="str">
            <v>غير نشط</v>
          </cell>
          <cell r="AC194" t="str">
            <v>400007</v>
          </cell>
          <cell r="AD194" t="str">
            <v>Abdul Al-Anzi</v>
          </cell>
          <cell r="AE194" t="str">
            <v>إعارة</v>
          </cell>
          <cell r="AF194">
            <v>44620</v>
          </cell>
          <cell r="AG194" t="str">
            <v/>
          </cell>
          <cell r="AH194" t="str">
            <v/>
          </cell>
          <cell r="AI194" t="str">
            <v/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 t="str">
            <v/>
          </cell>
          <cell r="AO194" t="str">
            <v>Agri. Occupational &amp; Bus Licenses</v>
          </cell>
          <cell r="AP194" t="str">
            <v>Al Rajhi Bank</v>
          </cell>
          <cell r="AQ194" t="str">
            <v>SA4280000109608010452852</v>
          </cell>
          <cell r="AR194">
            <v>12565</v>
          </cell>
          <cell r="AS194" t="str">
            <v/>
          </cell>
          <cell r="AT194">
            <v>556.5</v>
          </cell>
          <cell r="AU194">
            <v>3141.25</v>
          </cell>
          <cell r="AV194" t="str">
            <v/>
          </cell>
        </row>
        <row r="195">
          <cell r="A195">
            <v>400014</v>
          </cell>
          <cell r="B195" t="str">
            <v>1033983477</v>
          </cell>
          <cell r="C195" t="str">
            <v>السيد</v>
          </cell>
          <cell r="D195" t="str">
            <v>Ibrahim Al-Dail</v>
          </cell>
          <cell r="E195" t="str">
            <v>ابراهيم محمد ابراهيم الدائل</v>
          </cell>
          <cell r="F195" t="str">
            <v>Male</v>
          </cell>
          <cell r="G195" t="str">
            <v>أعزب</v>
          </cell>
          <cell r="H195">
            <v>36526</v>
          </cell>
          <cell r="I195">
            <v>26</v>
          </cell>
          <cell r="J195">
            <v>9664</v>
          </cell>
          <cell r="K195" t="str">
            <v>IALDAEL@agriserv.com.sa</v>
          </cell>
          <cell r="L195" t="str">
            <v>0503142836</v>
          </cell>
          <cell r="M195" t="str">
            <v/>
          </cell>
          <cell r="N195" t="str">
            <v>المملكة العربية السعودية</v>
          </cell>
          <cell r="O195" t="str">
            <v>50000039</v>
          </cell>
          <cell r="P195" t="str">
            <v>أخصائي أول ترخيص المشاريع الحيوانية</v>
          </cell>
          <cell r="Q195" t="str">
            <v>الدرجة 6</v>
          </cell>
          <cell r="R195" t="str">
            <v/>
          </cell>
          <cell r="S195" t="str">
            <v>ترخيص المشاريع الحيوانية</v>
          </cell>
          <cell r="T195" t="str">
            <v>تراخيص المهن والأعمال البيطرية والثروة الحيوانية</v>
          </cell>
          <cell r="U195" t="str">
            <v/>
          </cell>
          <cell r="V195" t="str">
            <v>التراخيص</v>
          </cell>
          <cell r="W195" t="str">
            <v>Al Riyadh</v>
          </cell>
          <cell r="X195" t="str">
            <v xml:space="preserve">الفرع </v>
          </cell>
          <cell r="Y195">
            <v>44592</v>
          </cell>
          <cell r="Z195">
            <v>4.38</v>
          </cell>
          <cell r="AA195">
            <v>1598</v>
          </cell>
          <cell r="AB195" t="str">
            <v>غير نشط</v>
          </cell>
          <cell r="AC195" t="str">
            <v>400001</v>
          </cell>
          <cell r="AD195" t="str">
            <v>Abdullah Alotaibi</v>
          </cell>
          <cell r="AE195" t="str">
            <v>إعارة</v>
          </cell>
          <cell r="AF195">
            <v>44957</v>
          </cell>
          <cell r="AG195" t="str">
            <v/>
          </cell>
          <cell r="AH195" t="str">
            <v/>
          </cell>
          <cell r="AI195" t="str">
            <v/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 t="str">
            <v/>
          </cell>
          <cell r="AO195" t="str">
            <v>Vet Occupational &amp; Bus Licenses</v>
          </cell>
          <cell r="AP195" t="str">
            <v>Al Rajhi Bank</v>
          </cell>
          <cell r="AQ195" t="str">
            <v>SA5080000217608010041266</v>
          </cell>
          <cell r="AR195">
            <v>12160</v>
          </cell>
          <cell r="AS195" t="str">
            <v/>
          </cell>
          <cell r="AT195">
            <v>516</v>
          </cell>
          <cell r="AU195">
            <v>3040</v>
          </cell>
          <cell r="AV195" t="str">
            <v/>
          </cell>
        </row>
        <row r="196">
          <cell r="A196">
            <v>400015</v>
          </cell>
          <cell r="B196" t="str">
            <v>1061833149</v>
          </cell>
          <cell r="C196" t="str">
            <v>السيد</v>
          </cell>
          <cell r="D196" t="str">
            <v>Abdulmonem Ibrahim Abduallah Albeladi</v>
          </cell>
          <cell r="E196" t="str">
            <v>عبدالمنعم ابراهيم عبدالله البلادي</v>
          </cell>
          <cell r="F196" t="str">
            <v>Male</v>
          </cell>
          <cell r="G196" t="str">
            <v>أعزب</v>
          </cell>
          <cell r="H196">
            <v>36526</v>
          </cell>
          <cell r="I196">
            <v>26</v>
          </cell>
          <cell r="J196">
            <v>9664</v>
          </cell>
          <cell r="K196" t="str">
            <v>E23330@agriserv.com.sa</v>
          </cell>
          <cell r="L196" t="str">
            <v>0568168863</v>
          </cell>
          <cell r="M196" t="str">
            <v/>
          </cell>
          <cell r="N196" t="str">
            <v>المملكة العربية السعودية</v>
          </cell>
          <cell r="O196" t="str">
            <v>50000913</v>
          </cell>
          <cell r="P196" t="str">
            <v>أخصائي أول ترخيص المشاريع الحيوانية</v>
          </cell>
          <cell r="Q196" t="str">
            <v>الدرجة ٥</v>
          </cell>
          <cell r="R196" t="str">
            <v/>
          </cell>
          <cell r="S196" t="str">
            <v/>
          </cell>
          <cell r="T196" t="str">
            <v>محافظة  الافلاج</v>
          </cell>
          <cell r="U196" t="str">
            <v>عمليات الفروع</v>
          </cell>
          <cell r="V196" t="str">
            <v>الفروع</v>
          </cell>
          <cell r="W196" t="str">
            <v>Al Riyadh</v>
          </cell>
          <cell r="X196" t="str">
            <v xml:space="preserve">الفرع </v>
          </cell>
          <cell r="Y196">
            <v>44592</v>
          </cell>
          <cell r="Z196">
            <v>4.38</v>
          </cell>
          <cell r="AA196">
            <v>1598</v>
          </cell>
          <cell r="AB196" t="str">
            <v>غير نشط</v>
          </cell>
          <cell r="AC196" t="str">
            <v>100036</v>
          </cell>
          <cell r="AD196" t="str">
            <v>Ibrahim Alkhuzam</v>
          </cell>
          <cell r="AE196" t="str">
            <v>إعارة</v>
          </cell>
          <cell r="AF196">
            <v>45429</v>
          </cell>
          <cell r="AG196" t="str">
            <v/>
          </cell>
          <cell r="AH196" t="str">
            <v/>
          </cell>
          <cell r="AI196" t="str">
            <v/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 t="str">
            <v/>
          </cell>
          <cell r="AO196" t="str">
            <v>Agri. Occupational &amp; Bus Licenses</v>
          </cell>
          <cell r="AP196" t="str">
            <v>Arab National Bank</v>
          </cell>
          <cell r="AQ196" t="str">
            <v>SA1630400108052283430013</v>
          </cell>
          <cell r="AR196">
            <v>13035</v>
          </cell>
          <cell r="AS196" t="str">
            <v/>
          </cell>
          <cell r="AT196">
            <v>603.5</v>
          </cell>
          <cell r="AU196">
            <v>3258.75</v>
          </cell>
          <cell r="AV196" t="str">
            <v/>
          </cell>
        </row>
        <row r="197">
          <cell r="A197">
            <v>400016</v>
          </cell>
          <cell r="B197" t="str">
            <v>1060441720</v>
          </cell>
          <cell r="C197" t="str">
            <v>السيد</v>
          </cell>
          <cell r="D197" t="str">
            <v>Faihan Al Otaibi</v>
          </cell>
          <cell r="E197" t="str">
            <v>فيحان عبدالله العبدي العصيمي</v>
          </cell>
          <cell r="F197" t="str">
            <v>Male</v>
          </cell>
          <cell r="G197" t="str">
            <v>أعزب</v>
          </cell>
          <cell r="H197">
            <v>36526</v>
          </cell>
          <cell r="I197">
            <v>26</v>
          </cell>
          <cell r="J197">
            <v>9664</v>
          </cell>
          <cell r="K197" t="str">
            <v/>
          </cell>
          <cell r="L197" t="str">
            <v/>
          </cell>
          <cell r="M197" t="str">
            <v/>
          </cell>
          <cell r="N197" t="str">
            <v>المملكة العربية السعودية</v>
          </cell>
          <cell r="O197" t="str">
            <v>50000909</v>
          </cell>
          <cell r="P197" t="str">
            <v>أخصائي أول ترخيص الأعمال الثروة النباتية</v>
          </cell>
          <cell r="Q197" t="str">
            <v>الدرجة 6</v>
          </cell>
          <cell r="R197" t="str">
            <v/>
          </cell>
          <cell r="S197" t="str">
            <v/>
          </cell>
          <cell r="T197" t="str">
            <v/>
          </cell>
          <cell r="U197" t="str">
            <v>التراخيص</v>
          </cell>
          <cell r="V197" t="str">
            <v>التراخيص</v>
          </cell>
          <cell r="W197" t="str">
            <v>Al Riyadh</v>
          </cell>
          <cell r="X197" t="str">
            <v xml:space="preserve">الفرع </v>
          </cell>
          <cell r="Y197">
            <v>44592</v>
          </cell>
          <cell r="Z197">
            <v>4.38</v>
          </cell>
          <cell r="AA197">
            <v>1598</v>
          </cell>
          <cell r="AB197" t="str">
            <v>غير نشط</v>
          </cell>
          <cell r="AC197" t="str">
            <v>100000</v>
          </cell>
          <cell r="AD197" t="str">
            <v>Hussain Almalki</v>
          </cell>
          <cell r="AE197" t="str">
            <v>إعارة</v>
          </cell>
          <cell r="AF197">
            <v>44620</v>
          </cell>
          <cell r="AG197" t="str">
            <v/>
          </cell>
          <cell r="AH197" t="str">
            <v/>
          </cell>
          <cell r="AI197" t="str">
            <v/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 t="str">
            <v/>
          </cell>
          <cell r="AO197" t="str">
            <v>Agri. Occupational &amp; Bus Licenses</v>
          </cell>
          <cell r="AP197" t="str">
            <v>Al Rajhi Bank</v>
          </cell>
          <cell r="AQ197" t="str">
            <v xml:space="preserve">SA4380000165608010667120
</v>
          </cell>
          <cell r="AR197">
            <v>9200</v>
          </cell>
          <cell r="AS197" t="str">
            <v/>
          </cell>
          <cell r="AT197">
            <v>220</v>
          </cell>
          <cell r="AU197">
            <v>2300</v>
          </cell>
          <cell r="AV197" t="str">
            <v/>
          </cell>
        </row>
        <row r="198">
          <cell r="A198">
            <v>400017</v>
          </cell>
          <cell r="B198" t="str">
            <v>1077456935</v>
          </cell>
          <cell r="C198" t="str">
            <v>السيد</v>
          </cell>
          <cell r="D198" t="str">
            <v>Mohammed Al-Dukair</v>
          </cell>
          <cell r="E198" t="str">
            <v>محمد مقبل عبدالكريم الذكير</v>
          </cell>
          <cell r="F198" t="str">
            <v>Male</v>
          </cell>
          <cell r="G198" t="str">
            <v>أعزب</v>
          </cell>
          <cell r="H198">
            <v>36526</v>
          </cell>
          <cell r="I198">
            <v>26</v>
          </cell>
          <cell r="J198">
            <v>9664</v>
          </cell>
          <cell r="K198" t="str">
            <v/>
          </cell>
          <cell r="L198" t="str">
            <v/>
          </cell>
          <cell r="M198" t="str">
            <v/>
          </cell>
          <cell r="N198" t="str">
            <v>المملكة العربية السعودية</v>
          </cell>
          <cell r="O198" t="str">
            <v>50000000</v>
          </cell>
          <cell r="P198" t="str">
            <v>أخصائي أول ترخيص الأعمال البيطرية</v>
          </cell>
          <cell r="Q198" t="str">
            <v>الدرجة 6</v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  <cell r="V198" t="str">
            <v>التراخيص</v>
          </cell>
          <cell r="W198" t="str">
            <v>Al Riyadh</v>
          </cell>
          <cell r="X198" t="str">
            <v xml:space="preserve">الفرع </v>
          </cell>
          <cell r="Y198">
            <v>44592</v>
          </cell>
          <cell r="Z198">
            <v>4.38</v>
          </cell>
          <cell r="AA198">
            <v>1598</v>
          </cell>
          <cell r="AB198" t="str">
            <v>غير نشط</v>
          </cell>
          <cell r="AC198" t="str">
            <v>400001</v>
          </cell>
          <cell r="AD198" t="str">
            <v>Abdullah Alotaibi</v>
          </cell>
          <cell r="AE198" t="str">
            <v>إعارة</v>
          </cell>
          <cell r="AF198">
            <v>44620</v>
          </cell>
          <cell r="AG198" t="str">
            <v/>
          </cell>
          <cell r="AH198" t="str">
            <v/>
          </cell>
          <cell r="AI198" t="str">
            <v/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 t="str">
            <v/>
          </cell>
          <cell r="AO198" t="str">
            <v>Agri. Occupational &amp; Bus Licenses</v>
          </cell>
          <cell r="AP198" t="str">
            <v>Inma Bank</v>
          </cell>
          <cell r="AQ198" t="str">
            <v xml:space="preserve">SA2105000068201974620000
</v>
          </cell>
          <cell r="AR198">
            <v>8010</v>
          </cell>
          <cell r="AS198" t="str">
            <v/>
          </cell>
          <cell r="AT198">
            <v>301</v>
          </cell>
          <cell r="AU198">
            <v>2002.5</v>
          </cell>
          <cell r="AV198" t="str">
            <v/>
          </cell>
        </row>
        <row r="199">
          <cell r="A199">
            <v>400018</v>
          </cell>
          <cell r="B199" t="str">
            <v>1079009898</v>
          </cell>
          <cell r="C199" t="str">
            <v>السيد</v>
          </cell>
          <cell r="D199" t="str">
            <v>Wafi Saleh Ali Alhejji</v>
          </cell>
          <cell r="E199" t="str">
            <v>وافي صالح علي الحجي</v>
          </cell>
          <cell r="F199" t="str">
            <v>Male</v>
          </cell>
          <cell r="G199" t="str">
            <v>أعزب</v>
          </cell>
          <cell r="H199">
            <v>34248</v>
          </cell>
          <cell r="I199">
            <v>33</v>
          </cell>
          <cell r="J199">
            <v>11942</v>
          </cell>
          <cell r="K199" t="str">
            <v>Wafy.AlHejji@agriserv.sa</v>
          </cell>
          <cell r="L199" t="str">
            <v>0565942491</v>
          </cell>
          <cell r="M199" t="str">
            <v/>
          </cell>
          <cell r="N199" t="str">
            <v>المملكة العربية السعودية</v>
          </cell>
          <cell r="O199" t="str">
            <v>50000038</v>
          </cell>
          <cell r="P199" t="str">
            <v>أخصائي أول، تسويق</v>
          </cell>
          <cell r="Q199" t="str">
            <v>الدرجة 6</v>
          </cell>
          <cell r="R199" t="str">
            <v>Class A</v>
          </cell>
          <cell r="S199" t="str">
            <v/>
          </cell>
          <cell r="T199" t="str">
            <v/>
          </cell>
          <cell r="U199" t="str">
            <v>تسويق</v>
          </cell>
          <cell r="V199" t="str">
            <v>الخدمات التجارية</v>
          </cell>
          <cell r="W199" t="str">
            <v>Al Riyadh</v>
          </cell>
          <cell r="X199" t="str">
            <v xml:space="preserve">المقر الرئيسي </v>
          </cell>
          <cell r="Y199">
            <v>44592</v>
          </cell>
          <cell r="Z199">
            <v>4.38</v>
          </cell>
          <cell r="AA199">
            <v>1598</v>
          </cell>
          <cell r="AB199" t="str">
            <v>نشط</v>
          </cell>
          <cell r="AC199" t="str">
            <v>100161</v>
          </cell>
          <cell r="AD199" t="str">
            <v>Jawaher Alhumaizi</v>
          </cell>
          <cell r="AE199" t="str">
            <v>إعارة</v>
          </cell>
          <cell r="AF199" t="str">
            <v/>
          </cell>
          <cell r="AG199" t="str">
            <v/>
          </cell>
          <cell r="AH199" t="str">
            <v>ثانوية</v>
          </cell>
          <cell r="AI199" t="str">
            <v>شهادة المدرسة الثانوية</v>
          </cell>
          <cell r="AJ199">
            <v>2</v>
          </cell>
          <cell r="AK199">
            <v>0</v>
          </cell>
          <cell r="AL199">
            <v>0</v>
          </cell>
          <cell r="AM199">
            <v>2</v>
          </cell>
          <cell r="AN199" t="str">
            <v/>
          </cell>
          <cell r="AO199" t="str">
            <v>تسويق</v>
          </cell>
          <cell r="AP199" t="str">
            <v>Al Rajhi Bank</v>
          </cell>
          <cell r="AQ199" t="str">
            <v>SA5880000340608010438298</v>
          </cell>
          <cell r="AR199">
            <v>10125</v>
          </cell>
          <cell r="AS199" t="str">
            <v/>
          </cell>
          <cell r="AT199">
            <v>512.5</v>
          </cell>
          <cell r="AU199">
            <v>2531.25</v>
          </cell>
          <cell r="AV199" t="str">
            <v/>
          </cell>
        </row>
        <row r="200">
          <cell r="A200">
            <v>400019</v>
          </cell>
          <cell r="B200" t="str">
            <v>1075670983</v>
          </cell>
          <cell r="C200" t="str">
            <v>السيد</v>
          </cell>
          <cell r="D200" t="str">
            <v>Saif AL-Harbi</v>
          </cell>
          <cell r="E200" t="str">
            <v>سيف عيسى مرزوق الحربي</v>
          </cell>
          <cell r="F200" t="str">
            <v>Male</v>
          </cell>
          <cell r="G200" t="str">
            <v>أعزب</v>
          </cell>
          <cell r="H200">
            <v>36526</v>
          </cell>
          <cell r="I200">
            <v>26</v>
          </cell>
          <cell r="J200">
            <v>9664</v>
          </cell>
          <cell r="K200" t="str">
            <v>SEALHARBI@agriserv.com.sa</v>
          </cell>
          <cell r="L200" t="str">
            <v/>
          </cell>
          <cell r="M200" t="str">
            <v/>
          </cell>
          <cell r="N200" t="str">
            <v>المملكة العربية السعودية</v>
          </cell>
          <cell r="O200" t="str">
            <v>50000914</v>
          </cell>
          <cell r="P200" t="str">
            <v>أخصائي أول ترخيص المشاريع الحيوانية</v>
          </cell>
          <cell r="Q200" t="str">
            <v>الدرجة 6</v>
          </cell>
          <cell r="R200" t="str">
            <v/>
          </cell>
          <cell r="S200" t="str">
            <v/>
          </cell>
          <cell r="T200" t="str">
            <v/>
          </cell>
          <cell r="U200" t="str">
            <v>التراخيص</v>
          </cell>
          <cell r="V200" t="str">
            <v>التراخيص</v>
          </cell>
          <cell r="W200" t="str">
            <v>Al Riyadh</v>
          </cell>
          <cell r="X200" t="str">
            <v xml:space="preserve">الفرع </v>
          </cell>
          <cell r="Y200">
            <v>44592</v>
          </cell>
          <cell r="Z200">
            <v>4.38</v>
          </cell>
          <cell r="AA200">
            <v>1598</v>
          </cell>
          <cell r="AB200" t="str">
            <v>غير نشط</v>
          </cell>
          <cell r="AC200" t="str">
            <v>400001</v>
          </cell>
          <cell r="AD200" t="str">
            <v>Abdullah Alotaibi</v>
          </cell>
          <cell r="AE200" t="str">
            <v>إعارة</v>
          </cell>
          <cell r="AF200">
            <v>44773</v>
          </cell>
          <cell r="AG200" t="str">
            <v/>
          </cell>
          <cell r="AH200" t="str">
            <v/>
          </cell>
          <cell r="AI200" t="str">
            <v/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 t="str">
            <v/>
          </cell>
          <cell r="AO200" t="str">
            <v>Agri. Occupational &amp; Bus Licenses</v>
          </cell>
          <cell r="AP200" t="str">
            <v>Al Rajhi Bank</v>
          </cell>
          <cell r="AQ200" t="str">
            <v xml:space="preserve">SA3080000134608010188075
</v>
          </cell>
          <cell r="AR200">
            <v>8010</v>
          </cell>
          <cell r="AS200" t="str">
            <v/>
          </cell>
          <cell r="AT200">
            <v>301</v>
          </cell>
          <cell r="AU200">
            <v>2002.5</v>
          </cell>
          <cell r="AV200" t="str">
            <v/>
          </cell>
        </row>
        <row r="201">
          <cell r="A201">
            <v>400020</v>
          </cell>
          <cell r="B201" t="str">
            <v>1037201306</v>
          </cell>
          <cell r="C201" t="str">
            <v>السيد</v>
          </cell>
          <cell r="D201" t="str">
            <v>Khalid AL-Dosari</v>
          </cell>
          <cell r="E201" t="str">
            <v>خالد عبدالله مبارك الدوسري</v>
          </cell>
          <cell r="F201" t="str">
            <v>Male</v>
          </cell>
          <cell r="G201" t="str">
            <v>أعزب</v>
          </cell>
          <cell r="H201">
            <v>36526</v>
          </cell>
          <cell r="I201">
            <v>26</v>
          </cell>
          <cell r="J201">
            <v>9664</v>
          </cell>
          <cell r="K201" t="str">
            <v>E14889@agriserv.com.sa</v>
          </cell>
          <cell r="L201" t="str">
            <v>0505556493</v>
          </cell>
          <cell r="M201" t="str">
            <v/>
          </cell>
          <cell r="N201" t="str">
            <v>المملكة العربية السعودية</v>
          </cell>
          <cell r="O201" t="str">
            <v/>
          </cell>
          <cell r="P201" t="str">
            <v/>
          </cell>
          <cell r="Q201" t="str">
            <v>الدرجة ٥</v>
          </cell>
          <cell r="R201" t="str">
            <v/>
          </cell>
          <cell r="S201" t="str">
            <v/>
          </cell>
          <cell r="T201" t="str">
            <v>ترخيص الأعمال البيطرية والثروة الحيوانية</v>
          </cell>
          <cell r="U201" t="str">
            <v>الشهادات</v>
          </cell>
          <cell r="V201" t="str">
            <v>التراخيص</v>
          </cell>
          <cell r="W201" t="str">
            <v>Al Riyadh</v>
          </cell>
          <cell r="X201" t="str">
            <v xml:space="preserve">المقر الرئيسي </v>
          </cell>
          <cell r="Y201">
            <v>44592</v>
          </cell>
          <cell r="Z201">
            <v>4.38</v>
          </cell>
          <cell r="AA201">
            <v>1598</v>
          </cell>
          <cell r="AB201" t="str">
            <v>غير نشط</v>
          </cell>
          <cell r="AC201" t="str">
            <v>400256</v>
          </cell>
          <cell r="AD201" t="str">
            <v>Majed Alfaraj</v>
          </cell>
          <cell r="AE201" t="str">
            <v>إعارة</v>
          </cell>
          <cell r="AF201">
            <v>45077</v>
          </cell>
          <cell r="AG201" t="str">
            <v/>
          </cell>
          <cell r="AH201" t="str">
            <v/>
          </cell>
          <cell r="AI201" t="str">
            <v/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 t="str">
            <v/>
          </cell>
          <cell r="AO201" t="str">
            <v>Vet Occupational &amp; Bus Licenses</v>
          </cell>
          <cell r="AP201" t="str">
            <v>Saudi Awwal Bank</v>
          </cell>
          <cell r="AQ201" t="str">
            <v xml:space="preserve">SA1445000000003006780001
</v>
          </cell>
          <cell r="AR201">
            <v>18175</v>
          </cell>
          <cell r="AS201" t="str">
            <v/>
          </cell>
          <cell r="AT201">
            <v>917.5</v>
          </cell>
          <cell r="AU201">
            <v>4543.75</v>
          </cell>
          <cell r="AV201" t="str">
            <v/>
          </cell>
        </row>
        <row r="202">
          <cell r="A202">
            <v>400021</v>
          </cell>
          <cell r="B202" t="str">
            <v>1011418249</v>
          </cell>
          <cell r="C202" t="str">
            <v>السيد</v>
          </cell>
          <cell r="D202" t="str">
            <v>Naji Hassan Yousif Musbih</v>
          </cell>
          <cell r="E202" t="str">
            <v>ناجي حسن يوسف امسبح</v>
          </cell>
          <cell r="F202" t="str">
            <v>Male</v>
          </cell>
          <cell r="G202" t="str">
            <v>أعزب</v>
          </cell>
          <cell r="H202">
            <v>36526</v>
          </cell>
          <cell r="I202">
            <v>26</v>
          </cell>
          <cell r="J202">
            <v>9664</v>
          </cell>
          <cell r="K202" t="str">
            <v>E23008@agriserv.com.sa</v>
          </cell>
          <cell r="L202" t="str">
            <v>0503822419</v>
          </cell>
          <cell r="M202" t="str">
            <v/>
          </cell>
          <cell r="N202" t="str">
            <v>المملكة العربية السعودية</v>
          </cell>
          <cell r="O202" t="str">
            <v>50000918</v>
          </cell>
          <cell r="P202" t="str">
            <v>أخصائي ترخيص المهن البيطرية</v>
          </cell>
          <cell r="Q202" t="str">
            <v>الدرجة 7</v>
          </cell>
          <cell r="R202" t="str">
            <v/>
          </cell>
          <cell r="S202" t="str">
            <v/>
          </cell>
          <cell r="T202" t="str">
            <v/>
          </cell>
          <cell r="U202" t="str">
            <v>الشهادات</v>
          </cell>
          <cell r="V202" t="str">
            <v>التراخيص</v>
          </cell>
          <cell r="W202" t="str">
            <v>Al Riyadh</v>
          </cell>
          <cell r="X202" t="str">
            <v xml:space="preserve">المقر الرئيسي </v>
          </cell>
          <cell r="Y202">
            <v>44592</v>
          </cell>
          <cell r="Z202">
            <v>4.38</v>
          </cell>
          <cell r="AA202">
            <v>1598</v>
          </cell>
          <cell r="AB202" t="str">
            <v>غير نشط</v>
          </cell>
          <cell r="AC202" t="str">
            <v/>
          </cell>
          <cell r="AD202" t="str">
            <v xml:space="preserve"> </v>
          </cell>
          <cell r="AE202" t="str">
            <v>إعارة</v>
          </cell>
          <cell r="AF202">
            <v>45208</v>
          </cell>
          <cell r="AG202" t="str">
            <v/>
          </cell>
          <cell r="AH202" t="str">
            <v/>
          </cell>
          <cell r="AI202" t="str">
            <v/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 t="str">
            <v/>
          </cell>
          <cell r="AO202" t="str">
            <v>Agri. Occupational &amp; Bus Licenses</v>
          </cell>
          <cell r="AP202" t="str">
            <v>Riyad Bank</v>
          </cell>
          <cell r="AQ202" t="str">
            <v>SA8220000003301199049940</v>
          </cell>
          <cell r="AR202">
            <v>13035</v>
          </cell>
          <cell r="AS202" t="str">
            <v/>
          </cell>
          <cell r="AT202">
            <v>603.5</v>
          </cell>
          <cell r="AU202">
            <v>3258.75</v>
          </cell>
          <cell r="AV202" t="str">
            <v/>
          </cell>
        </row>
        <row r="203">
          <cell r="A203">
            <v>400022</v>
          </cell>
          <cell r="B203" t="str">
            <v>1003609300</v>
          </cell>
          <cell r="C203" t="str">
            <v>السيد</v>
          </cell>
          <cell r="D203" t="str">
            <v>Abduljaleel Jaber Benya Alnakhli</v>
          </cell>
          <cell r="E203" t="str">
            <v>عبدالجليل جابر بنيه النخلي</v>
          </cell>
          <cell r="F203" t="str">
            <v>Male</v>
          </cell>
          <cell r="G203" t="str">
            <v>أعزب</v>
          </cell>
          <cell r="H203">
            <v>36526</v>
          </cell>
          <cell r="I203">
            <v>26</v>
          </cell>
          <cell r="J203">
            <v>9664</v>
          </cell>
          <cell r="K203" t="str">
            <v>E20729@agriserv.com.sa</v>
          </cell>
          <cell r="L203" t="str">
            <v>0556333575</v>
          </cell>
          <cell r="M203" t="str">
            <v/>
          </cell>
          <cell r="N203" t="str">
            <v>المملكة العربية السعودية</v>
          </cell>
          <cell r="O203" t="str">
            <v>50000003</v>
          </cell>
          <cell r="P203" t="str">
            <v>أخصائي ترخيص الأعمال البيطرية</v>
          </cell>
          <cell r="Q203" t="str">
            <v>الدرجة ٥</v>
          </cell>
          <cell r="R203" t="str">
            <v/>
          </cell>
          <cell r="S203" t="str">
            <v/>
          </cell>
          <cell r="T203" t="str">
            <v>ترخيص الأعمال البيطرية والثروة الحيوانية</v>
          </cell>
          <cell r="U203" t="str">
            <v>الشهادات</v>
          </cell>
          <cell r="V203" t="str">
            <v>التراخيص</v>
          </cell>
          <cell r="W203" t="str">
            <v>Al Riyadh</v>
          </cell>
          <cell r="X203" t="str">
            <v xml:space="preserve">المقر الرئيسي </v>
          </cell>
          <cell r="Y203">
            <v>44592</v>
          </cell>
          <cell r="Z203">
            <v>4.38</v>
          </cell>
          <cell r="AA203">
            <v>1598</v>
          </cell>
          <cell r="AB203" t="str">
            <v>غير نشط</v>
          </cell>
          <cell r="AC203" t="str">
            <v>400256</v>
          </cell>
          <cell r="AD203" t="str">
            <v>Majed Alfaraj</v>
          </cell>
          <cell r="AE203" t="str">
            <v>إعارة</v>
          </cell>
          <cell r="AF203">
            <v>45178</v>
          </cell>
          <cell r="AG203" t="str">
            <v/>
          </cell>
          <cell r="AH203" t="str">
            <v/>
          </cell>
          <cell r="AI203" t="str">
            <v/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 t="str">
            <v/>
          </cell>
          <cell r="AO203" t="str">
            <v>Vet Occupational &amp; Bus Licenses</v>
          </cell>
          <cell r="AP203" t="str">
            <v>Saudi National Bank</v>
          </cell>
          <cell r="AQ203" t="str">
            <v>SA8610000071100002424910</v>
          </cell>
          <cell r="AR203">
            <v>11745</v>
          </cell>
          <cell r="AS203" t="str">
            <v/>
          </cell>
          <cell r="AT203">
            <v>474.5</v>
          </cell>
          <cell r="AU203">
            <v>2936.25</v>
          </cell>
          <cell r="AV203" t="str">
            <v/>
          </cell>
        </row>
        <row r="204">
          <cell r="A204">
            <v>400023</v>
          </cell>
          <cell r="B204" t="str">
            <v>1005657653</v>
          </cell>
          <cell r="C204" t="str">
            <v>السيد</v>
          </cell>
          <cell r="D204" t="str">
            <v>Hussain Al-Ewaishi</v>
          </cell>
          <cell r="E204" t="str">
            <v>حسين حاجي ظاهر العويسي</v>
          </cell>
          <cell r="F204" t="str">
            <v>Male</v>
          </cell>
          <cell r="G204" t="str">
            <v>أعزب</v>
          </cell>
          <cell r="H204">
            <v>36526</v>
          </cell>
          <cell r="I204">
            <v>26</v>
          </cell>
          <cell r="J204">
            <v>9664</v>
          </cell>
          <cell r="K204" t="str">
            <v>halaweshy@agriserv.com.sa</v>
          </cell>
          <cell r="L204" t="str">
            <v>0503931886</v>
          </cell>
          <cell r="M204" t="str">
            <v/>
          </cell>
          <cell r="N204" t="str">
            <v>المملكة العربية السعودية</v>
          </cell>
          <cell r="O204" t="str">
            <v>50000004</v>
          </cell>
          <cell r="P204" t="str">
            <v>أخصائي ترخيص المشاريع الحيوانية</v>
          </cell>
          <cell r="Q204" t="str">
            <v>الدرجة ٥</v>
          </cell>
          <cell r="R204" t="str">
            <v/>
          </cell>
          <cell r="S204" t="str">
            <v/>
          </cell>
          <cell r="T204" t="str">
            <v>ترخيص الأعمال البيطرية والثروة الحيوانية</v>
          </cell>
          <cell r="U204" t="str">
            <v>الشهادات</v>
          </cell>
          <cell r="V204" t="str">
            <v>التراخيص</v>
          </cell>
          <cell r="W204" t="str">
            <v>Al Riyadh</v>
          </cell>
          <cell r="X204" t="str">
            <v xml:space="preserve">المقر الرئيسي </v>
          </cell>
          <cell r="Y204">
            <v>44592</v>
          </cell>
          <cell r="Z204">
            <v>4.38</v>
          </cell>
          <cell r="AA204">
            <v>1598</v>
          </cell>
          <cell r="AB204" t="str">
            <v>غير نشط</v>
          </cell>
          <cell r="AC204" t="str">
            <v>400256</v>
          </cell>
          <cell r="AD204" t="str">
            <v>Majed Alfaraj</v>
          </cell>
          <cell r="AE204" t="str">
            <v>إعارة</v>
          </cell>
          <cell r="AF204">
            <v>44985</v>
          </cell>
          <cell r="AG204" t="str">
            <v/>
          </cell>
          <cell r="AH204" t="str">
            <v/>
          </cell>
          <cell r="AI204" t="str">
            <v/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 t="str">
            <v/>
          </cell>
          <cell r="AO204" t="str">
            <v>Vet Occupational &amp; Bus Licenses</v>
          </cell>
          <cell r="AP204" t="str">
            <v>Saudi National Bank</v>
          </cell>
          <cell r="AQ204" t="str">
            <v>SA9610000083500000316203</v>
          </cell>
          <cell r="AR204">
            <v>9200</v>
          </cell>
          <cell r="AS204" t="str">
            <v/>
          </cell>
          <cell r="AT204">
            <v>220</v>
          </cell>
          <cell r="AU204">
            <v>2300</v>
          </cell>
          <cell r="AV204" t="str">
            <v/>
          </cell>
        </row>
        <row r="205">
          <cell r="A205">
            <v>400024</v>
          </cell>
          <cell r="B205" t="str">
            <v>1068612876</v>
          </cell>
          <cell r="C205" t="str">
            <v>السيد</v>
          </cell>
          <cell r="D205" t="str">
            <v>Meshal Fahad Mohammed Alghannam</v>
          </cell>
          <cell r="E205" t="str">
            <v>مشعل فهد محمد الغنام</v>
          </cell>
          <cell r="F205" t="str">
            <v>Male</v>
          </cell>
          <cell r="G205" t="str">
            <v>أعزب</v>
          </cell>
          <cell r="H205">
            <v>33074</v>
          </cell>
          <cell r="I205">
            <v>36</v>
          </cell>
          <cell r="J205">
            <v>13116</v>
          </cell>
          <cell r="K205" t="str">
            <v>Meshal.AlGhannam@agriserv.sa</v>
          </cell>
          <cell r="L205" t="str">
            <v>0592230141</v>
          </cell>
          <cell r="M205" t="str">
            <v>4105</v>
          </cell>
          <cell r="N205" t="str">
            <v>المملكة العربية السعودية</v>
          </cell>
          <cell r="O205" t="str">
            <v>50000917</v>
          </cell>
          <cell r="P205" t="str">
            <v>أخصائي ترخيص الأعمال البيطرية</v>
          </cell>
          <cell r="Q205" t="str">
            <v>الدرجة ٥</v>
          </cell>
          <cell r="R205" t="str">
            <v>Class A</v>
          </cell>
          <cell r="S205" t="str">
            <v/>
          </cell>
          <cell r="T205" t="str">
            <v/>
          </cell>
          <cell r="U205" t="str">
            <v>التراخيص</v>
          </cell>
          <cell r="V205" t="str">
            <v>التراخيص</v>
          </cell>
          <cell r="W205" t="str">
            <v>Al Riyadh</v>
          </cell>
          <cell r="X205" t="str">
            <v xml:space="preserve">المقر الرئيسي </v>
          </cell>
          <cell r="Y205">
            <v>44592</v>
          </cell>
          <cell r="Z205">
            <v>4.38</v>
          </cell>
          <cell r="AA205">
            <v>1598</v>
          </cell>
          <cell r="AB205" t="str">
            <v>نشط</v>
          </cell>
          <cell r="AC205" t="str">
            <v>100128</v>
          </cell>
          <cell r="AD205" t="str">
            <v>Abdalaziz Alkhamshi</v>
          </cell>
          <cell r="AE205" t="str">
            <v>إعارة</v>
          </cell>
          <cell r="AF205" t="str">
            <v/>
          </cell>
          <cell r="AG205" t="str">
            <v/>
          </cell>
          <cell r="AH205" t="str">
            <v>ثانوية</v>
          </cell>
          <cell r="AI205" t="str">
            <v>شهادة المدرسة الثانوية</v>
          </cell>
          <cell r="AJ205">
            <v>1</v>
          </cell>
          <cell r="AK205">
            <v>0</v>
          </cell>
          <cell r="AL205">
            <v>0</v>
          </cell>
          <cell r="AM205">
            <v>1</v>
          </cell>
          <cell r="AN205" t="str">
            <v/>
          </cell>
          <cell r="AO205" t="str">
            <v>التراخيص والشهادات</v>
          </cell>
          <cell r="AP205" t="str">
            <v>Al Rajhi Bank</v>
          </cell>
          <cell r="AQ205" t="str">
            <v>SA5580000495608010031641</v>
          </cell>
          <cell r="AR205">
            <v>10029</v>
          </cell>
          <cell r="AS205" t="str">
            <v/>
          </cell>
          <cell r="AT205">
            <v>502.9</v>
          </cell>
          <cell r="AU205">
            <v>2507.25</v>
          </cell>
          <cell r="AV205" t="str">
            <v/>
          </cell>
        </row>
        <row r="206">
          <cell r="A206">
            <v>400025</v>
          </cell>
          <cell r="B206" t="str">
            <v>1093122362</v>
          </cell>
          <cell r="C206" t="str">
            <v>السيد</v>
          </cell>
          <cell r="D206" t="str">
            <v>Bijad Ali Mohsen Albaqami</v>
          </cell>
          <cell r="E206" t="str">
            <v>بجاد علي محسن البقمي</v>
          </cell>
          <cell r="F206" t="str">
            <v>Male</v>
          </cell>
          <cell r="G206" t="str">
            <v>متزوج</v>
          </cell>
          <cell r="H206">
            <v>34230</v>
          </cell>
          <cell r="I206">
            <v>33</v>
          </cell>
          <cell r="J206">
            <v>11960</v>
          </cell>
          <cell r="K206" t="str">
            <v>Bijad.AlBaqami@agriserv.sa</v>
          </cell>
          <cell r="L206" t="str">
            <v>0590904244</v>
          </cell>
          <cell r="M206" t="str">
            <v>4106</v>
          </cell>
          <cell r="N206" t="str">
            <v>المملكة العربية السعودية</v>
          </cell>
          <cell r="O206" t="str">
            <v>50000915</v>
          </cell>
          <cell r="P206" t="str">
            <v>أخصائي ترخيص المهن الحيوانية</v>
          </cell>
          <cell r="Q206" t="str">
            <v>الدرجة ٥</v>
          </cell>
          <cell r="R206" t="str">
            <v>Class A</v>
          </cell>
          <cell r="S206" t="str">
            <v/>
          </cell>
          <cell r="T206" t="str">
            <v/>
          </cell>
          <cell r="U206" t="str">
            <v>التراخيص</v>
          </cell>
          <cell r="V206" t="str">
            <v>التراخيص</v>
          </cell>
          <cell r="W206" t="str">
            <v>Al Riyadh</v>
          </cell>
          <cell r="X206" t="str">
            <v xml:space="preserve">المقر الرئيسي </v>
          </cell>
          <cell r="Y206">
            <v>44592</v>
          </cell>
          <cell r="Z206">
            <v>4.38</v>
          </cell>
          <cell r="AA206">
            <v>1598</v>
          </cell>
          <cell r="AB206" t="str">
            <v>نشط</v>
          </cell>
          <cell r="AC206" t="str">
            <v>100128</v>
          </cell>
          <cell r="AD206" t="str">
            <v>Abdalaziz Alkhamshi</v>
          </cell>
          <cell r="AE206" t="str">
            <v>إعارة</v>
          </cell>
          <cell r="AF206" t="str">
            <v/>
          </cell>
          <cell r="AG206" t="str">
            <v/>
          </cell>
          <cell r="AH206" t="str">
            <v>ثانوية</v>
          </cell>
          <cell r="AI206" t="str">
            <v>شهادة المدرسة الثانوية</v>
          </cell>
          <cell r="AJ206">
            <v>5</v>
          </cell>
          <cell r="AK206">
            <v>2</v>
          </cell>
          <cell r="AL206">
            <v>1</v>
          </cell>
          <cell r="AM206">
            <v>2</v>
          </cell>
          <cell r="AN206" t="str">
            <v/>
          </cell>
          <cell r="AO206" t="str">
            <v>التراخيص والشهادات</v>
          </cell>
          <cell r="AP206" t="str">
            <v>Inma Bank</v>
          </cell>
          <cell r="AQ206" t="str">
            <v>SA9505000068202251142000</v>
          </cell>
          <cell r="AR206">
            <v>9932</v>
          </cell>
          <cell r="AS206" t="str">
            <v/>
          </cell>
          <cell r="AT206">
            <v>493.2</v>
          </cell>
          <cell r="AU206">
            <v>2483</v>
          </cell>
          <cell r="AV206" t="str">
            <v/>
          </cell>
        </row>
        <row r="207">
          <cell r="A207">
            <v>400026</v>
          </cell>
          <cell r="B207" t="str">
            <v/>
          </cell>
          <cell r="C207" t="str">
            <v>السيد</v>
          </cell>
          <cell r="D207" t="str">
            <v>Ahmed Elzakiy</v>
          </cell>
          <cell r="E207" t="str">
            <v>احمد الزاكي محمد محمد</v>
          </cell>
          <cell r="F207" t="str">
            <v>Male</v>
          </cell>
          <cell r="G207" t="str">
            <v>أعزب</v>
          </cell>
          <cell r="H207">
            <v>36526</v>
          </cell>
          <cell r="I207">
            <v>26</v>
          </cell>
          <cell r="J207">
            <v>9664</v>
          </cell>
          <cell r="K207" t="str">
            <v/>
          </cell>
          <cell r="L207" t="str">
            <v/>
          </cell>
          <cell r="M207" t="str">
            <v/>
          </cell>
          <cell r="N207" t="str">
            <v>المملكة العربية السعودية</v>
          </cell>
          <cell r="O207" t="str">
            <v>50000919</v>
          </cell>
          <cell r="P207" t="str">
            <v>أخصائي ترخيص المهن البيطرية</v>
          </cell>
          <cell r="Q207" t="str">
            <v>الدرجة ٥</v>
          </cell>
          <cell r="R207" t="str">
            <v/>
          </cell>
          <cell r="S207" t="str">
            <v/>
          </cell>
          <cell r="T207" t="str">
            <v/>
          </cell>
          <cell r="U207" t="str">
            <v>الشهادات</v>
          </cell>
          <cell r="V207" t="str">
            <v>التراخيص</v>
          </cell>
          <cell r="W207" t="str">
            <v>Al Riyadh</v>
          </cell>
          <cell r="X207" t="str">
            <v xml:space="preserve">المقر الرئيسي </v>
          </cell>
          <cell r="Y207">
            <v>44592</v>
          </cell>
          <cell r="Z207">
            <v>4.38</v>
          </cell>
          <cell r="AA207">
            <v>1598</v>
          </cell>
          <cell r="AB207" t="str">
            <v>غير نشط</v>
          </cell>
          <cell r="AC207" t="str">
            <v>400009</v>
          </cell>
          <cell r="AD207" t="str">
            <v>Rasheed AL-Salhi</v>
          </cell>
          <cell r="AE207" t="str">
            <v>إعارة</v>
          </cell>
          <cell r="AF207">
            <v>44620</v>
          </cell>
          <cell r="AG207" t="str">
            <v/>
          </cell>
          <cell r="AH207" t="str">
            <v/>
          </cell>
          <cell r="AI207" t="str">
            <v/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 t="str">
            <v/>
          </cell>
          <cell r="AO207" t="str">
            <v>Agri. Occupational &amp; Bus Licenses</v>
          </cell>
          <cell r="AP207" t="str">
            <v>Al Rajhi Bank</v>
          </cell>
          <cell r="AQ207" t="str">
            <v>SA5480000217608010076890</v>
          </cell>
          <cell r="AR207">
            <v>7000</v>
          </cell>
          <cell r="AS207" t="str">
            <v/>
          </cell>
          <cell r="AT207">
            <v>300</v>
          </cell>
          <cell r="AU207">
            <v>1750</v>
          </cell>
          <cell r="AV207" t="str">
            <v/>
          </cell>
        </row>
        <row r="208">
          <cell r="A208">
            <v>400027</v>
          </cell>
          <cell r="B208" t="str">
            <v>1069850038</v>
          </cell>
          <cell r="C208" t="str">
            <v>السيد</v>
          </cell>
          <cell r="D208" t="str">
            <v>ALQASEM OTHMAN</v>
          </cell>
          <cell r="E208" t="str">
            <v>عبدالله عبدالله عثمان القاسم</v>
          </cell>
          <cell r="F208" t="str">
            <v>Male</v>
          </cell>
          <cell r="G208" t="str">
            <v>أعزب</v>
          </cell>
          <cell r="H208">
            <v>36526</v>
          </cell>
          <cell r="I208">
            <v>26</v>
          </cell>
          <cell r="J208">
            <v>9664</v>
          </cell>
          <cell r="K208" t="str">
            <v/>
          </cell>
          <cell r="L208" t="str">
            <v/>
          </cell>
          <cell r="M208" t="str">
            <v/>
          </cell>
          <cell r="N208" t="str">
            <v>المملكة العربية السعودية</v>
          </cell>
          <cell r="O208" t="str">
            <v>50000910</v>
          </cell>
          <cell r="P208" t="str">
            <v>أخصائي أول ترخيص الأعمال الثروة النباتية</v>
          </cell>
          <cell r="Q208" t="str">
            <v>الدرجة 6</v>
          </cell>
          <cell r="R208" t="str">
            <v/>
          </cell>
          <cell r="S208" t="str">
            <v/>
          </cell>
          <cell r="T208" t="str">
            <v/>
          </cell>
          <cell r="U208" t="str">
            <v>التراخيص</v>
          </cell>
          <cell r="V208" t="str">
            <v>التراخيص</v>
          </cell>
          <cell r="W208" t="str">
            <v>Al Riyadh</v>
          </cell>
          <cell r="X208" t="str">
            <v xml:space="preserve">الفرع </v>
          </cell>
          <cell r="Y208">
            <v>44592</v>
          </cell>
          <cell r="Z208">
            <v>4.38</v>
          </cell>
          <cell r="AA208">
            <v>1598</v>
          </cell>
          <cell r="AB208" t="str">
            <v>غير نشط</v>
          </cell>
          <cell r="AC208" t="str">
            <v>100000</v>
          </cell>
          <cell r="AD208" t="str">
            <v>Hussain Almalki</v>
          </cell>
          <cell r="AE208" t="str">
            <v>إعارة</v>
          </cell>
          <cell r="AF208">
            <v>44620</v>
          </cell>
          <cell r="AG208" t="str">
            <v/>
          </cell>
          <cell r="AH208" t="str">
            <v/>
          </cell>
          <cell r="AI208" t="str">
            <v/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 t="str">
            <v/>
          </cell>
          <cell r="AO208" t="str">
            <v>Agri. Occupational &amp; Bus Licenses</v>
          </cell>
          <cell r="AP208" t="str">
            <v>Al Rajhi Bank</v>
          </cell>
          <cell r="AQ208" t="str">
            <v>SA8180000203608012008277</v>
          </cell>
          <cell r="AR208">
            <v>8470</v>
          </cell>
          <cell r="AS208" t="str">
            <v/>
          </cell>
          <cell r="AT208">
            <v>147</v>
          </cell>
          <cell r="AU208">
            <v>2117.5</v>
          </cell>
          <cell r="AV208" t="str">
            <v/>
          </cell>
        </row>
        <row r="209">
          <cell r="A209">
            <v>400028</v>
          </cell>
          <cell r="B209" t="str">
            <v/>
          </cell>
          <cell r="C209" t="str">
            <v>السيد</v>
          </cell>
          <cell r="D209" t="str">
            <v>Ibrahim Saleh Ibrahim Alnuwaiser</v>
          </cell>
          <cell r="E209" t="str">
            <v>ابراهيم صالح ابراهيم النويصر</v>
          </cell>
          <cell r="F209" t="str">
            <v>Male</v>
          </cell>
          <cell r="G209" t="str">
            <v>متزوج</v>
          </cell>
          <cell r="H209">
            <v>29752</v>
          </cell>
          <cell r="I209">
            <v>45</v>
          </cell>
          <cell r="J209">
            <v>16438</v>
          </cell>
          <cell r="K209" t="str">
            <v/>
          </cell>
          <cell r="L209" t="str">
            <v>0553137778</v>
          </cell>
          <cell r="M209" t="str">
            <v/>
          </cell>
          <cell r="N209" t="str">
            <v>المملكة العربية السعودية</v>
          </cell>
          <cell r="O209" t="str">
            <v>50000013</v>
          </cell>
          <cell r="P209" t="str">
            <v>مدير إدارة أذونات الاستيراد والتصدير</v>
          </cell>
          <cell r="Q209" t="str">
            <v>الدرجة 9</v>
          </cell>
          <cell r="R209" t="str">
            <v>Class VIP</v>
          </cell>
          <cell r="S209" t="str">
            <v/>
          </cell>
          <cell r="T209" t="str">
            <v/>
          </cell>
          <cell r="U209" t="str">
            <v>الاذونات وخدمات المحاجر</v>
          </cell>
          <cell r="V209" t="str">
            <v>العمليات</v>
          </cell>
          <cell r="W209" t="str">
            <v>Head Quarter</v>
          </cell>
          <cell r="X209" t="str">
            <v xml:space="preserve">المقر الرئيسي </v>
          </cell>
          <cell r="Y209">
            <v>44691</v>
          </cell>
          <cell r="Z209">
            <v>4.0999999999999996</v>
          </cell>
          <cell r="AA209">
            <v>1499</v>
          </cell>
          <cell r="AB209" t="str">
            <v>غير نشط</v>
          </cell>
          <cell r="AC209" t="str">
            <v>400003</v>
          </cell>
          <cell r="AD209" t="str">
            <v>Ibrahim Bukhari</v>
          </cell>
          <cell r="AE209" t="str">
            <v>إعارة</v>
          </cell>
          <cell r="AF209">
            <v>45535</v>
          </cell>
          <cell r="AG209" t="str">
            <v/>
          </cell>
          <cell r="AH209" t="str">
            <v>مكافحه العدوي</v>
          </cell>
          <cell r="AI209" t="str">
            <v>ماجستير</v>
          </cell>
          <cell r="AJ209">
            <v>5</v>
          </cell>
          <cell r="AK209">
            <v>4</v>
          </cell>
          <cell r="AL209">
            <v>1</v>
          </cell>
          <cell r="AM209">
            <v>0</v>
          </cell>
          <cell r="AN209" t="str">
            <v/>
          </cell>
          <cell r="AO209" t="str">
            <v>Import / Export Permits</v>
          </cell>
          <cell r="AP209" t="str">
            <v>Arab National Bank</v>
          </cell>
          <cell r="AQ209" t="str">
            <v>SA7730400108070101970015</v>
          </cell>
          <cell r="AR209">
            <v>19135</v>
          </cell>
          <cell r="AS209" t="str">
            <v/>
          </cell>
          <cell r="AT209">
            <v>1013.5</v>
          </cell>
          <cell r="AU209">
            <v>4783.75</v>
          </cell>
          <cell r="AV209" t="str">
            <v/>
          </cell>
        </row>
        <row r="210">
          <cell r="A210">
            <v>400029</v>
          </cell>
          <cell r="B210" t="str">
            <v>1011763024</v>
          </cell>
          <cell r="C210" t="str">
            <v>السيد</v>
          </cell>
          <cell r="D210" t="str">
            <v>Zakaria Salman Qasim Alhayek</v>
          </cell>
          <cell r="E210" t="str">
            <v>زكريا سلمان قاسم الحايك</v>
          </cell>
          <cell r="F210" t="str">
            <v>Male</v>
          </cell>
          <cell r="G210" t="str">
            <v>متزوج</v>
          </cell>
          <cell r="H210">
            <v>28873</v>
          </cell>
          <cell r="I210">
            <v>47</v>
          </cell>
          <cell r="J210">
            <v>17317</v>
          </cell>
          <cell r="K210" t="str">
            <v>Zakaria.AlHayek@agriserv.sa</v>
          </cell>
          <cell r="L210" t="str">
            <v>0504937060</v>
          </cell>
          <cell r="M210" t="str">
            <v>3310</v>
          </cell>
          <cell r="N210" t="str">
            <v>المملكة العربية السعودية</v>
          </cell>
          <cell r="O210" t="str">
            <v>50000000</v>
          </cell>
          <cell r="P210" t="str">
            <v>أخصائي أول ترخيص الأعمال البيطرية</v>
          </cell>
          <cell r="Q210" t="str">
            <v>الدرجة ٥</v>
          </cell>
          <cell r="R210" t="str">
            <v>Class A</v>
          </cell>
          <cell r="S210" t="str">
            <v/>
          </cell>
          <cell r="T210" t="str">
            <v>الاذونات</v>
          </cell>
          <cell r="U210" t="str">
            <v>الاذونات وخدمات المحاجر</v>
          </cell>
          <cell r="V210" t="str">
            <v>العمليات</v>
          </cell>
          <cell r="W210" t="str">
            <v>Al Riyadh</v>
          </cell>
          <cell r="X210" t="str">
            <v xml:space="preserve">المقر الرئيسي </v>
          </cell>
          <cell r="Y210">
            <v>44691</v>
          </cell>
          <cell r="Z210">
            <v>4.0999999999999996</v>
          </cell>
          <cell r="AA210">
            <v>1499</v>
          </cell>
          <cell r="AB210" t="str">
            <v>نشط</v>
          </cell>
          <cell r="AC210" t="str">
            <v>400096</v>
          </cell>
          <cell r="AD210" t="str">
            <v>Saleh Alkraidis</v>
          </cell>
          <cell r="AE210" t="str">
            <v>إعارة</v>
          </cell>
          <cell r="AF210" t="str">
            <v/>
          </cell>
          <cell r="AG210" t="str">
            <v/>
          </cell>
          <cell r="AH210" t="str">
            <v>انتاج حيواني</v>
          </cell>
          <cell r="AI210" t="str">
            <v>بكالوريوس</v>
          </cell>
          <cell r="AJ210">
            <v>7</v>
          </cell>
          <cell r="AK210">
            <v>4</v>
          </cell>
          <cell r="AL210">
            <v>1</v>
          </cell>
          <cell r="AM210">
            <v>2</v>
          </cell>
          <cell r="AN210" t="str">
            <v/>
          </cell>
          <cell r="AO210" t="str">
            <v>الاذونات وخدمات المحاجر</v>
          </cell>
          <cell r="AP210" t="str">
            <v>Riyad Bank</v>
          </cell>
          <cell r="AQ210" t="str">
            <v>SA5620000003300225689940</v>
          </cell>
          <cell r="AR210">
            <v>11625</v>
          </cell>
          <cell r="AS210" t="str">
            <v/>
          </cell>
          <cell r="AT210">
            <v>462.5</v>
          </cell>
          <cell r="AU210">
            <v>2906.25</v>
          </cell>
          <cell r="AV210" t="str">
            <v/>
          </cell>
        </row>
        <row r="211">
          <cell r="A211">
            <v>400030</v>
          </cell>
          <cell r="B211" t="str">
            <v>1023310459</v>
          </cell>
          <cell r="C211" t="str">
            <v>السيد</v>
          </cell>
          <cell r="D211" t="str">
            <v>Abdullrahman Abdullah Abdullrahman Alyahya</v>
          </cell>
          <cell r="E211" t="str">
            <v>عبدالرحمن عبدالله عبدالرحمن اليحيى</v>
          </cell>
          <cell r="F211" t="str">
            <v>Male</v>
          </cell>
          <cell r="G211" t="str">
            <v>أعزب</v>
          </cell>
          <cell r="H211">
            <v>30862</v>
          </cell>
          <cell r="I211">
            <v>42</v>
          </cell>
          <cell r="J211">
            <v>15328</v>
          </cell>
          <cell r="K211" t="str">
            <v>ABDAALYAHYA@agriserv.com.sa</v>
          </cell>
          <cell r="L211" t="str">
            <v>0556222174</v>
          </cell>
          <cell r="M211" t="str">
            <v/>
          </cell>
          <cell r="N211" t="str">
            <v>المملكة العربية السعودية</v>
          </cell>
          <cell r="O211" t="str">
            <v>50000042</v>
          </cell>
          <cell r="P211" t="str">
            <v>أخصائي أول ترخيص الأعمال الثروة النباتية</v>
          </cell>
          <cell r="Q211" t="str">
            <v>الدرجة ٥</v>
          </cell>
          <cell r="R211" t="str">
            <v/>
          </cell>
          <cell r="S211" t="str">
            <v/>
          </cell>
          <cell r="T211" t="str">
            <v>محافظة  القويعية</v>
          </cell>
          <cell r="U211" t="str">
            <v>عمليات الفروع</v>
          </cell>
          <cell r="V211" t="str">
            <v>الفروع</v>
          </cell>
          <cell r="W211" t="str">
            <v>Al Riyadh</v>
          </cell>
          <cell r="X211" t="str">
            <v xml:space="preserve">الفرع </v>
          </cell>
          <cell r="Y211">
            <v>44691</v>
          </cell>
          <cell r="Z211">
            <v>4.0999999999999996</v>
          </cell>
          <cell r="AA211">
            <v>1499</v>
          </cell>
          <cell r="AB211" t="str">
            <v>غير نشط</v>
          </cell>
          <cell r="AC211" t="str">
            <v>400237</v>
          </cell>
          <cell r="AD211" t="str">
            <v>Reda Alkhwaja</v>
          </cell>
          <cell r="AE211" t="str">
            <v>إعارة</v>
          </cell>
          <cell r="AF211">
            <v>45412</v>
          </cell>
          <cell r="AG211" t="str">
            <v/>
          </cell>
          <cell r="AH211" t="str">
            <v/>
          </cell>
          <cell r="AI211" t="str">
            <v/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 t="str">
            <v/>
          </cell>
          <cell r="AO211" t="str">
            <v>Agri. Occupational &amp; Bus Licenses</v>
          </cell>
          <cell r="AP211" t="str">
            <v>Bank Al Bilad</v>
          </cell>
          <cell r="AQ211" t="str">
            <v>SA1415000435127394540007</v>
          </cell>
          <cell r="AR211">
            <v>10295</v>
          </cell>
          <cell r="AS211" t="str">
            <v/>
          </cell>
          <cell r="AT211">
            <v>329.5</v>
          </cell>
          <cell r="AU211">
            <v>2573.75</v>
          </cell>
          <cell r="AV211" t="str">
            <v/>
          </cell>
        </row>
        <row r="212">
          <cell r="A212">
            <v>400031</v>
          </cell>
          <cell r="B212" t="str">
            <v>1018934487</v>
          </cell>
          <cell r="C212" t="str">
            <v>السيد</v>
          </cell>
          <cell r="D212" t="str">
            <v>Saleh AL-Saleh</v>
          </cell>
          <cell r="E212" t="str">
            <v>صالح جعفر حسين الصالح</v>
          </cell>
          <cell r="F212" t="str">
            <v>Male</v>
          </cell>
          <cell r="G212" t="str">
            <v>أعزب</v>
          </cell>
          <cell r="H212">
            <v>27375</v>
          </cell>
          <cell r="I212">
            <v>52</v>
          </cell>
          <cell r="J212">
            <v>18815</v>
          </cell>
          <cell r="K212" t="str">
            <v>E17429@agriserv.com.sa</v>
          </cell>
          <cell r="L212" t="str">
            <v>0500562841</v>
          </cell>
          <cell r="M212" t="str">
            <v/>
          </cell>
          <cell r="N212" t="str">
            <v>المملكة العربية السعودية</v>
          </cell>
          <cell r="O212" t="str">
            <v>50000910</v>
          </cell>
          <cell r="P212" t="str">
            <v>أخصائي أول ترخيص الأعمال الثروة النباتية</v>
          </cell>
          <cell r="Q212" t="str">
            <v>الدرجة ٥</v>
          </cell>
          <cell r="R212" t="str">
            <v/>
          </cell>
          <cell r="S212" t="str">
            <v/>
          </cell>
          <cell r="T212" t="str">
            <v/>
          </cell>
          <cell r="U212" t="str">
            <v>التراخيص</v>
          </cell>
          <cell r="V212" t="str">
            <v>التراخيص</v>
          </cell>
          <cell r="W212" t="str">
            <v>Al Riyadh</v>
          </cell>
          <cell r="X212" t="str">
            <v xml:space="preserve">الفرع </v>
          </cell>
          <cell r="Y212">
            <v>44691</v>
          </cell>
          <cell r="Z212">
            <v>4.0999999999999996</v>
          </cell>
          <cell r="AA212">
            <v>1499</v>
          </cell>
          <cell r="AB212" t="str">
            <v>غير نشط</v>
          </cell>
          <cell r="AC212" t="str">
            <v>400054</v>
          </cell>
          <cell r="AD212" t="str">
            <v>Mahdi Bujbara</v>
          </cell>
          <cell r="AE212" t="str">
            <v>إعارة</v>
          </cell>
          <cell r="AF212">
            <v>45138</v>
          </cell>
          <cell r="AG212" t="str">
            <v/>
          </cell>
          <cell r="AH212" t="str">
            <v/>
          </cell>
          <cell r="AI212" t="str">
            <v/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 t="str">
            <v/>
          </cell>
          <cell r="AO212" t="str">
            <v>Licensing Department</v>
          </cell>
          <cell r="AP212" t="str">
            <v>Riyad Bank</v>
          </cell>
          <cell r="AQ212" t="str">
            <v>SA2920000002182740639940</v>
          </cell>
          <cell r="AR212">
            <v>15375</v>
          </cell>
          <cell r="AS212" t="str">
            <v/>
          </cell>
          <cell r="AT212">
            <v>837.5</v>
          </cell>
          <cell r="AU212">
            <v>3843.75</v>
          </cell>
          <cell r="AV212" t="str">
            <v/>
          </cell>
        </row>
        <row r="213">
          <cell r="A213">
            <v>400032</v>
          </cell>
          <cell r="B213" t="str">
            <v>1029831805</v>
          </cell>
          <cell r="C213" t="str">
            <v>السيد</v>
          </cell>
          <cell r="D213" t="str">
            <v>Maytham Mohammed Ali Alkhalaf</v>
          </cell>
          <cell r="E213" t="str">
            <v>ميثم محمد علي آل خلف</v>
          </cell>
          <cell r="F213" t="str">
            <v>Male</v>
          </cell>
          <cell r="G213" t="str">
            <v>متزوج</v>
          </cell>
          <cell r="H213">
            <v>29086</v>
          </cell>
          <cell r="I213">
            <v>47</v>
          </cell>
          <cell r="J213">
            <v>17104</v>
          </cell>
          <cell r="K213" t="str">
            <v>Maytham.AlKhalaf@agriserv.sa</v>
          </cell>
          <cell r="L213" t="str">
            <v>0503862417</v>
          </cell>
          <cell r="M213" t="str">
            <v/>
          </cell>
          <cell r="N213" t="str">
            <v>المملكة العربية السعودية</v>
          </cell>
          <cell r="O213" t="str">
            <v>50000041</v>
          </cell>
          <cell r="P213" t="str">
            <v>مشرف تراخيص المهن والأعمال الزراعية</v>
          </cell>
          <cell r="Q213" t="str">
            <v>الدرجة 6</v>
          </cell>
          <cell r="R213" t="str">
            <v>Class A</v>
          </cell>
          <cell r="S213" t="str">
            <v>محجر الخفجي  (الشرقية)</v>
          </cell>
          <cell r="T213" t="str">
            <v>خدمات المحجر</v>
          </cell>
          <cell r="U213" t="str">
            <v>الاذونات وخدمات المحاجر</v>
          </cell>
          <cell r="V213" t="str">
            <v>العمليات</v>
          </cell>
          <cell r="W213" t="str">
            <v>Al-Khafji</v>
          </cell>
          <cell r="X213" t="str">
            <v xml:space="preserve">الفرع </v>
          </cell>
          <cell r="Y213">
            <v>44691</v>
          </cell>
          <cell r="Z213">
            <v>4.0999999999999996</v>
          </cell>
          <cell r="AA213">
            <v>1499</v>
          </cell>
          <cell r="AB213" t="str">
            <v>نشط</v>
          </cell>
          <cell r="AC213" t="str">
            <v>100135</v>
          </cell>
          <cell r="AD213" t="str">
            <v>Abdulrahman Alzahrani</v>
          </cell>
          <cell r="AE213" t="str">
            <v>إعارة</v>
          </cell>
          <cell r="AF213" t="str">
            <v/>
          </cell>
          <cell r="AG213" t="str">
            <v/>
          </cell>
          <cell r="AH213" t="str">
            <v>اقتصاد زراعي</v>
          </cell>
          <cell r="AI213" t="str">
            <v>بكالوريوس</v>
          </cell>
          <cell r="AJ213">
            <v>7</v>
          </cell>
          <cell r="AK213">
            <v>4</v>
          </cell>
          <cell r="AL213">
            <v>1</v>
          </cell>
          <cell r="AM213">
            <v>2</v>
          </cell>
          <cell r="AN213" t="str">
            <v/>
          </cell>
          <cell r="AO213" t="str">
            <v>الاذونات وخدمات المحاجر</v>
          </cell>
          <cell r="AP213" t="str">
            <v>Riyad Bank</v>
          </cell>
          <cell r="AQ213" t="str">
            <v>SA3620000003153256539940</v>
          </cell>
          <cell r="AR213">
            <v>13035</v>
          </cell>
          <cell r="AS213" t="str">
            <v/>
          </cell>
          <cell r="AT213">
            <v>603.5</v>
          </cell>
          <cell r="AU213">
            <v>3258.75</v>
          </cell>
          <cell r="AV213" t="str">
            <v/>
          </cell>
        </row>
        <row r="214">
          <cell r="A214">
            <v>400033</v>
          </cell>
          <cell r="B214" t="str">
            <v>1077137162</v>
          </cell>
          <cell r="C214" t="str">
            <v>السيد</v>
          </cell>
          <cell r="D214" t="str">
            <v>Khalifa Adel Khalifah Aladeel</v>
          </cell>
          <cell r="E214" t="str">
            <v>خليفة عادل خليفة العديل</v>
          </cell>
          <cell r="F214" t="str">
            <v>Male</v>
          </cell>
          <cell r="G214" t="str">
            <v>متزوج</v>
          </cell>
          <cell r="H214">
            <v>34140</v>
          </cell>
          <cell r="I214">
            <v>33</v>
          </cell>
          <cell r="J214">
            <v>12050</v>
          </cell>
          <cell r="K214" t="str">
            <v>Khalifa.AlAdil@agriserv.sa</v>
          </cell>
          <cell r="L214" t="str">
            <v>0546230370</v>
          </cell>
          <cell r="M214" t="str">
            <v/>
          </cell>
          <cell r="N214" t="str">
            <v>المملكة العربية السعودية</v>
          </cell>
          <cell r="O214" t="str">
            <v>50000000</v>
          </cell>
          <cell r="P214" t="str">
            <v>أخصائي أول ترخيص الأعمال البيطرية</v>
          </cell>
          <cell r="Q214" t="str">
            <v>الدرجة ٥</v>
          </cell>
          <cell r="R214" t="str">
            <v>Class A</v>
          </cell>
          <cell r="S214" t="str">
            <v/>
          </cell>
          <cell r="T214" t="str">
            <v>عيادة بشمال الرياض</v>
          </cell>
          <cell r="U214" t="str">
            <v>عمليات الفروع</v>
          </cell>
          <cell r="V214" t="str">
            <v>الفروع</v>
          </cell>
          <cell r="W214" t="str">
            <v>Al Riyadh</v>
          </cell>
          <cell r="X214" t="str">
            <v xml:space="preserve">الفرع </v>
          </cell>
          <cell r="Y214">
            <v>44691</v>
          </cell>
          <cell r="Z214">
            <v>4.0999999999999996</v>
          </cell>
          <cell r="AA214">
            <v>1499</v>
          </cell>
          <cell r="AB214" t="str">
            <v>نشط</v>
          </cell>
          <cell r="AC214" t="str">
            <v>400220</v>
          </cell>
          <cell r="AD214" t="str">
            <v>Nahedh Alhaydan</v>
          </cell>
          <cell r="AE214" t="str">
            <v>إعارة</v>
          </cell>
          <cell r="AF214" t="str">
            <v/>
          </cell>
          <cell r="AG214" t="str">
            <v/>
          </cell>
          <cell r="AH214" t="str">
            <v>ثانوية</v>
          </cell>
          <cell r="AI214" t="str">
            <v>شهادة المدرسة الثانوية</v>
          </cell>
          <cell r="AJ214">
            <v>6</v>
          </cell>
          <cell r="AK214">
            <v>3</v>
          </cell>
          <cell r="AL214">
            <v>1</v>
          </cell>
          <cell r="AM214">
            <v>2</v>
          </cell>
          <cell r="AN214" t="str">
            <v/>
          </cell>
          <cell r="AO214" t="str">
            <v>عمليات الفروع</v>
          </cell>
          <cell r="AP214" t="str">
            <v>Al Rajhi Bank</v>
          </cell>
          <cell r="AQ214" t="str">
            <v>SA0780000515608010044988</v>
          </cell>
          <cell r="AR214">
            <v>10029</v>
          </cell>
          <cell r="AS214" t="str">
            <v/>
          </cell>
          <cell r="AT214">
            <v>502.9</v>
          </cell>
          <cell r="AU214">
            <v>2507.25</v>
          </cell>
          <cell r="AV214" t="str">
            <v/>
          </cell>
        </row>
        <row r="215">
          <cell r="A215">
            <v>400034</v>
          </cell>
          <cell r="B215" t="str">
            <v>1067938371</v>
          </cell>
          <cell r="C215" t="str">
            <v>السيد</v>
          </cell>
          <cell r="D215" t="str">
            <v>Hamad Fahad Hamad Alfuhaid</v>
          </cell>
          <cell r="E215" t="str">
            <v>حمد فهد حمد الفهيد</v>
          </cell>
          <cell r="F215" t="str">
            <v>Male</v>
          </cell>
          <cell r="G215" t="str">
            <v>أعزب</v>
          </cell>
          <cell r="H215">
            <v>29493</v>
          </cell>
          <cell r="I215">
            <v>46</v>
          </cell>
          <cell r="J215">
            <v>16697</v>
          </cell>
          <cell r="K215" t="str">
            <v>HFALFHED@agriserv.com.sa</v>
          </cell>
          <cell r="L215" t="str">
            <v>0503274424</v>
          </cell>
          <cell r="M215" t="str">
            <v/>
          </cell>
          <cell r="N215" t="str">
            <v>المملكة العربية السعودية</v>
          </cell>
          <cell r="O215" t="str">
            <v>50000446</v>
          </cell>
          <cell r="P215" t="str">
            <v>أخصائي أول محاجر الثروة الحيوانية</v>
          </cell>
          <cell r="Q215" t="str">
            <v>الدرجة 6</v>
          </cell>
          <cell r="R215" t="str">
            <v/>
          </cell>
          <cell r="S215" t="str">
            <v>محجر الخيل</v>
          </cell>
          <cell r="T215" t="str">
            <v>خدمات المحجر</v>
          </cell>
          <cell r="U215" t="str">
            <v>الاذونات وخدمات المحاجر</v>
          </cell>
          <cell r="V215" t="str">
            <v>العمليات</v>
          </cell>
          <cell r="W215" t="str">
            <v>Al Riyadh</v>
          </cell>
          <cell r="X215" t="str">
            <v xml:space="preserve">الفرع </v>
          </cell>
          <cell r="Y215">
            <v>44691</v>
          </cell>
          <cell r="Z215">
            <v>4.0999999999999996</v>
          </cell>
          <cell r="AA215">
            <v>1499</v>
          </cell>
          <cell r="AB215" t="str">
            <v>غير نشط</v>
          </cell>
          <cell r="AC215" t="str">
            <v>400158</v>
          </cell>
          <cell r="AD215" t="str">
            <v>Abdulrahman Alzahrani</v>
          </cell>
          <cell r="AE215" t="str">
            <v>إعارة</v>
          </cell>
          <cell r="AF215">
            <v>45377</v>
          </cell>
          <cell r="AG215" t="str">
            <v/>
          </cell>
          <cell r="AH215" t="str">
            <v/>
          </cell>
          <cell r="AI215" t="str">
            <v/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 t="str">
            <v/>
          </cell>
          <cell r="AO215" t="str">
            <v>Livestock Extension &amp; Protection</v>
          </cell>
          <cell r="AP215" t="str">
            <v>Al Rajhi Bank</v>
          </cell>
          <cell r="AQ215" t="str">
            <v>SA5980000407608010045960</v>
          </cell>
          <cell r="AR215">
            <v>17415</v>
          </cell>
          <cell r="AS215" t="str">
            <v/>
          </cell>
          <cell r="AT215">
            <v>1041.5</v>
          </cell>
          <cell r="AU215">
            <v>4353.75</v>
          </cell>
          <cell r="AV215" t="str">
            <v/>
          </cell>
        </row>
        <row r="216">
          <cell r="A216">
            <v>400035</v>
          </cell>
          <cell r="B216" t="str">
            <v>1070923113</v>
          </cell>
          <cell r="C216" t="str">
            <v>السيد</v>
          </cell>
          <cell r="D216" t="str">
            <v>Mohammed AL-Qahidan</v>
          </cell>
          <cell r="E216" t="str">
            <v>محمد عبداللطيف عبدالله القهيدان</v>
          </cell>
          <cell r="F216" t="str">
            <v>Male</v>
          </cell>
          <cell r="G216" t="str">
            <v>أعزب</v>
          </cell>
          <cell r="H216">
            <v>33278</v>
          </cell>
          <cell r="I216">
            <v>35</v>
          </cell>
          <cell r="J216">
            <v>12912</v>
          </cell>
          <cell r="K216" t="str">
            <v>MALQUHAIDAN@agriserv.com.sa</v>
          </cell>
          <cell r="L216" t="str">
            <v>0541924444</v>
          </cell>
          <cell r="M216" t="str">
            <v/>
          </cell>
          <cell r="N216" t="str">
            <v>المملكة العربية السعودية</v>
          </cell>
          <cell r="O216" t="str">
            <v>50000517</v>
          </cell>
          <cell r="P216" t="str">
            <v>مساعد مشرف محاجر الثروة السمكية</v>
          </cell>
          <cell r="Q216" t="str">
            <v>الدرجة 7</v>
          </cell>
          <cell r="R216" t="str">
            <v/>
          </cell>
          <cell r="S216" t="str">
            <v>محاجر الثروة السمكية</v>
          </cell>
          <cell r="T216" t="str">
            <v>الخدمات الصحية و الإرشاد ودعم التسويق للثروة السمكية</v>
          </cell>
          <cell r="U216" t="str">
            <v>العمليات</v>
          </cell>
          <cell r="V216" t="str">
            <v>العمليات</v>
          </cell>
          <cell r="W216" t="str">
            <v>Al Riyadh</v>
          </cell>
          <cell r="X216" t="str">
            <v xml:space="preserve">الفرع </v>
          </cell>
          <cell r="Y216">
            <v>44691</v>
          </cell>
          <cell r="Z216">
            <v>4.0999999999999996</v>
          </cell>
          <cell r="AA216">
            <v>1499</v>
          </cell>
          <cell r="AB216" t="str">
            <v>غير نشط</v>
          </cell>
          <cell r="AC216" t="str">
            <v>400028</v>
          </cell>
          <cell r="AD216" t="str">
            <v>Ibrahim Alnuwaiser</v>
          </cell>
          <cell r="AE216" t="str">
            <v>إعارة</v>
          </cell>
          <cell r="AF216">
            <v>45120</v>
          </cell>
          <cell r="AG216" t="str">
            <v/>
          </cell>
          <cell r="AH216" t="str">
            <v/>
          </cell>
          <cell r="AI216" t="str">
            <v/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 t="str">
            <v/>
          </cell>
          <cell r="AO216" t="str">
            <v>Fisheries Extension &amp; Protection</v>
          </cell>
          <cell r="AP216" t="str">
            <v>Al Rajhi Bank</v>
          </cell>
          <cell r="AQ216" t="str">
            <v>SA6180000642608010044844</v>
          </cell>
          <cell r="AR216">
            <v>10500</v>
          </cell>
          <cell r="AS216" t="str">
            <v/>
          </cell>
          <cell r="AT216">
            <v>350</v>
          </cell>
          <cell r="AU216">
            <v>2625</v>
          </cell>
          <cell r="AV216">
            <v>500</v>
          </cell>
        </row>
        <row r="217">
          <cell r="A217">
            <v>400036</v>
          </cell>
          <cell r="B217" t="str">
            <v>1058047414</v>
          </cell>
          <cell r="C217" t="str">
            <v>السيد</v>
          </cell>
          <cell r="D217" t="str">
            <v>Faisal Fahad Saleh Alsalem</v>
          </cell>
          <cell r="E217" t="str">
            <v>فيصل فهد صالح السالم</v>
          </cell>
          <cell r="F217" t="str">
            <v>Male</v>
          </cell>
          <cell r="G217" t="str">
            <v>أعزب</v>
          </cell>
          <cell r="H217">
            <v>28857</v>
          </cell>
          <cell r="I217">
            <v>47</v>
          </cell>
          <cell r="J217">
            <v>17333</v>
          </cell>
          <cell r="K217" t="str">
            <v>E15818@agriserv.com.sa</v>
          </cell>
          <cell r="L217" t="str">
            <v>0599277707</v>
          </cell>
          <cell r="M217" t="str">
            <v/>
          </cell>
          <cell r="N217" t="str">
            <v>المملكة العربية السعودية</v>
          </cell>
          <cell r="O217" t="str">
            <v>50000476</v>
          </cell>
          <cell r="P217" t="str">
            <v>أخصائي أول محاجر الثروة النباتية</v>
          </cell>
          <cell r="Q217" t="str">
            <v>الدرجة 6</v>
          </cell>
          <cell r="R217" t="str">
            <v/>
          </cell>
          <cell r="S217" t="str">
            <v>محاجر الثروة النباتية</v>
          </cell>
          <cell r="T217" t="str">
            <v>الخدمات الصحية و الإرشاد ودعم التسويق للثروة النباتية</v>
          </cell>
          <cell r="U217" t="str">
            <v>العمليات</v>
          </cell>
          <cell r="V217" t="str">
            <v>العمليات</v>
          </cell>
          <cell r="W217" t="str">
            <v>Al Riyadh</v>
          </cell>
          <cell r="X217" t="str">
            <v xml:space="preserve">الفرع </v>
          </cell>
          <cell r="Y217">
            <v>44691</v>
          </cell>
          <cell r="Z217">
            <v>4.0999999999999996</v>
          </cell>
          <cell r="AA217">
            <v>1499</v>
          </cell>
          <cell r="AB217" t="str">
            <v>غير نشط</v>
          </cell>
          <cell r="AC217" t="str">
            <v>400028</v>
          </cell>
          <cell r="AD217" t="str">
            <v>Ibrahim Alnuwaiser</v>
          </cell>
          <cell r="AE217" t="str">
            <v>إعارة</v>
          </cell>
          <cell r="AF217">
            <v>45208</v>
          </cell>
          <cell r="AG217" t="str">
            <v/>
          </cell>
          <cell r="AH217" t="str">
            <v/>
          </cell>
          <cell r="AI217" t="str">
            <v/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 t="str">
            <v/>
          </cell>
          <cell r="AO217" t="str">
            <v>Corp Extension &amp; Protection</v>
          </cell>
          <cell r="AP217" t="str">
            <v>Al Rajhi Bank</v>
          </cell>
          <cell r="AQ217" t="str">
            <v>SA3780000215608010132877</v>
          </cell>
          <cell r="AR217">
            <v>15525</v>
          </cell>
          <cell r="AS217" t="str">
            <v/>
          </cell>
          <cell r="AT217">
            <v>652.5</v>
          </cell>
          <cell r="AU217">
            <v>3881.25</v>
          </cell>
          <cell r="AV217" t="str">
            <v/>
          </cell>
        </row>
        <row r="218">
          <cell r="A218">
            <v>400037</v>
          </cell>
          <cell r="B218" t="str">
            <v>1024338699</v>
          </cell>
          <cell r="C218" t="str">
            <v>السيد</v>
          </cell>
          <cell r="D218" t="str">
            <v>Talib Abdullah ALI Alshaik ALI</v>
          </cell>
          <cell r="E218" t="str">
            <v>طالب عبدالله علي الشيخ علي</v>
          </cell>
          <cell r="F218" t="str">
            <v>Male</v>
          </cell>
          <cell r="G218" t="str">
            <v>متزوج</v>
          </cell>
          <cell r="H218">
            <v>29206</v>
          </cell>
          <cell r="I218">
            <v>46</v>
          </cell>
          <cell r="J218">
            <v>16984</v>
          </cell>
          <cell r="K218" t="str">
            <v>Talib.Ali@agriserv.sa</v>
          </cell>
          <cell r="L218" t="str">
            <v>0569839667</v>
          </cell>
          <cell r="M218" t="str">
            <v/>
          </cell>
          <cell r="N218" t="str">
            <v>المملكة العربية السعودية</v>
          </cell>
          <cell r="O218" t="str">
            <v>50000521</v>
          </cell>
          <cell r="P218" t="str">
            <v>مساعد مشرف مختبرات الثروة السمكية</v>
          </cell>
          <cell r="Q218" t="str">
            <v>الدرجة 7</v>
          </cell>
          <cell r="R218" t="str">
            <v>Class A</v>
          </cell>
          <cell r="S218" t="str">
            <v>مطار الملك خالد الدولي</v>
          </cell>
          <cell r="T218" t="str">
            <v>خدمات المحجر</v>
          </cell>
          <cell r="U218" t="str">
            <v>الاذونات وخدمات المحاجر</v>
          </cell>
          <cell r="V218" t="str">
            <v>العمليات</v>
          </cell>
          <cell r="W218" t="str">
            <v>Al Riyadh</v>
          </cell>
          <cell r="X218" t="str">
            <v xml:space="preserve">الفرع </v>
          </cell>
          <cell r="Y218">
            <v>44691</v>
          </cell>
          <cell r="Z218">
            <v>4.0999999999999996</v>
          </cell>
          <cell r="AA218">
            <v>1499</v>
          </cell>
          <cell r="AB218" t="str">
            <v>نشط</v>
          </cell>
          <cell r="AC218" t="str">
            <v>400069</v>
          </cell>
          <cell r="AD218" t="str">
            <v>Hammad Almarzouqi</v>
          </cell>
          <cell r="AE218" t="str">
            <v>إعارة</v>
          </cell>
          <cell r="AF218" t="str">
            <v/>
          </cell>
          <cell r="AG218" t="str">
            <v/>
          </cell>
          <cell r="AH218" t="str">
            <v>اراضي ومياه</v>
          </cell>
          <cell r="AI218" t="str">
            <v>بكالوريوس</v>
          </cell>
          <cell r="AJ218">
            <v>4</v>
          </cell>
          <cell r="AK218">
            <v>3</v>
          </cell>
          <cell r="AL218">
            <v>1</v>
          </cell>
          <cell r="AM218">
            <v>0</v>
          </cell>
          <cell r="AN218" t="str">
            <v/>
          </cell>
          <cell r="AO218" t="str">
            <v>الاذونات وخدمات المحاجر</v>
          </cell>
          <cell r="AP218" t="str">
            <v>Bank Al Bilad</v>
          </cell>
          <cell r="AQ218" t="str">
            <v>SA5115000440126975020008</v>
          </cell>
          <cell r="AR218">
            <v>12565</v>
          </cell>
          <cell r="AS218" t="str">
            <v/>
          </cell>
          <cell r="AT218">
            <v>556.5</v>
          </cell>
          <cell r="AU218">
            <v>3141.25</v>
          </cell>
          <cell r="AV218" t="str">
            <v/>
          </cell>
        </row>
        <row r="219">
          <cell r="A219">
            <v>400038</v>
          </cell>
          <cell r="B219" t="str">
            <v>1006247512</v>
          </cell>
          <cell r="C219" t="str">
            <v>السيد</v>
          </cell>
          <cell r="D219" t="str">
            <v>Mohammed Reda Ali Alhamaly</v>
          </cell>
          <cell r="E219" t="str">
            <v>محمد رضا علي الحمالي</v>
          </cell>
          <cell r="F219" t="str">
            <v>Male</v>
          </cell>
          <cell r="G219" t="str">
            <v>متزوج</v>
          </cell>
          <cell r="H219">
            <v>29965</v>
          </cell>
          <cell r="I219">
            <v>44</v>
          </cell>
          <cell r="J219">
            <v>16225</v>
          </cell>
          <cell r="K219" t="str">
            <v>Mohammed.AlHammali@agriserv.sa</v>
          </cell>
          <cell r="L219" t="str">
            <v>0503911675</v>
          </cell>
          <cell r="M219" t="str">
            <v/>
          </cell>
          <cell r="N219" t="str">
            <v>المملكة العربية السعودية</v>
          </cell>
          <cell r="O219" t="str">
            <v>50000552</v>
          </cell>
          <cell r="P219" t="str">
            <v>مشرف الخدمات الصحية والإرشاد ودعم التسويق للثروة السمكية</v>
          </cell>
          <cell r="Q219" t="str">
            <v>8 الدرجة</v>
          </cell>
          <cell r="R219" t="str">
            <v>Class VIP</v>
          </cell>
          <cell r="S219" t="str">
            <v/>
          </cell>
          <cell r="T219" t="str">
            <v>الاذونات</v>
          </cell>
          <cell r="U219" t="str">
            <v>الاذونات وخدمات المحاجر</v>
          </cell>
          <cell r="V219" t="str">
            <v>العمليات</v>
          </cell>
          <cell r="W219" t="str">
            <v>Head Quarter</v>
          </cell>
          <cell r="X219" t="str">
            <v xml:space="preserve">المقر الرئيسي </v>
          </cell>
          <cell r="Y219">
            <v>44691</v>
          </cell>
          <cell r="Z219">
            <v>4.0999999999999996</v>
          </cell>
          <cell r="AA219">
            <v>1499</v>
          </cell>
          <cell r="AB219" t="str">
            <v>نشط</v>
          </cell>
          <cell r="AC219" t="str">
            <v>400096</v>
          </cell>
          <cell r="AD219" t="str">
            <v>Saleh Alkraidis</v>
          </cell>
          <cell r="AE219" t="str">
            <v>إعارة</v>
          </cell>
          <cell r="AF219" t="str">
            <v/>
          </cell>
          <cell r="AG219" t="str">
            <v/>
          </cell>
          <cell r="AH219" t="str">
            <v>الثروة المائية</v>
          </cell>
          <cell r="AI219" t="str">
            <v>بكالوريوس</v>
          </cell>
          <cell r="AJ219">
            <v>6</v>
          </cell>
          <cell r="AK219">
            <v>4</v>
          </cell>
          <cell r="AL219">
            <v>1</v>
          </cell>
          <cell r="AM219">
            <v>1</v>
          </cell>
          <cell r="AN219" t="str">
            <v/>
          </cell>
          <cell r="AO219" t="str">
            <v>الاذونات وخدمات المحاجر</v>
          </cell>
          <cell r="AP219" t="str">
            <v>Saudi National Bank</v>
          </cell>
          <cell r="AQ219" t="str">
            <v>SA0310000011100071861907</v>
          </cell>
          <cell r="AR219">
            <v>11625</v>
          </cell>
          <cell r="AS219" t="str">
            <v/>
          </cell>
          <cell r="AT219">
            <v>462.5</v>
          </cell>
          <cell r="AU219">
            <v>2906.25</v>
          </cell>
          <cell r="AV219" t="str">
            <v/>
          </cell>
        </row>
        <row r="220">
          <cell r="A220">
            <v>400039</v>
          </cell>
          <cell r="B220" t="str">
            <v>1011260351</v>
          </cell>
          <cell r="C220" t="str">
            <v>السيد</v>
          </cell>
          <cell r="D220" t="str">
            <v>Mohammad Jawad Yassin Alhumaidi</v>
          </cell>
          <cell r="E220" t="str">
            <v>محمد جواد ياسين الحميدي</v>
          </cell>
          <cell r="F220" t="str">
            <v>Male</v>
          </cell>
          <cell r="G220" t="str">
            <v>متزوج</v>
          </cell>
          <cell r="H220">
            <v>29958</v>
          </cell>
          <cell r="I220">
            <v>44</v>
          </cell>
          <cell r="J220">
            <v>16232</v>
          </cell>
          <cell r="K220" t="str">
            <v>Mohammed.AlHumaidi@agriserv.sa</v>
          </cell>
          <cell r="L220" t="str">
            <v>0560272994</v>
          </cell>
          <cell r="M220" t="str">
            <v>5668</v>
          </cell>
          <cell r="N220" t="str">
            <v>المملكة العربية السعودية</v>
          </cell>
          <cell r="O220" t="str">
            <v>50000048</v>
          </cell>
          <cell r="P220" t="str">
            <v>أخصائي أول الشهادات والمستندات الرسمية للثروة الحيوانية</v>
          </cell>
          <cell r="Q220" t="str">
            <v>الدرجة ٥</v>
          </cell>
          <cell r="R220" t="str">
            <v>Class A</v>
          </cell>
          <cell r="S220" t="str">
            <v/>
          </cell>
          <cell r="T220" t="str">
            <v/>
          </cell>
          <cell r="U220" t="str">
            <v>الاسواق و المسالخ</v>
          </cell>
          <cell r="V220" t="str">
            <v>الفروع</v>
          </cell>
          <cell r="W220" t="str">
            <v>Al Riyadh</v>
          </cell>
          <cell r="X220" t="str">
            <v xml:space="preserve">المقر الرئيسي </v>
          </cell>
          <cell r="Y220">
            <v>44691</v>
          </cell>
          <cell r="Z220">
            <v>4.0999999999999996</v>
          </cell>
          <cell r="AA220">
            <v>1499</v>
          </cell>
          <cell r="AB220" t="str">
            <v>نشط</v>
          </cell>
          <cell r="AC220" t="str">
            <v>100063</v>
          </cell>
          <cell r="AD220" t="str">
            <v>Hazza Alruwaili</v>
          </cell>
          <cell r="AE220" t="str">
            <v>إعارة</v>
          </cell>
          <cell r="AF220" t="str">
            <v/>
          </cell>
          <cell r="AG220" t="str">
            <v/>
          </cell>
          <cell r="AH220" t="str">
            <v>طب بيطري</v>
          </cell>
          <cell r="AI220" t="str">
            <v>بكالوريوس</v>
          </cell>
          <cell r="AJ220">
            <v>8</v>
          </cell>
          <cell r="AK220">
            <v>5</v>
          </cell>
          <cell r="AL220">
            <v>1</v>
          </cell>
          <cell r="AM220">
            <v>2</v>
          </cell>
          <cell r="AN220" t="str">
            <v/>
          </cell>
          <cell r="AO220" t="str">
            <v>الأسواق والمسالخ</v>
          </cell>
          <cell r="AP220" t="str">
            <v>Banque Saudi Fransi</v>
          </cell>
          <cell r="AQ220" t="str">
            <v>SA5655000000033668900111</v>
          </cell>
          <cell r="AR220">
            <v>13405</v>
          </cell>
          <cell r="AS220" t="str">
            <v/>
          </cell>
          <cell r="AT220">
            <v>640.5</v>
          </cell>
          <cell r="AU220">
            <v>3351.25</v>
          </cell>
          <cell r="AV220" t="str">
            <v/>
          </cell>
        </row>
        <row r="221">
          <cell r="A221">
            <v>400040</v>
          </cell>
          <cell r="B221" t="str">
            <v/>
          </cell>
          <cell r="C221" t="str">
            <v>السيد</v>
          </cell>
          <cell r="D221" t="str">
            <v>Hani Hassan Hamed Barniyah</v>
          </cell>
          <cell r="E221" t="str">
            <v>هاني حسن حامد برنيه</v>
          </cell>
          <cell r="F221" t="str">
            <v>Male</v>
          </cell>
          <cell r="G221" t="str">
            <v>متزوج</v>
          </cell>
          <cell r="H221">
            <v>28540</v>
          </cell>
          <cell r="I221">
            <v>48</v>
          </cell>
          <cell r="J221">
            <v>17650</v>
          </cell>
          <cell r="K221" t="str">
            <v/>
          </cell>
          <cell r="L221" t="str">
            <v/>
          </cell>
          <cell r="M221" t="str">
            <v/>
          </cell>
          <cell r="N221" t="str">
            <v>المملكة العربية السعودية</v>
          </cell>
          <cell r="O221" t="str">
            <v>50000595</v>
          </cell>
          <cell r="P221" t="str">
            <v>مدير إدارة التسجيل والمختبرات</v>
          </cell>
          <cell r="Q221" t="str">
            <v>الدرجة 9</v>
          </cell>
          <cell r="R221" t="str">
            <v>Class VIP</v>
          </cell>
          <cell r="S221" t="str">
            <v/>
          </cell>
          <cell r="T221" t="str">
            <v/>
          </cell>
          <cell r="U221" t="str">
            <v>التسجيل والمختبرات</v>
          </cell>
          <cell r="V221" t="str">
            <v>التراخيص</v>
          </cell>
          <cell r="W221" t="str">
            <v>Al Riyadh</v>
          </cell>
          <cell r="X221" t="str">
            <v xml:space="preserve">المقر الرئيسي </v>
          </cell>
          <cell r="Y221">
            <v>44691</v>
          </cell>
          <cell r="Z221">
            <v>4.0999999999999996</v>
          </cell>
          <cell r="AA221">
            <v>1499</v>
          </cell>
          <cell r="AB221" t="str">
            <v>غير نشط</v>
          </cell>
          <cell r="AC221" t="str">
            <v>100053</v>
          </cell>
          <cell r="AD221" t="str">
            <v>Hamad Alarifi</v>
          </cell>
          <cell r="AE221" t="str">
            <v>إعارة</v>
          </cell>
          <cell r="AF221">
            <v>45596</v>
          </cell>
          <cell r="AG221" t="str">
            <v/>
          </cell>
          <cell r="AH221" t="str">
            <v>كيمياء</v>
          </cell>
          <cell r="AI221" t="str">
            <v>بكالوريوس</v>
          </cell>
          <cell r="AJ221">
            <v>5</v>
          </cell>
          <cell r="AK221">
            <v>3</v>
          </cell>
          <cell r="AL221">
            <v>1</v>
          </cell>
          <cell r="AM221">
            <v>1</v>
          </cell>
          <cell r="AN221" t="str">
            <v/>
          </cell>
          <cell r="AO221" t="str">
            <v>Certificates and Others Documents</v>
          </cell>
          <cell r="AP221" t="str">
            <v>Al Rajhi Bank</v>
          </cell>
          <cell r="AQ221" t="str">
            <v>SA0380000174608010136315</v>
          </cell>
          <cell r="AR221">
            <v>15855</v>
          </cell>
          <cell r="AS221" t="str">
            <v/>
          </cell>
          <cell r="AT221">
            <v>885.5</v>
          </cell>
          <cell r="AU221">
            <v>3963.75</v>
          </cell>
          <cell r="AV221" t="str">
            <v/>
          </cell>
        </row>
        <row r="222">
          <cell r="A222">
            <v>400041</v>
          </cell>
          <cell r="B222" t="str">
            <v>1015922410</v>
          </cell>
          <cell r="C222" t="str">
            <v>السيد</v>
          </cell>
          <cell r="D222" t="str">
            <v>Mohammad Saleh Hassean Alkhrs</v>
          </cell>
          <cell r="E222" t="str">
            <v>محمد صالح حسين الخرس</v>
          </cell>
          <cell r="F222" t="str">
            <v>Male</v>
          </cell>
          <cell r="G222" t="str">
            <v>أعزب</v>
          </cell>
          <cell r="H222">
            <v>30265</v>
          </cell>
          <cell r="I222">
            <v>44</v>
          </cell>
          <cell r="J222">
            <v>15925</v>
          </cell>
          <cell r="K222" t="str">
            <v>Mohammed.AlKhars@agriserv.sa</v>
          </cell>
          <cell r="L222" t="str">
            <v>0555960020</v>
          </cell>
          <cell r="M222" t="str">
            <v/>
          </cell>
          <cell r="N222" t="str">
            <v>المملكة العربية السعودية</v>
          </cell>
          <cell r="O222" t="str">
            <v>50000021</v>
          </cell>
          <cell r="P222" t="str">
            <v>مشرف أذونات الاستيراد</v>
          </cell>
          <cell r="Q222" t="str">
            <v>8 الدرجة</v>
          </cell>
          <cell r="R222" t="str">
            <v>Class VIP</v>
          </cell>
          <cell r="S222" t="str">
            <v/>
          </cell>
          <cell r="T222" t="str">
            <v>الاذونات</v>
          </cell>
          <cell r="U222" t="str">
            <v>الاذونات وخدمات المحاجر</v>
          </cell>
          <cell r="V222" t="str">
            <v>العمليات</v>
          </cell>
          <cell r="W222" t="str">
            <v>Head Quarter</v>
          </cell>
          <cell r="X222" t="str">
            <v xml:space="preserve">المقر الرئيسي </v>
          </cell>
          <cell r="Y222">
            <v>44691</v>
          </cell>
          <cell r="Z222">
            <v>4.0999999999999996</v>
          </cell>
          <cell r="AA222">
            <v>1499</v>
          </cell>
          <cell r="AB222" t="str">
            <v>نشط</v>
          </cell>
          <cell r="AC222" t="str">
            <v>400096</v>
          </cell>
          <cell r="AD222" t="str">
            <v>Saleh Alkraidis</v>
          </cell>
          <cell r="AE222" t="str">
            <v>إعارة</v>
          </cell>
          <cell r="AF222" t="str">
            <v/>
          </cell>
          <cell r="AG222" t="str">
            <v/>
          </cell>
          <cell r="AH222" t="str">
            <v>طب بيطري</v>
          </cell>
          <cell r="AI222" t="str">
            <v>بكالوريوس</v>
          </cell>
          <cell r="AJ222">
            <v>3</v>
          </cell>
          <cell r="AK222">
            <v>1</v>
          </cell>
          <cell r="AL222">
            <v>0</v>
          </cell>
          <cell r="AM222">
            <v>2</v>
          </cell>
          <cell r="AN222" t="str">
            <v/>
          </cell>
          <cell r="AO222" t="str">
            <v>الاذونات وخدمات المحاجر</v>
          </cell>
          <cell r="AP222" t="str">
            <v>Banque Saudi Fransi</v>
          </cell>
          <cell r="AQ222" t="str">
            <v>SA5655000000066140000378</v>
          </cell>
          <cell r="AR222">
            <v>14445</v>
          </cell>
          <cell r="AS222" t="str">
            <v/>
          </cell>
          <cell r="AT222">
            <v>744.5</v>
          </cell>
          <cell r="AU222">
            <v>3611.25</v>
          </cell>
          <cell r="AV222" t="str">
            <v/>
          </cell>
        </row>
        <row r="223">
          <cell r="A223">
            <v>400042</v>
          </cell>
          <cell r="B223" t="str">
            <v>1051879995</v>
          </cell>
          <cell r="C223" t="str">
            <v>السيد</v>
          </cell>
          <cell r="D223" t="str">
            <v>Ali Mohammad Hussein Alghazal</v>
          </cell>
          <cell r="E223" t="str">
            <v>علي محمد حسين الغزال</v>
          </cell>
          <cell r="F223" t="str">
            <v>Male</v>
          </cell>
          <cell r="G223" t="str">
            <v>أعزب</v>
          </cell>
          <cell r="H223">
            <v>32243</v>
          </cell>
          <cell r="I223">
            <v>38</v>
          </cell>
          <cell r="J223">
            <v>13947</v>
          </cell>
          <cell r="K223" t="str">
            <v>E26122@agriserv.com.sa</v>
          </cell>
          <cell r="L223" t="str">
            <v>0544217759</v>
          </cell>
          <cell r="M223" t="str">
            <v/>
          </cell>
          <cell r="N223" t="str">
            <v>المملكة العربية السعودية</v>
          </cell>
          <cell r="O223" t="str">
            <v>50000047</v>
          </cell>
          <cell r="P223" t="str">
            <v>مشرف الشهادات والمستندات الرسمية</v>
          </cell>
          <cell r="Q223" t="str">
            <v>الدرجة 6</v>
          </cell>
          <cell r="R223" t="str">
            <v/>
          </cell>
          <cell r="S223" t="str">
            <v/>
          </cell>
          <cell r="T223" t="str">
            <v>الشهادات والمستندات الرسمية</v>
          </cell>
          <cell r="U223" t="str">
            <v/>
          </cell>
          <cell r="V223" t="str">
            <v>التراخيص</v>
          </cell>
          <cell r="W223" t="str">
            <v>Al Riyadh</v>
          </cell>
          <cell r="X223" t="str">
            <v xml:space="preserve">المقر الرئيسي </v>
          </cell>
          <cell r="Y223">
            <v>44691</v>
          </cell>
          <cell r="Z223">
            <v>4.0999999999999996</v>
          </cell>
          <cell r="AA223">
            <v>1499</v>
          </cell>
          <cell r="AB223" t="str">
            <v>غير نشط</v>
          </cell>
          <cell r="AC223" t="str">
            <v>400002</v>
          </cell>
          <cell r="AD223" t="str">
            <v>Abdulaziz Alkhamshi</v>
          </cell>
          <cell r="AE223" t="str">
            <v>إعارة</v>
          </cell>
          <cell r="AF223">
            <v>45230</v>
          </cell>
          <cell r="AG223" t="str">
            <v/>
          </cell>
          <cell r="AH223" t="str">
            <v/>
          </cell>
          <cell r="AI223" t="str">
            <v/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 t="str">
            <v/>
          </cell>
          <cell r="AO223" t="str">
            <v>Certificates and Others Documents</v>
          </cell>
          <cell r="AP223" t="str">
            <v>Saudi National Bank</v>
          </cell>
          <cell r="AQ223" t="str">
            <v>SA5010000006356271000106</v>
          </cell>
          <cell r="AR223">
            <v>9200</v>
          </cell>
          <cell r="AS223" t="str">
            <v/>
          </cell>
          <cell r="AT223">
            <v>220</v>
          </cell>
          <cell r="AU223">
            <v>2300</v>
          </cell>
          <cell r="AV223" t="str">
            <v/>
          </cell>
        </row>
        <row r="224">
          <cell r="A224">
            <v>400043</v>
          </cell>
          <cell r="B224" t="str">
            <v>1022498941</v>
          </cell>
          <cell r="C224" t="str">
            <v>السيد</v>
          </cell>
          <cell r="D224" t="str">
            <v>Abdulrahman Ali Abdulaziz Almathan</v>
          </cell>
          <cell r="E224" t="str">
            <v>عبدالرحمن علي عبدالعزيز المذن</v>
          </cell>
          <cell r="F224" t="str">
            <v>Male</v>
          </cell>
          <cell r="G224" t="str">
            <v>متزوج</v>
          </cell>
          <cell r="H224">
            <v>24041</v>
          </cell>
          <cell r="I224">
            <v>61</v>
          </cell>
          <cell r="J224">
            <v>22149</v>
          </cell>
          <cell r="K224" t="str">
            <v>E252@agriserv.com.sa</v>
          </cell>
          <cell r="L224" t="str">
            <v>0505251189</v>
          </cell>
          <cell r="M224" t="str">
            <v/>
          </cell>
          <cell r="N224" t="str">
            <v>المملكة العربية السعودية</v>
          </cell>
          <cell r="O224" t="str">
            <v>50000040</v>
          </cell>
          <cell r="P224" t="str">
            <v>طبيب بيطري</v>
          </cell>
          <cell r="Q224" t="str">
            <v>الدرجة 4</v>
          </cell>
          <cell r="R224" t="str">
            <v/>
          </cell>
          <cell r="S224" t="str">
            <v/>
          </cell>
          <cell r="T224" t="str">
            <v>الفسح المركزي</v>
          </cell>
          <cell r="U224" t="str">
            <v>الاذونات وخدمات المحاجر</v>
          </cell>
          <cell r="V224" t="str">
            <v>العمليات</v>
          </cell>
          <cell r="W224" t="str">
            <v>Al Riyadh</v>
          </cell>
          <cell r="X224" t="str">
            <v xml:space="preserve">الفرع </v>
          </cell>
          <cell r="Y224">
            <v>44691</v>
          </cell>
          <cell r="Z224">
            <v>4.0999999999999996</v>
          </cell>
          <cell r="AA224">
            <v>1499</v>
          </cell>
          <cell r="AB224" t="str">
            <v>غير نشط</v>
          </cell>
          <cell r="AC224" t="str">
            <v>400158</v>
          </cell>
          <cell r="AD224" t="str">
            <v>Abdulrahman Alzahrani</v>
          </cell>
          <cell r="AE224" t="str">
            <v>إعارة</v>
          </cell>
          <cell r="AF224">
            <v>45311</v>
          </cell>
          <cell r="AG224" t="str">
            <v/>
          </cell>
          <cell r="AH224" t="str">
            <v/>
          </cell>
          <cell r="AI224" t="str">
            <v/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 t="str">
            <v/>
          </cell>
          <cell r="AO224" t="str">
            <v>Vet Occupational &amp; Bus Licenses</v>
          </cell>
          <cell r="AP224" t="str">
            <v>Saudi National Bank</v>
          </cell>
          <cell r="AQ224" t="str">
            <v>SA7010000053200001077405</v>
          </cell>
          <cell r="AR224">
            <v>20275</v>
          </cell>
          <cell r="AS224" t="str">
            <v/>
          </cell>
          <cell r="AT224">
            <v>1100</v>
          </cell>
          <cell r="AU224">
            <v>5068.75</v>
          </cell>
          <cell r="AV224" t="str">
            <v/>
          </cell>
        </row>
        <row r="225">
          <cell r="A225">
            <v>400044</v>
          </cell>
          <cell r="B225" t="str">
            <v>1047365042</v>
          </cell>
          <cell r="C225" t="str">
            <v>السيد</v>
          </cell>
          <cell r="D225" t="str">
            <v>Fadhil Wahab Ali Thowemer</v>
          </cell>
          <cell r="E225" t="str">
            <v>فاضل وهب علي ثويمر</v>
          </cell>
          <cell r="F225" t="str">
            <v>Male</v>
          </cell>
          <cell r="G225" t="str">
            <v>أعزب</v>
          </cell>
          <cell r="H225">
            <v>27663</v>
          </cell>
          <cell r="I225">
            <v>51</v>
          </cell>
          <cell r="J225">
            <v>18527</v>
          </cell>
          <cell r="K225" t="str">
            <v>Fadel.Thuimer@agriserv.sa</v>
          </cell>
          <cell r="L225" t="str">
            <v>0504831933</v>
          </cell>
          <cell r="M225" t="str">
            <v/>
          </cell>
          <cell r="N225" t="str">
            <v>المملكة العربية السعودية</v>
          </cell>
          <cell r="O225" t="str">
            <v>50000049</v>
          </cell>
          <cell r="P225" t="str">
            <v>طبيب بيطري</v>
          </cell>
          <cell r="Q225" t="str">
            <v>الدرجة 4</v>
          </cell>
          <cell r="R225" t="str">
            <v>Class A</v>
          </cell>
          <cell r="S225" t="str">
            <v>مطار الملك خالد الدولي</v>
          </cell>
          <cell r="T225" t="str">
            <v>خدمات المحجر</v>
          </cell>
          <cell r="U225" t="str">
            <v>الاذونات وخدمات المحاجر</v>
          </cell>
          <cell r="V225" t="str">
            <v>العمليات</v>
          </cell>
          <cell r="W225" t="str">
            <v>Al Riyadh</v>
          </cell>
          <cell r="X225" t="str">
            <v xml:space="preserve">الفرع </v>
          </cell>
          <cell r="Y225">
            <v>44691</v>
          </cell>
          <cell r="Z225">
            <v>4.0999999999999996</v>
          </cell>
          <cell r="AA225">
            <v>1499</v>
          </cell>
          <cell r="AB225" t="str">
            <v>نشط</v>
          </cell>
          <cell r="AC225" t="str">
            <v>400069</v>
          </cell>
          <cell r="AD225" t="str">
            <v>Hammad Almarzouqi</v>
          </cell>
          <cell r="AE225" t="str">
            <v>إعارة</v>
          </cell>
          <cell r="AF225" t="str">
            <v/>
          </cell>
          <cell r="AG225" t="str">
            <v/>
          </cell>
          <cell r="AH225" t="str">
            <v>طب بيطري</v>
          </cell>
          <cell r="AI225" t="str">
            <v>بكالوريوس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 t="str">
            <v/>
          </cell>
          <cell r="AO225" t="str">
            <v>الاذونات وخدمات المحاجر</v>
          </cell>
          <cell r="AP225" t="str">
            <v>Riyad Bank</v>
          </cell>
          <cell r="AQ225" t="str">
            <v>SA4720000004110460079940</v>
          </cell>
          <cell r="AR225">
            <v>17415</v>
          </cell>
          <cell r="AS225" t="str">
            <v/>
          </cell>
          <cell r="AT225">
            <v>1041.5</v>
          </cell>
          <cell r="AU225">
            <v>4353.75</v>
          </cell>
          <cell r="AV225" t="str">
            <v/>
          </cell>
        </row>
        <row r="226">
          <cell r="A226">
            <v>400045</v>
          </cell>
          <cell r="B226" t="str">
            <v>1060743554</v>
          </cell>
          <cell r="C226" t="str">
            <v>السيد</v>
          </cell>
          <cell r="D226" t="str">
            <v>Hasan Ebraheem Mausa Alamran</v>
          </cell>
          <cell r="E226" t="str">
            <v>حسن ابراهيم موسى العمران</v>
          </cell>
          <cell r="F226" t="str">
            <v>Male</v>
          </cell>
          <cell r="G226" t="str">
            <v>متزوج</v>
          </cell>
          <cell r="H226">
            <v>32570</v>
          </cell>
          <cell r="I226">
            <v>37</v>
          </cell>
          <cell r="J226">
            <v>13620</v>
          </cell>
          <cell r="K226" t="str">
            <v>Hassan.AlAmran@agriserv.sa</v>
          </cell>
          <cell r="L226" t="str">
            <v>0566077838</v>
          </cell>
          <cell r="M226" t="str">
            <v/>
          </cell>
          <cell r="N226" t="str">
            <v>المملكة العربية السعودية</v>
          </cell>
          <cell r="O226" t="str">
            <v>50000061</v>
          </cell>
          <cell r="P226" t="str">
            <v>طبيب بيطري</v>
          </cell>
          <cell r="Q226" t="str">
            <v>الدرجة 4</v>
          </cell>
          <cell r="R226" t="str">
            <v>Class A</v>
          </cell>
          <cell r="S226" t="str">
            <v>مطار الملك خالد الدولي</v>
          </cell>
          <cell r="T226" t="str">
            <v>خدمات المحجر</v>
          </cell>
          <cell r="U226" t="str">
            <v>الاذونات وخدمات المحاجر</v>
          </cell>
          <cell r="V226" t="str">
            <v>العمليات</v>
          </cell>
          <cell r="W226" t="str">
            <v>Al Riyadh</v>
          </cell>
          <cell r="X226" t="str">
            <v xml:space="preserve">الفرع </v>
          </cell>
          <cell r="Y226">
            <v>44691</v>
          </cell>
          <cell r="Z226">
            <v>4.0999999999999996</v>
          </cell>
          <cell r="AA226">
            <v>1499</v>
          </cell>
          <cell r="AB226" t="str">
            <v>نشط</v>
          </cell>
          <cell r="AC226" t="str">
            <v>400069</v>
          </cell>
          <cell r="AD226" t="str">
            <v>Hammad Almarzouqi</v>
          </cell>
          <cell r="AE226" t="str">
            <v>إعارة</v>
          </cell>
          <cell r="AF226" t="str">
            <v/>
          </cell>
          <cell r="AG226" t="str">
            <v/>
          </cell>
          <cell r="AH226" t="str">
            <v>طب بيطري</v>
          </cell>
          <cell r="AI226" t="str">
            <v>بكالوريوس</v>
          </cell>
          <cell r="AJ226">
            <v>4</v>
          </cell>
          <cell r="AK226">
            <v>3</v>
          </cell>
          <cell r="AL226">
            <v>1</v>
          </cell>
          <cell r="AM226">
            <v>0</v>
          </cell>
          <cell r="AN226" t="str">
            <v/>
          </cell>
          <cell r="AO226" t="str">
            <v>الاذونات وخدمات المحاجر</v>
          </cell>
          <cell r="AP226" t="str">
            <v>Saudi National Bank</v>
          </cell>
          <cell r="AQ226" t="str">
            <v>SA6610000071100004849009</v>
          </cell>
          <cell r="AR226">
            <v>13035</v>
          </cell>
          <cell r="AS226" t="str">
            <v/>
          </cell>
          <cell r="AT226">
            <v>603.5</v>
          </cell>
          <cell r="AU226">
            <v>3258.75</v>
          </cell>
          <cell r="AV226" t="str">
            <v/>
          </cell>
        </row>
        <row r="227">
          <cell r="A227">
            <v>400046</v>
          </cell>
          <cell r="B227" t="str">
            <v/>
          </cell>
          <cell r="C227" t="str">
            <v>السيد</v>
          </cell>
          <cell r="D227" t="str">
            <v>Ibrahim Hamad Saleh Alshamikh</v>
          </cell>
          <cell r="E227" t="str">
            <v>ابراهيم حمد صالح الشامخ</v>
          </cell>
          <cell r="F227" t="str">
            <v>Male</v>
          </cell>
          <cell r="G227" t="str">
            <v>متزوج</v>
          </cell>
          <cell r="H227">
            <v>24395</v>
          </cell>
          <cell r="I227">
            <v>60</v>
          </cell>
          <cell r="J227">
            <v>21795</v>
          </cell>
          <cell r="K227" t="str">
            <v>IALSHAMEKH@agriserv.sa</v>
          </cell>
          <cell r="L227" t="str">
            <v>0553421824</v>
          </cell>
          <cell r="M227" t="str">
            <v/>
          </cell>
          <cell r="N227" t="str">
            <v>المملكة العربية السعودية</v>
          </cell>
          <cell r="O227" t="str">
            <v>50000448</v>
          </cell>
          <cell r="P227" t="str">
            <v>طبيب بيطري</v>
          </cell>
          <cell r="Q227" t="str">
            <v>الدرجة 4</v>
          </cell>
          <cell r="R227" t="str">
            <v>Class A</v>
          </cell>
          <cell r="S227" t="str">
            <v/>
          </cell>
          <cell r="T227" t="str">
            <v>الفسح المركزي</v>
          </cell>
          <cell r="U227" t="str">
            <v>الاذونات وخدمات المحاجر</v>
          </cell>
          <cell r="V227" t="str">
            <v>العمليات</v>
          </cell>
          <cell r="W227" t="str">
            <v>Al Riyadh</v>
          </cell>
          <cell r="X227" t="str">
            <v xml:space="preserve">المقر الرئيسي </v>
          </cell>
          <cell r="Y227">
            <v>44691</v>
          </cell>
          <cell r="Z227">
            <v>4.0999999999999996</v>
          </cell>
          <cell r="AA227">
            <v>1499</v>
          </cell>
          <cell r="AB227" t="str">
            <v>غير نشط</v>
          </cell>
          <cell r="AC227" t="str">
            <v>100135</v>
          </cell>
          <cell r="AD227" t="str">
            <v>Abdulrahman Alzahrani</v>
          </cell>
          <cell r="AE227" t="str">
            <v>إعارة</v>
          </cell>
          <cell r="AF227">
            <v>45657</v>
          </cell>
          <cell r="AG227" t="str">
            <v/>
          </cell>
          <cell r="AH227" t="str">
            <v>طب بيطري</v>
          </cell>
          <cell r="AI227" t="str">
            <v>ماجستير</v>
          </cell>
          <cell r="AJ227">
            <v>4</v>
          </cell>
          <cell r="AK227">
            <v>3</v>
          </cell>
          <cell r="AL227">
            <v>1</v>
          </cell>
          <cell r="AM227">
            <v>0</v>
          </cell>
          <cell r="AN227" t="str">
            <v/>
          </cell>
          <cell r="AO227" t="str">
            <v>Livestock Extension &amp; Protection</v>
          </cell>
          <cell r="AP227" t="str">
            <v>Al Rajhi Bank</v>
          </cell>
          <cell r="AQ227" t="str">
            <v>SA7380000151608010038526</v>
          </cell>
          <cell r="AR227">
            <v>20275</v>
          </cell>
          <cell r="AS227" t="str">
            <v/>
          </cell>
          <cell r="AT227">
            <v>1100</v>
          </cell>
          <cell r="AU227">
            <v>5068.75</v>
          </cell>
          <cell r="AV227" t="str">
            <v/>
          </cell>
        </row>
        <row r="228">
          <cell r="A228">
            <v>400047</v>
          </cell>
          <cell r="B228" t="str">
            <v>1079085518</v>
          </cell>
          <cell r="C228" t="str">
            <v>السيد</v>
          </cell>
          <cell r="D228" t="str">
            <v>Mohammed Abdullah Mohammed Alrajih</v>
          </cell>
          <cell r="E228" t="str">
            <v>محمد عبدالله محمد الراجح</v>
          </cell>
          <cell r="F228" t="str">
            <v>Male</v>
          </cell>
          <cell r="G228" t="str">
            <v>أعزب</v>
          </cell>
          <cell r="H228">
            <v>34269</v>
          </cell>
          <cell r="I228">
            <v>33</v>
          </cell>
          <cell r="J228">
            <v>11921</v>
          </cell>
          <cell r="K228" t="str">
            <v>MALRAJIH@agriserv.com.sa</v>
          </cell>
          <cell r="L228" t="str">
            <v>0547773004</v>
          </cell>
          <cell r="M228" t="str">
            <v/>
          </cell>
          <cell r="N228" t="str">
            <v>المملكة العربية السعودية</v>
          </cell>
          <cell r="O228" t="str">
            <v>50000453</v>
          </cell>
          <cell r="P228" t="str">
            <v>طبيب بيطري</v>
          </cell>
          <cell r="Q228" t="str">
            <v>الدرجة 4</v>
          </cell>
          <cell r="R228" t="str">
            <v/>
          </cell>
          <cell r="S228" t="str">
            <v>مطار الملك خالد الدولي</v>
          </cell>
          <cell r="T228" t="str">
            <v>خدمات المحجر</v>
          </cell>
          <cell r="U228" t="str">
            <v>الاذونات وخدمات المحاجر</v>
          </cell>
          <cell r="V228" t="str">
            <v>العمليات</v>
          </cell>
          <cell r="W228" t="str">
            <v>Al Riyadh</v>
          </cell>
          <cell r="X228" t="str">
            <v xml:space="preserve">الفرع </v>
          </cell>
          <cell r="Y228">
            <v>44691</v>
          </cell>
          <cell r="Z228">
            <v>4.0999999999999996</v>
          </cell>
          <cell r="AA228">
            <v>1499</v>
          </cell>
          <cell r="AB228" t="str">
            <v>غير نشط</v>
          </cell>
          <cell r="AC228" t="str">
            <v>400069</v>
          </cell>
          <cell r="AD228" t="str">
            <v>Hammad Almarzouqi</v>
          </cell>
          <cell r="AE228" t="str">
            <v>إعارة</v>
          </cell>
          <cell r="AF228">
            <v>45395</v>
          </cell>
          <cell r="AG228" t="str">
            <v/>
          </cell>
          <cell r="AH228" t="str">
            <v/>
          </cell>
          <cell r="AI228" t="str">
            <v/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 t="str">
            <v/>
          </cell>
          <cell r="AO228" t="str">
            <v>Livestock Extension &amp; Protection</v>
          </cell>
          <cell r="AP228" t="str">
            <v>Inma Bank</v>
          </cell>
          <cell r="AQ228" t="str">
            <v>SA4605000068201764600000</v>
          </cell>
          <cell r="AR228">
            <v>9670</v>
          </cell>
          <cell r="AS228" t="str">
            <v/>
          </cell>
          <cell r="AT228">
            <v>267</v>
          </cell>
          <cell r="AU228">
            <v>2417.5</v>
          </cell>
          <cell r="AV228" t="str">
            <v/>
          </cell>
        </row>
        <row r="229">
          <cell r="A229">
            <v>400048</v>
          </cell>
          <cell r="B229" t="str">
            <v>1058212976</v>
          </cell>
          <cell r="C229" t="str">
            <v>السيد</v>
          </cell>
          <cell r="D229" t="str">
            <v>Youssef AL-Mutairi</v>
          </cell>
          <cell r="E229" t="str">
            <v>يوسف حمد مذكر الطيري</v>
          </cell>
          <cell r="F229" t="str">
            <v>Male</v>
          </cell>
          <cell r="G229" t="str">
            <v>أعزب</v>
          </cell>
          <cell r="H229">
            <v>31586</v>
          </cell>
          <cell r="I229">
            <v>40</v>
          </cell>
          <cell r="J229">
            <v>14604</v>
          </cell>
          <cell r="K229" t="str">
            <v>YHALMUTAIRI@agriserv.com.sa</v>
          </cell>
          <cell r="L229" t="str">
            <v>0500512011</v>
          </cell>
          <cell r="M229" t="str">
            <v/>
          </cell>
          <cell r="N229" t="str">
            <v>المملكة العربية السعودية</v>
          </cell>
          <cell r="O229" t="str">
            <v>50000457</v>
          </cell>
          <cell r="P229" t="str">
            <v>طبيب بيطري</v>
          </cell>
          <cell r="Q229" t="str">
            <v>الدرجة 3</v>
          </cell>
          <cell r="R229" t="str">
            <v/>
          </cell>
          <cell r="S229" t="str">
            <v>ترخيص المشاريع الحيوانية</v>
          </cell>
          <cell r="T229" t="str">
            <v>الخدمات الصحية و الإرشاد ودعم التسويق للثروة الحيوانية</v>
          </cell>
          <cell r="U229" t="str">
            <v/>
          </cell>
          <cell r="V229" t="str">
            <v>العمليات</v>
          </cell>
          <cell r="W229" t="str">
            <v>Al Riyadh</v>
          </cell>
          <cell r="X229" t="str">
            <v xml:space="preserve">الفرع </v>
          </cell>
          <cell r="Y229">
            <v>44691</v>
          </cell>
          <cell r="Z229">
            <v>4.0999999999999996</v>
          </cell>
          <cell r="AA229">
            <v>1499</v>
          </cell>
          <cell r="AB229" t="str">
            <v>غير نشط</v>
          </cell>
          <cell r="AC229" t="str">
            <v>400042</v>
          </cell>
          <cell r="AD229" t="str">
            <v>Ali Alghazal</v>
          </cell>
          <cell r="AE229" t="str">
            <v>إعارة</v>
          </cell>
          <cell r="AF229">
            <v>45016</v>
          </cell>
          <cell r="AG229" t="str">
            <v/>
          </cell>
          <cell r="AH229" t="str">
            <v/>
          </cell>
          <cell r="AI229" t="str">
            <v/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 t="str">
            <v/>
          </cell>
          <cell r="AO229" t="str">
            <v>Livestock Extension &amp; Protection</v>
          </cell>
          <cell r="AP229" t="str">
            <v>Al Rajhi Bank</v>
          </cell>
          <cell r="AQ229" t="str">
            <v>SA3380000372608010088433</v>
          </cell>
          <cell r="AR229">
            <v>13035</v>
          </cell>
          <cell r="AS229" t="str">
            <v/>
          </cell>
          <cell r="AT229">
            <v>603.5</v>
          </cell>
          <cell r="AU229">
            <v>3258.75</v>
          </cell>
          <cell r="AV229" t="str">
            <v/>
          </cell>
        </row>
        <row r="230">
          <cell r="A230">
            <v>400049</v>
          </cell>
          <cell r="B230" t="str">
            <v>1078866173</v>
          </cell>
          <cell r="C230" t="str">
            <v>السيد</v>
          </cell>
          <cell r="D230" t="str">
            <v>Haydar AL-Hamza</v>
          </cell>
          <cell r="E230" t="str">
            <v>حيدر جاسم محمد الحمزه</v>
          </cell>
          <cell r="F230" t="str">
            <v>Male</v>
          </cell>
          <cell r="G230" t="str">
            <v>أعزب</v>
          </cell>
          <cell r="H230">
            <v>34252</v>
          </cell>
          <cell r="I230">
            <v>33</v>
          </cell>
          <cell r="J230">
            <v>11938</v>
          </cell>
          <cell r="K230" t="str">
            <v>HALHAMZAH@agriserv.com.sa</v>
          </cell>
          <cell r="L230" t="str">
            <v>0557001478</v>
          </cell>
          <cell r="M230" t="str">
            <v/>
          </cell>
          <cell r="N230" t="str">
            <v>المملكة العربية السعودية</v>
          </cell>
          <cell r="O230" t="str">
            <v>50000466</v>
          </cell>
          <cell r="P230" t="str">
            <v>طبيب بيطري</v>
          </cell>
          <cell r="Q230" t="str">
            <v>الدرجة 4</v>
          </cell>
          <cell r="R230" t="str">
            <v/>
          </cell>
          <cell r="S230" t="str">
            <v>ترخيص المشاريع الحيوانية</v>
          </cell>
          <cell r="T230" t="str">
            <v>الخدمات الصحية و الإرشاد ودعم التسويق للثروة الحيوانية</v>
          </cell>
          <cell r="U230" t="str">
            <v/>
          </cell>
          <cell r="V230" t="str">
            <v>العمليات</v>
          </cell>
          <cell r="W230" t="str">
            <v>Al Riyadh</v>
          </cell>
          <cell r="X230" t="str">
            <v xml:space="preserve">الفرع </v>
          </cell>
          <cell r="Y230">
            <v>44691</v>
          </cell>
          <cell r="Z230">
            <v>4.0999999999999996</v>
          </cell>
          <cell r="AA230">
            <v>1499</v>
          </cell>
          <cell r="AB230" t="str">
            <v>غير نشط</v>
          </cell>
          <cell r="AC230" t="str">
            <v>400042</v>
          </cell>
          <cell r="AD230" t="str">
            <v>Ali Alghazal</v>
          </cell>
          <cell r="AE230" t="str">
            <v>إعارة</v>
          </cell>
          <cell r="AF230">
            <v>44957</v>
          </cell>
          <cell r="AG230" t="str">
            <v/>
          </cell>
          <cell r="AH230" t="str">
            <v/>
          </cell>
          <cell r="AI230" t="str">
            <v/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 t="str">
            <v/>
          </cell>
          <cell r="AO230" t="str">
            <v>Livestock Extension &amp; Protection</v>
          </cell>
          <cell r="AP230" t="str">
            <v>Saudi National Bank</v>
          </cell>
          <cell r="AQ230" t="str">
            <v>SA4110000007300000029809</v>
          </cell>
          <cell r="AR230">
            <v>8250</v>
          </cell>
          <cell r="AS230" t="str">
            <v/>
          </cell>
          <cell r="AT230">
            <v>325</v>
          </cell>
          <cell r="AU230">
            <v>2062.5</v>
          </cell>
          <cell r="AV230" t="str">
            <v/>
          </cell>
        </row>
        <row r="231">
          <cell r="A231">
            <v>400050</v>
          </cell>
          <cell r="B231" t="str">
            <v>1077119517</v>
          </cell>
          <cell r="C231" t="str">
            <v>السيد</v>
          </cell>
          <cell r="D231" t="str">
            <v>Moazzy Masoud Mueaziy Alharbi</v>
          </cell>
          <cell r="E231" t="str">
            <v>معزي مسعود معزي الحربي</v>
          </cell>
          <cell r="F231" t="str">
            <v>Male</v>
          </cell>
          <cell r="G231" t="str">
            <v>متزوج</v>
          </cell>
          <cell r="H231">
            <v>34115</v>
          </cell>
          <cell r="I231">
            <v>33</v>
          </cell>
          <cell r="J231">
            <v>12075</v>
          </cell>
          <cell r="K231" t="str">
            <v>Moazi.AlHarbi@agriserv.sa</v>
          </cell>
          <cell r="L231" t="str">
            <v>0558273275</v>
          </cell>
          <cell r="M231" t="str">
            <v/>
          </cell>
          <cell r="N231" t="str">
            <v>المملكة العربية السعودية</v>
          </cell>
          <cell r="O231" t="str">
            <v>50000470</v>
          </cell>
          <cell r="P231" t="str">
            <v>طبيب بيطري</v>
          </cell>
          <cell r="Q231" t="str">
            <v>الدرجة 3</v>
          </cell>
          <cell r="R231" t="str">
            <v>Class A</v>
          </cell>
          <cell r="S231" t="str">
            <v/>
          </cell>
          <cell r="T231" t="str">
            <v>محافظة  الدوادمي</v>
          </cell>
          <cell r="U231" t="str">
            <v>عمليات الفروع</v>
          </cell>
          <cell r="V231" t="str">
            <v>الفروع</v>
          </cell>
          <cell r="W231" t="str">
            <v>Al Riyadh</v>
          </cell>
          <cell r="X231" t="str">
            <v xml:space="preserve">الفرع </v>
          </cell>
          <cell r="Y231">
            <v>44691</v>
          </cell>
          <cell r="Z231">
            <v>4.0999999999999996</v>
          </cell>
          <cell r="AA231">
            <v>1499</v>
          </cell>
          <cell r="AB231" t="str">
            <v>نشط</v>
          </cell>
          <cell r="AC231" t="str">
            <v>400146</v>
          </cell>
          <cell r="AD231" t="str">
            <v>Talal Alotaibi</v>
          </cell>
          <cell r="AE231" t="str">
            <v>إعارة</v>
          </cell>
          <cell r="AF231" t="str">
            <v/>
          </cell>
          <cell r="AG231" t="str">
            <v/>
          </cell>
          <cell r="AH231" t="str">
            <v>ثانوية</v>
          </cell>
          <cell r="AI231" t="str">
            <v>شهادة المدرسة الثانوية</v>
          </cell>
          <cell r="AJ231">
            <v>4</v>
          </cell>
          <cell r="AK231">
            <v>1</v>
          </cell>
          <cell r="AL231">
            <v>1</v>
          </cell>
          <cell r="AM231">
            <v>2</v>
          </cell>
          <cell r="AN231" t="str">
            <v/>
          </cell>
          <cell r="AO231" t="str">
            <v>عمليات الفروع</v>
          </cell>
          <cell r="AP231" t="str">
            <v>Al Rajhi Bank</v>
          </cell>
          <cell r="AQ231" t="str">
            <v>SA3980000265608010060598</v>
          </cell>
          <cell r="AR231">
            <v>10029</v>
          </cell>
          <cell r="AS231" t="str">
            <v/>
          </cell>
          <cell r="AT231">
            <v>502.9</v>
          </cell>
          <cell r="AU231">
            <v>2507.25</v>
          </cell>
          <cell r="AV231" t="str">
            <v/>
          </cell>
        </row>
        <row r="232">
          <cell r="A232">
            <v>400051</v>
          </cell>
          <cell r="B232" t="str">
            <v>1097127466</v>
          </cell>
          <cell r="C232" t="str">
            <v>السيد</v>
          </cell>
          <cell r="D232" t="str">
            <v>Faisal Saleh Suleiman Alnasser</v>
          </cell>
          <cell r="E232" t="str">
            <v>فيصل صالح سليمان الناصر</v>
          </cell>
          <cell r="F232" t="str">
            <v>Male</v>
          </cell>
          <cell r="G232" t="str">
            <v>أعزب</v>
          </cell>
          <cell r="H232">
            <v>35364</v>
          </cell>
          <cell r="I232">
            <v>30</v>
          </cell>
          <cell r="J232">
            <v>10826</v>
          </cell>
          <cell r="K232" t="str">
            <v>Faisal.alnasser@agriserv.sa</v>
          </cell>
          <cell r="L232" t="str">
            <v>0590310709</v>
          </cell>
          <cell r="M232" t="str">
            <v/>
          </cell>
          <cell r="N232" t="str">
            <v>المملكة العربية السعودية</v>
          </cell>
          <cell r="O232" t="str">
            <v>50000537</v>
          </cell>
          <cell r="P232" t="str">
            <v>طبيب بيطري</v>
          </cell>
          <cell r="Q232" t="str">
            <v>الدرجة 4</v>
          </cell>
          <cell r="R232" t="str">
            <v>Class A</v>
          </cell>
          <cell r="S232" t="str">
            <v>محجر الخيل</v>
          </cell>
          <cell r="T232" t="str">
            <v>خدمات المحجر</v>
          </cell>
          <cell r="U232" t="str">
            <v>الاذونات وخدمات المحاجر</v>
          </cell>
          <cell r="V232" t="str">
            <v>العمليات</v>
          </cell>
          <cell r="W232" t="str">
            <v>Al Riyadh</v>
          </cell>
          <cell r="X232" t="str">
            <v xml:space="preserve">الفرع </v>
          </cell>
          <cell r="Y232">
            <v>44691</v>
          </cell>
          <cell r="Z232">
            <v>4.0999999999999996</v>
          </cell>
          <cell r="AA232">
            <v>1499</v>
          </cell>
          <cell r="AB232" t="str">
            <v>نشط</v>
          </cell>
          <cell r="AC232" t="str">
            <v>100051</v>
          </cell>
          <cell r="AD232" t="str">
            <v>Mohammed Alrajban</v>
          </cell>
          <cell r="AE232" t="str">
            <v>إعارة</v>
          </cell>
          <cell r="AF232" t="str">
            <v/>
          </cell>
          <cell r="AG232" t="str">
            <v/>
          </cell>
          <cell r="AH232" t="str">
            <v>طب بيطري</v>
          </cell>
          <cell r="AI232" t="str">
            <v>بكالوريوس</v>
          </cell>
          <cell r="AJ232">
            <v>2</v>
          </cell>
          <cell r="AK232">
            <v>0</v>
          </cell>
          <cell r="AL232">
            <v>0</v>
          </cell>
          <cell r="AM232">
            <v>2</v>
          </cell>
          <cell r="AN232" t="str">
            <v/>
          </cell>
          <cell r="AO232" t="str">
            <v>الاذونات وخدمات المحاجر</v>
          </cell>
          <cell r="AP232" t="str">
            <v>Al Rajhi Bank</v>
          </cell>
          <cell r="AQ232" t="str">
            <v>SA4180000599608010016217</v>
          </cell>
          <cell r="AR232">
            <v>9738</v>
          </cell>
          <cell r="AS232" t="str">
            <v/>
          </cell>
          <cell r="AT232">
            <v>473.8</v>
          </cell>
          <cell r="AU232">
            <v>2434.5</v>
          </cell>
          <cell r="AV232" t="str">
            <v/>
          </cell>
        </row>
        <row r="233">
          <cell r="A233">
            <v>400052</v>
          </cell>
          <cell r="B233" t="str">
            <v>1048763237</v>
          </cell>
          <cell r="C233" t="str">
            <v>السيد</v>
          </cell>
          <cell r="D233" t="str">
            <v>Abdalah Mohammed Abdalah Alfawzan</v>
          </cell>
          <cell r="E233" t="str">
            <v>عبدالله محمد عبدالله الفوزان</v>
          </cell>
          <cell r="F233" t="str">
            <v>Male</v>
          </cell>
          <cell r="G233" t="str">
            <v>متزوج</v>
          </cell>
          <cell r="H233">
            <v>31317</v>
          </cell>
          <cell r="I233">
            <v>41</v>
          </cell>
          <cell r="J233">
            <v>14873</v>
          </cell>
          <cell r="K233" t="str">
            <v>Abdullah.AlFawzan@agriserv.sa</v>
          </cell>
          <cell r="L233" t="str">
            <v>0542022224</v>
          </cell>
          <cell r="M233" t="str">
            <v/>
          </cell>
          <cell r="N233" t="str">
            <v>المملكة العربية السعودية</v>
          </cell>
          <cell r="O233" t="str">
            <v>50000043</v>
          </cell>
          <cell r="P233" t="str">
            <v>مهندس زراعي</v>
          </cell>
          <cell r="Q233" t="str">
            <v>الدرجة 3</v>
          </cell>
          <cell r="R233" t="str">
            <v>Class A</v>
          </cell>
          <cell r="S233" t="str">
            <v>مطار الملك خالد الدولي</v>
          </cell>
          <cell r="T233" t="str">
            <v>خدمات المحجر</v>
          </cell>
          <cell r="U233" t="str">
            <v>الاذونات وخدمات المحاجر</v>
          </cell>
          <cell r="V233" t="str">
            <v>العمليات</v>
          </cell>
          <cell r="W233" t="str">
            <v>Al Riyadh</v>
          </cell>
          <cell r="X233" t="str">
            <v xml:space="preserve">الفرع </v>
          </cell>
          <cell r="Y233">
            <v>44691</v>
          </cell>
          <cell r="Z233">
            <v>4.0999999999999996</v>
          </cell>
          <cell r="AA233">
            <v>1499</v>
          </cell>
          <cell r="AB233" t="str">
            <v>نشط</v>
          </cell>
          <cell r="AC233" t="str">
            <v>400069</v>
          </cell>
          <cell r="AD233" t="str">
            <v>Hammad Almarzouqi</v>
          </cell>
          <cell r="AE233" t="str">
            <v>إعارة</v>
          </cell>
          <cell r="AF233" t="str">
            <v/>
          </cell>
          <cell r="AG233" t="str">
            <v/>
          </cell>
          <cell r="AH233" t="str">
            <v>سلامة الاغذية</v>
          </cell>
          <cell r="AI233" t="str">
            <v>دبلوم</v>
          </cell>
          <cell r="AJ233">
            <v>5</v>
          </cell>
          <cell r="AK233">
            <v>2</v>
          </cell>
          <cell r="AL233">
            <v>1</v>
          </cell>
          <cell r="AM233">
            <v>2</v>
          </cell>
          <cell r="AN233" t="str">
            <v/>
          </cell>
          <cell r="AO233" t="str">
            <v>الاذونات وخدمات المحاجر</v>
          </cell>
          <cell r="AP233" t="str">
            <v>Inma Bank</v>
          </cell>
          <cell r="AQ233" t="str">
            <v>SA0805000068201737812000</v>
          </cell>
          <cell r="AR233">
            <v>11390</v>
          </cell>
          <cell r="AS233" t="str">
            <v/>
          </cell>
          <cell r="AT233">
            <v>439</v>
          </cell>
          <cell r="AU233">
            <v>2847.5</v>
          </cell>
          <cell r="AV233" t="str">
            <v/>
          </cell>
        </row>
        <row r="234">
          <cell r="A234">
            <v>400053</v>
          </cell>
          <cell r="B234" t="str">
            <v>1064062019</v>
          </cell>
          <cell r="C234" t="str">
            <v>السيد</v>
          </cell>
          <cell r="D234" t="str">
            <v>Youssef AL-Rehili</v>
          </cell>
          <cell r="E234" t="str">
            <v>يوسف عامر معوض الرحيلي</v>
          </cell>
          <cell r="F234" t="str">
            <v>Male</v>
          </cell>
          <cell r="G234" t="str">
            <v>أعزب</v>
          </cell>
          <cell r="H234">
            <v>32671</v>
          </cell>
          <cell r="I234">
            <v>37</v>
          </cell>
          <cell r="J234">
            <v>13519</v>
          </cell>
          <cell r="K234" t="str">
            <v>E27399@agriserv.com.sa</v>
          </cell>
          <cell r="L234" t="str">
            <v>0540996961</v>
          </cell>
          <cell r="M234" t="str">
            <v/>
          </cell>
          <cell r="N234" t="str">
            <v>المملكة العربية السعودية</v>
          </cell>
          <cell r="O234" t="str">
            <v>50000026</v>
          </cell>
          <cell r="P234" t="str">
            <v>أخصائي أول أذونات استيراد الثروة السمكية</v>
          </cell>
          <cell r="Q234" t="str">
            <v>الدرجة 6</v>
          </cell>
          <cell r="R234" t="str">
            <v/>
          </cell>
          <cell r="S234" t="str">
            <v/>
          </cell>
          <cell r="T234" t="str">
            <v>الفسح المركزي</v>
          </cell>
          <cell r="U234" t="str">
            <v>الاذونات وخدمات المحاجر</v>
          </cell>
          <cell r="V234" t="str">
            <v>التراخيص</v>
          </cell>
          <cell r="W234" t="str">
            <v>Head Quarter</v>
          </cell>
          <cell r="X234" t="str">
            <v xml:space="preserve">المقر الرئيسي </v>
          </cell>
          <cell r="Y234">
            <v>44691</v>
          </cell>
          <cell r="Z234">
            <v>4.0999999999999996</v>
          </cell>
          <cell r="AA234">
            <v>1499</v>
          </cell>
          <cell r="AB234" t="str">
            <v>غير نشط</v>
          </cell>
          <cell r="AC234" t="str">
            <v>400256</v>
          </cell>
          <cell r="AD234" t="str">
            <v>Majed Alfaraj</v>
          </cell>
          <cell r="AE234" t="str">
            <v>إعارة</v>
          </cell>
          <cell r="AF234">
            <v>44985</v>
          </cell>
          <cell r="AG234" t="str">
            <v/>
          </cell>
          <cell r="AH234" t="str">
            <v/>
          </cell>
          <cell r="AI234" t="str">
            <v/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 t="str">
            <v/>
          </cell>
          <cell r="AO234" t="str">
            <v>Import / Export Permits</v>
          </cell>
          <cell r="AP234" t="str">
            <v>Al Rajhi Bank</v>
          </cell>
          <cell r="AQ234" t="str">
            <v>SA0980000333608010547006</v>
          </cell>
          <cell r="AR234">
            <v>9670</v>
          </cell>
          <cell r="AS234" t="str">
            <v/>
          </cell>
          <cell r="AT234">
            <v>267</v>
          </cell>
          <cell r="AU234">
            <v>2417.5</v>
          </cell>
          <cell r="AV234" t="str">
            <v/>
          </cell>
        </row>
        <row r="235">
          <cell r="A235">
            <v>400054</v>
          </cell>
          <cell r="B235" t="str">
            <v>1084919248</v>
          </cell>
          <cell r="C235" t="str">
            <v>السيد</v>
          </cell>
          <cell r="D235" t="str">
            <v>Mahdi Hussain Ali Bujbara</v>
          </cell>
          <cell r="E235" t="str">
            <v>مهدي حسين علي بوجبارة</v>
          </cell>
          <cell r="F235" t="str">
            <v>Male</v>
          </cell>
          <cell r="G235" t="str">
            <v>أعزب</v>
          </cell>
          <cell r="H235">
            <v>34973</v>
          </cell>
          <cell r="I235">
            <v>31</v>
          </cell>
          <cell r="J235">
            <v>11217</v>
          </cell>
          <cell r="K235" t="str">
            <v>MBUJBARA@agriserv.com.sa</v>
          </cell>
          <cell r="L235" t="str">
            <v>0541244498</v>
          </cell>
          <cell r="M235" t="str">
            <v/>
          </cell>
          <cell r="N235" t="str">
            <v>المملكة العربية السعودية</v>
          </cell>
          <cell r="O235" t="str">
            <v>50000053</v>
          </cell>
          <cell r="P235" t="str">
            <v>مدير إدارة، تشغيل الأصول</v>
          </cell>
          <cell r="Q235" t="str">
            <v>الدرجة ٥</v>
          </cell>
          <cell r="R235" t="str">
            <v/>
          </cell>
          <cell r="S235" t="str">
            <v>الشهادات والمستندات الرسمية للثروة النباتية</v>
          </cell>
          <cell r="T235" t="str">
            <v>الشهادات والمستندات الرسمية</v>
          </cell>
          <cell r="U235" t="str">
            <v/>
          </cell>
          <cell r="V235" t="str">
            <v>التراخيص</v>
          </cell>
          <cell r="W235" t="str">
            <v>Al Riyadh</v>
          </cell>
          <cell r="X235" t="str">
            <v xml:space="preserve">الفرع </v>
          </cell>
          <cell r="Y235">
            <v>44691</v>
          </cell>
          <cell r="Z235">
            <v>4.0999999999999996</v>
          </cell>
          <cell r="AA235">
            <v>1499</v>
          </cell>
          <cell r="AB235" t="str">
            <v>غير نشط</v>
          </cell>
          <cell r="AC235" t="str">
            <v>400001</v>
          </cell>
          <cell r="AD235" t="str">
            <v>Abdullah Alotaibi</v>
          </cell>
          <cell r="AE235" t="str">
            <v>إعارة</v>
          </cell>
          <cell r="AF235">
            <v>45230</v>
          </cell>
          <cell r="AG235" t="str">
            <v/>
          </cell>
          <cell r="AH235" t="str">
            <v/>
          </cell>
          <cell r="AI235" t="str">
            <v/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 t="str">
            <v/>
          </cell>
          <cell r="AO235" t="str">
            <v>Certificates and Others Documents</v>
          </cell>
          <cell r="AP235" t="str">
            <v>Al Rajhi Bank</v>
          </cell>
          <cell r="AQ235" t="str">
            <v>SA2880000210608010650493</v>
          </cell>
          <cell r="AR235">
            <v>8470</v>
          </cell>
          <cell r="AS235" t="str">
            <v/>
          </cell>
          <cell r="AT235">
            <v>147</v>
          </cell>
          <cell r="AU235">
            <v>2117.5</v>
          </cell>
          <cell r="AV235" t="str">
            <v/>
          </cell>
        </row>
        <row r="236">
          <cell r="A236">
            <v>400055</v>
          </cell>
          <cell r="B236" t="str">
            <v>1033631761</v>
          </cell>
          <cell r="C236" t="str">
            <v>السيد</v>
          </cell>
          <cell r="D236" t="str">
            <v>Ali AL-Issa</v>
          </cell>
          <cell r="E236" t="str">
            <v>علي احمد عبدالله العيسى</v>
          </cell>
          <cell r="F236" t="str">
            <v>Male</v>
          </cell>
          <cell r="G236" t="str">
            <v>أعزب</v>
          </cell>
          <cell r="H236">
            <v>25812</v>
          </cell>
          <cell r="I236">
            <v>56</v>
          </cell>
          <cell r="J236">
            <v>20378</v>
          </cell>
          <cell r="K236" t="str">
            <v>ALAALISSA@agriserv.com.sa</v>
          </cell>
          <cell r="L236" t="str">
            <v>0505224830</v>
          </cell>
          <cell r="M236" t="str">
            <v/>
          </cell>
          <cell r="N236" t="str">
            <v>المملكة العربية السعودية</v>
          </cell>
          <cell r="O236" t="str">
            <v>50000566</v>
          </cell>
          <cell r="P236" t="str">
            <v>مساعد مشرف التشخيص البيطري</v>
          </cell>
          <cell r="Q236" t="str">
            <v>الدرجة 7</v>
          </cell>
          <cell r="R236" t="str">
            <v/>
          </cell>
          <cell r="S236" t="str">
            <v/>
          </cell>
          <cell r="T236" t="str">
            <v>مختبرات الثروة الحيوانية</v>
          </cell>
          <cell r="U236" t="str">
            <v>الخدمات الصحية و الإرشاد ودعم التسويق للثروة الحيوانية</v>
          </cell>
          <cell r="V236" t="str">
            <v>العمليات</v>
          </cell>
          <cell r="W236" t="str">
            <v>Al Riyadh</v>
          </cell>
          <cell r="X236" t="str">
            <v xml:space="preserve">المقر الرئيسي </v>
          </cell>
          <cell r="Y236">
            <v>44691</v>
          </cell>
          <cell r="Z236">
            <v>4.0999999999999996</v>
          </cell>
          <cell r="AA236">
            <v>1499</v>
          </cell>
          <cell r="AB236" t="str">
            <v>غير نشط</v>
          </cell>
          <cell r="AC236" t="str">
            <v>400003</v>
          </cell>
          <cell r="AD236" t="str">
            <v>Ibrahim Bukhari</v>
          </cell>
          <cell r="AE236" t="str">
            <v>إعارة</v>
          </cell>
          <cell r="AF236">
            <v>45077</v>
          </cell>
          <cell r="AG236" t="str">
            <v/>
          </cell>
          <cell r="AH236" t="str">
            <v/>
          </cell>
          <cell r="AI236" t="str">
            <v/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 t="str">
            <v/>
          </cell>
          <cell r="AO236" t="str">
            <v>Livestock Extension &amp; Protection</v>
          </cell>
          <cell r="AP236" t="str">
            <v>Al Rajhi Bank</v>
          </cell>
          <cell r="AQ236" t="str">
            <v>SA2280000216608010183440</v>
          </cell>
          <cell r="AR236">
            <v>20275</v>
          </cell>
          <cell r="AS236" t="str">
            <v/>
          </cell>
          <cell r="AT236">
            <v>1127.5</v>
          </cell>
          <cell r="AU236">
            <v>5068.75</v>
          </cell>
          <cell r="AV236" t="str">
            <v/>
          </cell>
        </row>
        <row r="237">
          <cell r="A237">
            <v>400056</v>
          </cell>
          <cell r="B237" t="str">
            <v>1057550558</v>
          </cell>
          <cell r="C237" t="str">
            <v>السيد</v>
          </cell>
          <cell r="D237" t="str">
            <v>Majed Muhammad Maetuq Alalewi</v>
          </cell>
          <cell r="E237" t="str">
            <v>ماجد محمد معتوق العليوي</v>
          </cell>
          <cell r="F237" t="str">
            <v>Male</v>
          </cell>
          <cell r="G237" t="str">
            <v>أعزب</v>
          </cell>
          <cell r="H237">
            <v>32226</v>
          </cell>
          <cell r="I237">
            <v>38</v>
          </cell>
          <cell r="J237">
            <v>13964</v>
          </cell>
          <cell r="K237" t="str">
            <v>MALALIWI@agriserv.com.sa</v>
          </cell>
          <cell r="L237" t="str">
            <v>0506961516</v>
          </cell>
          <cell r="M237" t="str">
            <v/>
          </cell>
          <cell r="N237" t="str">
            <v>المملكة العربية السعودية</v>
          </cell>
          <cell r="O237" t="str">
            <v>50000006</v>
          </cell>
          <cell r="P237" t="str">
            <v>أخصائي ترخيص المهن البيطرية</v>
          </cell>
          <cell r="Q237" t="str">
            <v>الدرجة ٥</v>
          </cell>
          <cell r="R237" t="str">
            <v/>
          </cell>
          <cell r="S237" t="str">
            <v/>
          </cell>
          <cell r="T237" t="str">
            <v/>
          </cell>
          <cell r="U237" t="str">
            <v>عمليات الفروع</v>
          </cell>
          <cell r="V237" t="str">
            <v>الفروع</v>
          </cell>
          <cell r="W237" t="str">
            <v>Head Quarter</v>
          </cell>
          <cell r="X237" t="str">
            <v xml:space="preserve">المقر الرئيسي </v>
          </cell>
          <cell r="Y237">
            <v>44691</v>
          </cell>
          <cell r="Z237">
            <v>4.0999999999999996</v>
          </cell>
          <cell r="AA237">
            <v>1499</v>
          </cell>
          <cell r="AB237" t="str">
            <v>غير نشط</v>
          </cell>
          <cell r="AC237" t="str">
            <v>400002</v>
          </cell>
          <cell r="AD237" t="str">
            <v>Abdulaziz Alkhamshi</v>
          </cell>
          <cell r="AE237" t="str">
            <v>إعارة</v>
          </cell>
          <cell r="AF237">
            <v>45412</v>
          </cell>
          <cell r="AG237" t="str">
            <v/>
          </cell>
          <cell r="AH237" t="str">
            <v/>
          </cell>
          <cell r="AI237" t="str">
            <v/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 t="str">
            <v/>
          </cell>
          <cell r="AO237" t="str">
            <v>Vet Occupational &amp; Bus Licenses</v>
          </cell>
          <cell r="AP237" t="str">
            <v>Saudi Awwal Bank</v>
          </cell>
          <cell r="AQ237" t="str">
            <v>SA4845000000181088691001</v>
          </cell>
          <cell r="AR237">
            <v>8923</v>
          </cell>
          <cell r="AS237" t="str">
            <v/>
          </cell>
          <cell r="AT237">
            <v>392.3</v>
          </cell>
          <cell r="AU237">
            <v>2230.75</v>
          </cell>
          <cell r="AV237" t="str">
            <v/>
          </cell>
        </row>
        <row r="238">
          <cell r="A238">
            <v>400057</v>
          </cell>
          <cell r="B238" t="str">
            <v>1066616374</v>
          </cell>
          <cell r="C238" t="str">
            <v>السيد</v>
          </cell>
          <cell r="D238" t="str">
            <v>Morteza AL-Hayek</v>
          </cell>
          <cell r="E238" t="str">
            <v>مرتضى طاهر يوسف الحايك</v>
          </cell>
          <cell r="F238" t="str">
            <v>Male</v>
          </cell>
          <cell r="G238" t="str">
            <v>متزوج</v>
          </cell>
          <cell r="H238">
            <v>32861</v>
          </cell>
          <cell r="I238">
            <v>36</v>
          </cell>
          <cell r="J238">
            <v>13329</v>
          </cell>
          <cell r="K238" t="str">
            <v>E25699@agriserv.com.sa</v>
          </cell>
          <cell r="L238" t="str">
            <v>0552183380</v>
          </cell>
          <cell r="M238" t="str">
            <v/>
          </cell>
          <cell r="N238" t="str">
            <v>المملكة العربية السعودية</v>
          </cell>
          <cell r="O238" t="str">
            <v>50000920</v>
          </cell>
          <cell r="P238" t="str">
            <v>أخصائي أول ترخيص المشاريع الحيوانية</v>
          </cell>
          <cell r="Q238" t="str">
            <v>الدرجة ٥</v>
          </cell>
          <cell r="R238" t="str">
            <v/>
          </cell>
          <cell r="S238" t="str">
            <v/>
          </cell>
          <cell r="T238" t="str">
            <v/>
          </cell>
          <cell r="U238" t="str">
            <v>التراخيص</v>
          </cell>
          <cell r="V238" t="str">
            <v>التراخيص</v>
          </cell>
          <cell r="W238" t="str">
            <v>Al Riyadh</v>
          </cell>
          <cell r="X238" t="str">
            <v xml:space="preserve">الفرع </v>
          </cell>
          <cell r="Y238">
            <v>44691</v>
          </cell>
          <cell r="Z238">
            <v>4.0999999999999996</v>
          </cell>
          <cell r="AA238">
            <v>1499</v>
          </cell>
          <cell r="AB238" t="str">
            <v>غير نشط</v>
          </cell>
          <cell r="AC238" t="str">
            <v>400001</v>
          </cell>
          <cell r="AD238" t="str">
            <v>Abdullah Alotaibi</v>
          </cell>
          <cell r="AE238" t="str">
            <v>إعارة</v>
          </cell>
          <cell r="AF238">
            <v>45077</v>
          </cell>
          <cell r="AG238" t="str">
            <v/>
          </cell>
          <cell r="AH238" t="str">
            <v/>
          </cell>
          <cell r="AI238" t="str">
            <v/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 t="str">
            <v/>
          </cell>
          <cell r="AO238" t="str">
            <v>Licensing Department</v>
          </cell>
          <cell r="AP238" t="str">
            <v>Riyad Bank</v>
          </cell>
          <cell r="AQ238" t="str">
            <v>SA8320000003340897249940</v>
          </cell>
          <cell r="AR238">
            <v>10500</v>
          </cell>
          <cell r="AS238" t="str">
            <v/>
          </cell>
          <cell r="AT238">
            <v>350</v>
          </cell>
          <cell r="AU238">
            <v>2625</v>
          </cell>
          <cell r="AV238" t="str">
            <v/>
          </cell>
        </row>
        <row r="239">
          <cell r="A239">
            <v>400058</v>
          </cell>
          <cell r="B239" t="str">
            <v>1079887871</v>
          </cell>
          <cell r="C239" t="str">
            <v>السيد</v>
          </cell>
          <cell r="D239" t="str">
            <v>Mohamed AL-Otaibi</v>
          </cell>
          <cell r="E239" t="str">
            <v>محمد عواض منير العتيبي</v>
          </cell>
          <cell r="F239" t="str">
            <v>Male</v>
          </cell>
          <cell r="G239" t="str">
            <v>أعزب</v>
          </cell>
          <cell r="H239">
            <v>33489</v>
          </cell>
          <cell r="I239">
            <v>35</v>
          </cell>
          <cell r="J239">
            <v>12701</v>
          </cell>
          <cell r="K239" t="str">
            <v>MAWALOTAIBI@agriserv.com.sa</v>
          </cell>
          <cell r="L239" t="str">
            <v>0550709025</v>
          </cell>
          <cell r="M239" t="str">
            <v/>
          </cell>
          <cell r="N239" t="str">
            <v>المملكة العربية السعودية</v>
          </cell>
          <cell r="O239" t="str">
            <v>50000010</v>
          </cell>
          <cell r="P239" t="str">
            <v>موظف دعم إداري</v>
          </cell>
          <cell r="Q239" t="str">
            <v>2A الدرجة</v>
          </cell>
          <cell r="R239" t="str">
            <v/>
          </cell>
          <cell r="S239" t="str">
            <v/>
          </cell>
          <cell r="T239" t="str">
            <v>التراخيص</v>
          </cell>
          <cell r="U239" t="str">
            <v>التراخيص</v>
          </cell>
          <cell r="V239" t="str">
            <v>التراخيص</v>
          </cell>
          <cell r="W239" t="str">
            <v>Head Quarter</v>
          </cell>
          <cell r="X239" t="str">
            <v xml:space="preserve">المقر الرئيسي </v>
          </cell>
          <cell r="Y239">
            <v>44691</v>
          </cell>
          <cell r="Z239">
            <v>4.0999999999999996</v>
          </cell>
          <cell r="AA239">
            <v>1499</v>
          </cell>
          <cell r="AB239" t="str">
            <v>غير نشط</v>
          </cell>
          <cell r="AC239" t="str">
            <v>400256</v>
          </cell>
          <cell r="AD239" t="str">
            <v>Majed Alfaraj</v>
          </cell>
          <cell r="AE239" t="str">
            <v>إعارة</v>
          </cell>
          <cell r="AF239">
            <v>45138</v>
          </cell>
          <cell r="AG239" t="str">
            <v/>
          </cell>
          <cell r="AH239" t="str">
            <v/>
          </cell>
          <cell r="AI239" t="str">
            <v/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 t="str">
            <v/>
          </cell>
          <cell r="AO239" t="str">
            <v>Agri. Occupational &amp; Bus Licenses</v>
          </cell>
          <cell r="AP239" t="str">
            <v>Al Rajhi Bank</v>
          </cell>
          <cell r="AQ239" t="str">
            <v>SA1880000343608010270961</v>
          </cell>
          <cell r="AR239">
            <v>7895</v>
          </cell>
          <cell r="AS239" t="str">
            <v/>
          </cell>
          <cell r="AT239">
            <v>89.5</v>
          </cell>
          <cell r="AU239">
            <v>1973.75</v>
          </cell>
          <cell r="AV239" t="str">
            <v/>
          </cell>
        </row>
        <row r="240">
          <cell r="A240">
            <v>400059</v>
          </cell>
          <cell r="B240" t="str">
            <v>1024723296</v>
          </cell>
          <cell r="C240" t="str">
            <v>السيد</v>
          </cell>
          <cell r="D240" t="str">
            <v>Abdulrahman Mohammed Abdulwahed Alotaibi</v>
          </cell>
          <cell r="E240" t="str">
            <v>عبدالرحمن محمد عبدالواحد العتيبي</v>
          </cell>
          <cell r="F240" t="str">
            <v>Male</v>
          </cell>
          <cell r="G240" t="str">
            <v>أعزب</v>
          </cell>
          <cell r="H240">
            <v>28127</v>
          </cell>
          <cell r="I240">
            <v>49</v>
          </cell>
          <cell r="J240">
            <v>18063</v>
          </cell>
          <cell r="K240" t="str">
            <v>Abdulrahman.AlOtaibi@agriserv.sa</v>
          </cell>
          <cell r="L240" t="str">
            <v>0559555529</v>
          </cell>
          <cell r="M240" t="str">
            <v/>
          </cell>
          <cell r="N240" t="str">
            <v>المملكة العربية السعودية</v>
          </cell>
          <cell r="O240" t="str">
            <v>50000012</v>
          </cell>
          <cell r="P240" t="str">
            <v>موظف دعم إداري</v>
          </cell>
          <cell r="Q240" t="str">
            <v>2A الدرجة</v>
          </cell>
          <cell r="R240" t="str">
            <v>Class A</v>
          </cell>
          <cell r="S240" t="str">
            <v>مطار الملك خالد الدولي</v>
          </cell>
          <cell r="T240" t="str">
            <v>خدمات المحجر</v>
          </cell>
          <cell r="U240" t="str">
            <v>الاذونات وخدمات المحاجر</v>
          </cell>
          <cell r="V240" t="str">
            <v>العمليات</v>
          </cell>
          <cell r="W240" t="str">
            <v>Al Riyadh</v>
          </cell>
          <cell r="X240" t="str">
            <v xml:space="preserve">الفرع </v>
          </cell>
          <cell r="Y240">
            <v>44691</v>
          </cell>
          <cell r="Z240">
            <v>4.0999999999999996</v>
          </cell>
          <cell r="AA240">
            <v>1499</v>
          </cell>
          <cell r="AB240" t="str">
            <v>نشط</v>
          </cell>
          <cell r="AC240" t="str">
            <v>400069</v>
          </cell>
          <cell r="AD240" t="str">
            <v>Hammad Almarzouqi</v>
          </cell>
          <cell r="AE240" t="str">
            <v>إعارة</v>
          </cell>
          <cell r="AF240" t="str">
            <v/>
          </cell>
          <cell r="AG240" t="str">
            <v/>
          </cell>
          <cell r="AH240" t="str">
            <v>ثانوية</v>
          </cell>
          <cell r="AI240" t="str">
            <v>شهادة المدرسة الثانوية</v>
          </cell>
          <cell r="AJ240">
            <v>1</v>
          </cell>
          <cell r="AK240">
            <v>1</v>
          </cell>
          <cell r="AL240">
            <v>0</v>
          </cell>
          <cell r="AM240">
            <v>0</v>
          </cell>
          <cell r="AN240" t="str">
            <v/>
          </cell>
          <cell r="AO240" t="str">
            <v>الاذونات وخدمات المحاجر</v>
          </cell>
          <cell r="AP240" t="str">
            <v>Al Rajhi Bank</v>
          </cell>
          <cell r="AQ240" t="str">
            <v>SA6580000200608010130407</v>
          </cell>
          <cell r="AR240">
            <v>9115</v>
          </cell>
          <cell r="AS240" t="str">
            <v/>
          </cell>
          <cell r="AT240">
            <v>100</v>
          </cell>
          <cell r="AU240">
            <v>2278.75</v>
          </cell>
          <cell r="AV240" t="str">
            <v/>
          </cell>
        </row>
        <row r="241">
          <cell r="A241">
            <v>400060</v>
          </cell>
          <cell r="B241" t="str">
            <v>1063133019</v>
          </cell>
          <cell r="C241" t="str">
            <v>السيد</v>
          </cell>
          <cell r="D241" t="str">
            <v>Saleh Suliman Khalaf Aljasser</v>
          </cell>
          <cell r="E241" t="str">
            <v>صالح سليمان خلف الجاسر</v>
          </cell>
          <cell r="F241" t="str">
            <v>Male</v>
          </cell>
          <cell r="G241" t="str">
            <v>أعزب</v>
          </cell>
          <cell r="H241">
            <v>31403</v>
          </cell>
          <cell r="I241">
            <v>40</v>
          </cell>
          <cell r="J241">
            <v>14787</v>
          </cell>
          <cell r="K241" t="str">
            <v>E14603@agriserv.com.sa</v>
          </cell>
          <cell r="L241" t="str">
            <v>0540662223</v>
          </cell>
          <cell r="M241" t="str">
            <v/>
          </cell>
          <cell r="N241" t="str">
            <v>المملكة العربية السعودية</v>
          </cell>
          <cell r="O241" t="str">
            <v>50000016</v>
          </cell>
          <cell r="P241" t="str">
            <v>موظف دعم إداري</v>
          </cell>
          <cell r="Q241" t="str">
            <v>2A الدرجة</v>
          </cell>
          <cell r="R241" t="str">
            <v/>
          </cell>
          <cell r="S241" t="str">
            <v/>
          </cell>
          <cell r="T241" t="str">
            <v>الفسح المركزي</v>
          </cell>
          <cell r="U241" t="str">
            <v>الاذونات وخدمات المحاجر</v>
          </cell>
          <cell r="V241" t="str">
            <v>العمليات</v>
          </cell>
          <cell r="W241" t="str">
            <v>Al Riyadh</v>
          </cell>
          <cell r="X241" t="str">
            <v xml:space="preserve">الفرع </v>
          </cell>
          <cell r="Y241">
            <v>44691</v>
          </cell>
          <cell r="Z241">
            <v>4.0999999999999996</v>
          </cell>
          <cell r="AA241">
            <v>1499</v>
          </cell>
          <cell r="AB241" t="str">
            <v>غير نشط</v>
          </cell>
          <cell r="AC241" t="str">
            <v>400158</v>
          </cell>
          <cell r="AD241" t="str">
            <v>Abdulrahman Alzahrani</v>
          </cell>
          <cell r="AE241" t="str">
            <v>إعارة</v>
          </cell>
          <cell r="AF241">
            <v>45294</v>
          </cell>
          <cell r="AG241" t="str">
            <v/>
          </cell>
          <cell r="AH241" t="str">
            <v/>
          </cell>
          <cell r="AI241" t="str">
            <v/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 t="str">
            <v/>
          </cell>
          <cell r="AO241" t="str">
            <v>Import / Export Permits</v>
          </cell>
          <cell r="AP241" t="str">
            <v>Al Rajhi Bank</v>
          </cell>
          <cell r="AQ241" t="str">
            <v>SA4880000149608010133942</v>
          </cell>
          <cell r="AR241">
            <v>8810</v>
          </cell>
          <cell r="AS241" t="str">
            <v/>
          </cell>
          <cell r="AT241">
            <v>100</v>
          </cell>
          <cell r="AU241">
            <v>2202.5</v>
          </cell>
          <cell r="AV241" t="str">
            <v/>
          </cell>
        </row>
        <row r="242">
          <cell r="A242">
            <v>400061</v>
          </cell>
          <cell r="B242" t="str">
            <v>1020690580</v>
          </cell>
          <cell r="C242" t="str">
            <v>السيد</v>
          </cell>
          <cell r="D242" t="str">
            <v>Dleem Mohamd Thifalaah Alotaibi</v>
          </cell>
          <cell r="E242" t="str">
            <v>دليم محمد ضيف الله العتيبي</v>
          </cell>
          <cell r="F242" t="str">
            <v>Male</v>
          </cell>
          <cell r="G242" t="str">
            <v>متزوج</v>
          </cell>
          <cell r="H242">
            <v>28647</v>
          </cell>
          <cell r="I242">
            <v>48</v>
          </cell>
          <cell r="J242">
            <v>17543</v>
          </cell>
          <cell r="K242" t="str">
            <v>Dulaim.AlOtaibi@agriserv.sa</v>
          </cell>
          <cell r="L242" t="str">
            <v>0500995665</v>
          </cell>
          <cell r="M242" t="str">
            <v/>
          </cell>
          <cell r="N242" t="str">
            <v>المملكة العربية السعودية</v>
          </cell>
          <cell r="O242" t="str">
            <v>50000018</v>
          </cell>
          <cell r="P242" t="str">
            <v>موظف دعم إداري</v>
          </cell>
          <cell r="Q242" t="str">
            <v>2A الدرجة</v>
          </cell>
          <cell r="R242" t="str">
            <v>Class A</v>
          </cell>
          <cell r="S242" t="str">
            <v>مطار الملك خالد الدولي</v>
          </cell>
          <cell r="T242" t="str">
            <v>خدمات المحجر</v>
          </cell>
          <cell r="U242" t="str">
            <v>الاذونات وخدمات المحاجر</v>
          </cell>
          <cell r="V242" t="str">
            <v>العمليات</v>
          </cell>
          <cell r="W242" t="str">
            <v>Al Riyadh</v>
          </cell>
          <cell r="X242" t="str">
            <v xml:space="preserve">الفرع </v>
          </cell>
          <cell r="Y242">
            <v>44691</v>
          </cell>
          <cell r="Z242">
            <v>4.0999999999999996</v>
          </cell>
          <cell r="AA242">
            <v>1499</v>
          </cell>
          <cell r="AB242" t="str">
            <v>نشط</v>
          </cell>
          <cell r="AC242" t="str">
            <v>400069</v>
          </cell>
          <cell r="AD242" t="str">
            <v>Hammad Almarzouqi</v>
          </cell>
          <cell r="AE242" t="str">
            <v>إعارة</v>
          </cell>
          <cell r="AF242" t="str">
            <v/>
          </cell>
          <cell r="AG242" t="str">
            <v/>
          </cell>
          <cell r="AH242" t="str">
            <v>أصول الدين</v>
          </cell>
          <cell r="AI242" t="str">
            <v>بكالوريوس</v>
          </cell>
          <cell r="AJ242">
            <v>5</v>
          </cell>
          <cell r="AK242">
            <v>4</v>
          </cell>
          <cell r="AL242">
            <v>1</v>
          </cell>
          <cell r="AM242">
            <v>0</v>
          </cell>
          <cell r="AN242" t="str">
            <v/>
          </cell>
          <cell r="AO242" t="str">
            <v>الاذونات وخدمات المحاجر</v>
          </cell>
          <cell r="AP242" t="str">
            <v>Al Rajhi Bank</v>
          </cell>
          <cell r="AQ242" t="str">
            <v>SA2180000115608010168526</v>
          </cell>
          <cell r="AR242">
            <v>14445</v>
          </cell>
          <cell r="AS242" t="str">
            <v/>
          </cell>
          <cell r="AT242">
            <v>100</v>
          </cell>
          <cell r="AU242">
            <v>3611.25</v>
          </cell>
          <cell r="AV242" t="str">
            <v/>
          </cell>
        </row>
        <row r="243">
          <cell r="A243">
            <v>400062</v>
          </cell>
          <cell r="B243" t="str">
            <v>1061408249</v>
          </cell>
          <cell r="C243" t="str">
            <v>السيد</v>
          </cell>
          <cell r="D243" t="str">
            <v>Abdulaziz AL-Maqeel</v>
          </cell>
          <cell r="E243" t="str">
            <v>عبدالعزيز محمد عبدالعزيز المقيل</v>
          </cell>
          <cell r="F243" t="str">
            <v>Male</v>
          </cell>
          <cell r="G243" t="str">
            <v>أعزب</v>
          </cell>
          <cell r="H243">
            <v>32463</v>
          </cell>
          <cell r="I243">
            <v>38</v>
          </cell>
          <cell r="J243">
            <v>13727</v>
          </cell>
          <cell r="K243" t="str">
            <v>AMALMGEEL@agriserv.com.sa</v>
          </cell>
          <cell r="L243" t="str">
            <v/>
          </cell>
          <cell r="M243" t="str">
            <v/>
          </cell>
          <cell r="N243" t="str">
            <v>المملكة العربية السعودية</v>
          </cell>
          <cell r="O243" t="str">
            <v>50000020</v>
          </cell>
          <cell r="P243" t="str">
            <v>محلل أول الخدمات الإدارية الحكومية</v>
          </cell>
          <cell r="Q243" t="str">
            <v>2A الدرجة</v>
          </cell>
          <cell r="R243" t="str">
            <v/>
          </cell>
          <cell r="S243" t="str">
            <v/>
          </cell>
          <cell r="T243" t="str">
            <v>الاذونات</v>
          </cell>
          <cell r="U243" t="str">
            <v>الاذونات وخدمات المحاجر</v>
          </cell>
          <cell r="V243" t="str">
            <v>التراخيص</v>
          </cell>
          <cell r="W243" t="str">
            <v>Al Riyadh</v>
          </cell>
          <cell r="X243" t="str">
            <v xml:space="preserve">الفرع </v>
          </cell>
          <cell r="Y243">
            <v>44691</v>
          </cell>
          <cell r="Z243">
            <v>4.0999999999999996</v>
          </cell>
          <cell r="AA243">
            <v>1499</v>
          </cell>
          <cell r="AB243" t="str">
            <v>غير نشط</v>
          </cell>
          <cell r="AC243" t="str">
            <v>400028</v>
          </cell>
          <cell r="AD243" t="str">
            <v>Ibrahim Alnuwaiser</v>
          </cell>
          <cell r="AE243" t="str">
            <v>إعارة</v>
          </cell>
          <cell r="AF243">
            <v>44895</v>
          </cell>
          <cell r="AG243" t="str">
            <v/>
          </cell>
          <cell r="AH243" t="str">
            <v/>
          </cell>
          <cell r="AI243" t="str">
            <v/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 t="str">
            <v/>
          </cell>
          <cell r="AO243" t="str">
            <v>Import / Export Permits</v>
          </cell>
          <cell r="AP243" t="str">
            <v>Al Rajhi Bank</v>
          </cell>
          <cell r="AQ243" t="str">
            <v>SA3980000138608010223118</v>
          </cell>
          <cell r="AR243">
            <v>6370</v>
          </cell>
          <cell r="AS243" t="str">
            <v/>
          </cell>
          <cell r="AT243">
            <v>137</v>
          </cell>
          <cell r="AU243">
            <v>1592.5</v>
          </cell>
          <cell r="AV243" t="str">
            <v/>
          </cell>
        </row>
        <row r="244">
          <cell r="A244">
            <v>400063</v>
          </cell>
          <cell r="B244" t="str">
            <v>1087634620</v>
          </cell>
          <cell r="C244" t="str">
            <v>السيد</v>
          </cell>
          <cell r="D244" t="str">
            <v>Turki Eesa Abdullah Alameer</v>
          </cell>
          <cell r="E244" t="str">
            <v>تركي عيسى عبدالله العمير</v>
          </cell>
          <cell r="F244" t="str">
            <v>Male</v>
          </cell>
          <cell r="G244" t="str">
            <v>متزوج</v>
          </cell>
          <cell r="H244">
            <v>32649</v>
          </cell>
          <cell r="I244">
            <v>37</v>
          </cell>
          <cell r="J244">
            <v>13541</v>
          </cell>
          <cell r="K244" t="str">
            <v>Turki.Alomair@agriserv.sa</v>
          </cell>
          <cell r="L244" t="str">
            <v>0500785657</v>
          </cell>
          <cell r="M244" t="str">
            <v/>
          </cell>
          <cell r="N244" t="str">
            <v>المملكة العربية السعودية</v>
          </cell>
          <cell r="O244" t="str">
            <v>50000023</v>
          </cell>
          <cell r="P244" t="str">
            <v>موظف دعم إداري</v>
          </cell>
          <cell r="Q244" t="str">
            <v>2A الدرجة</v>
          </cell>
          <cell r="R244" t="str">
            <v>Class A</v>
          </cell>
          <cell r="S244" t="str">
            <v/>
          </cell>
          <cell r="T244" t="str">
            <v/>
          </cell>
          <cell r="U244" t="str">
            <v>خدمة العملاء</v>
          </cell>
          <cell r="V244" t="str">
            <v>الفروع</v>
          </cell>
          <cell r="W244" t="str">
            <v>Head Quarter</v>
          </cell>
          <cell r="X244" t="str">
            <v xml:space="preserve">المقر الرئيسي </v>
          </cell>
          <cell r="Y244">
            <v>44691</v>
          </cell>
          <cell r="Z244">
            <v>4.0999999999999996</v>
          </cell>
          <cell r="AA244">
            <v>1499</v>
          </cell>
          <cell r="AB244" t="str">
            <v>نشط</v>
          </cell>
          <cell r="AC244" t="str">
            <v>100071</v>
          </cell>
          <cell r="AD244" t="str">
            <v>ABDULRAHMAN ALJUNAYDIL</v>
          </cell>
          <cell r="AE244" t="str">
            <v>إعارة</v>
          </cell>
          <cell r="AF244" t="str">
            <v/>
          </cell>
          <cell r="AG244" t="str">
            <v/>
          </cell>
          <cell r="AH244" t="str">
            <v>ثانوية</v>
          </cell>
          <cell r="AI244" t="str">
            <v>شهادة المدرسة الثانوية</v>
          </cell>
          <cell r="AJ244">
            <v>3</v>
          </cell>
          <cell r="AK244">
            <v>1</v>
          </cell>
          <cell r="AL244">
            <v>1</v>
          </cell>
          <cell r="AM244">
            <v>1</v>
          </cell>
          <cell r="AN244" t="str">
            <v/>
          </cell>
          <cell r="AO244" t="str">
            <v>خدمة العملاء</v>
          </cell>
          <cell r="AP244" t="str">
            <v>Al Rajhi Bank</v>
          </cell>
          <cell r="AQ244" t="str">
            <v>SA8780000251608010292361</v>
          </cell>
          <cell r="AR244">
            <v>8505</v>
          </cell>
          <cell r="AS244" t="str">
            <v/>
          </cell>
          <cell r="AT244">
            <v>100</v>
          </cell>
          <cell r="AU244">
            <v>2126.25</v>
          </cell>
          <cell r="AV244" t="str">
            <v/>
          </cell>
        </row>
        <row r="245">
          <cell r="A245">
            <v>400064</v>
          </cell>
          <cell r="B245" t="str">
            <v>1080454091</v>
          </cell>
          <cell r="C245" t="str">
            <v>السيد</v>
          </cell>
          <cell r="D245" t="str">
            <v>Saud Abdulaziz Mohammed Alqobaishei</v>
          </cell>
          <cell r="E245" t="str">
            <v>سعود عبدالعزيز محمد القبيشي</v>
          </cell>
          <cell r="F245" t="str">
            <v>Male</v>
          </cell>
          <cell r="G245" t="str">
            <v>أعزب</v>
          </cell>
          <cell r="H245">
            <v>33849</v>
          </cell>
          <cell r="I245">
            <v>34</v>
          </cell>
          <cell r="J245">
            <v>12341</v>
          </cell>
          <cell r="K245" t="str">
            <v>SALQOBAISHEI@agriserv.com.sa</v>
          </cell>
          <cell r="L245" t="str">
            <v>0552258861</v>
          </cell>
          <cell r="M245" t="str">
            <v/>
          </cell>
          <cell r="N245" t="str">
            <v>المملكة العربية السعودية</v>
          </cell>
          <cell r="O245" t="str">
            <v>50000025</v>
          </cell>
          <cell r="P245" t="str">
            <v>موظف دعم إداري</v>
          </cell>
          <cell r="Q245" t="str">
            <v>2A الدرجة</v>
          </cell>
          <cell r="R245" t="str">
            <v/>
          </cell>
          <cell r="S245" t="str">
            <v/>
          </cell>
          <cell r="T245" t="str">
            <v/>
          </cell>
          <cell r="U245" t="str">
            <v>خدمة العملاء</v>
          </cell>
          <cell r="V245" t="str">
            <v>الفروع</v>
          </cell>
          <cell r="W245" t="str">
            <v>Al Riyadh</v>
          </cell>
          <cell r="X245" t="str">
            <v xml:space="preserve">الفرع </v>
          </cell>
          <cell r="Y245">
            <v>44691</v>
          </cell>
          <cell r="Z245">
            <v>4.0999999999999996</v>
          </cell>
          <cell r="AA245">
            <v>1499</v>
          </cell>
          <cell r="AB245" t="str">
            <v>غير نشط</v>
          </cell>
          <cell r="AC245" t="str">
            <v>400116</v>
          </cell>
          <cell r="AD245" t="str">
            <v>Mohamd Gely</v>
          </cell>
          <cell r="AE245" t="str">
            <v>إعارة</v>
          </cell>
          <cell r="AF245">
            <v>45358</v>
          </cell>
          <cell r="AG245" t="str">
            <v/>
          </cell>
          <cell r="AH245" t="str">
            <v/>
          </cell>
          <cell r="AI245" t="str">
            <v/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 t="str">
            <v/>
          </cell>
          <cell r="AO245" t="str">
            <v>Import / Export Permits</v>
          </cell>
          <cell r="AP245" t="str">
            <v>Al Rajhi Bank</v>
          </cell>
          <cell r="AQ245" t="str">
            <v>SA3980000265608010061083</v>
          </cell>
          <cell r="AR245">
            <v>5275</v>
          </cell>
          <cell r="AS245" t="str">
            <v/>
          </cell>
          <cell r="AT245">
            <v>27.5</v>
          </cell>
          <cell r="AU245">
            <v>1318.75</v>
          </cell>
          <cell r="AV245" t="str">
            <v/>
          </cell>
        </row>
        <row r="246">
          <cell r="A246">
            <v>400065</v>
          </cell>
          <cell r="B246" t="str">
            <v>1041201292</v>
          </cell>
          <cell r="C246" t="str">
            <v>السيد</v>
          </cell>
          <cell r="D246" t="str">
            <v>AbdulRahman AlHarabi</v>
          </cell>
          <cell r="E246" t="str">
            <v>عبدالرحمن محمد عبدالرحمن الحرابي</v>
          </cell>
          <cell r="F246" t="str">
            <v>Male</v>
          </cell>
          <cell r="G246" t="str">
            <v>أعزب</v>
          </cell>
          <cell r="H246">
            <v>24396</v>
          </cell>
          <cell r="I246">
            <v>60</v>
          </cell>
          <cell r="J246">
            <v>21794</v>
          </cell>
          <cell r="K246" t="str">
            <v>E11790@agriserv.com.sa</v>
          </cell>
          <cell r="L246" t="str">
            <v>0508470070</v>
          </cell>
          <cell r="M246" t="str">
            <v/>
          </cell>
          <cell r="N246" t="str">
            <v>المملكة العربية السعودية</v>
          </cell>
          <cell r="O246" t="str">
            <v>50000027</v>
          </cell>
          <cell r="P246" t="str">
            <v>موظف دعم إداري</v>
          </cell>
          <cell r="Q246" t="str">
            <v>2A الدرجة</v>
          </cell>
          <cell r="R246" t="str">
            <v/>
          </cell>
          <cell r="S246" t="str">
            <v/>
          </cell>
          <cell r="T246" t="str">
            <v>الفسح المركزي</v>
          </cell>
          <cell r="U246" t="str">
            <v>الاذونات وخدمات المحاجر</v>
          </cell>
          <cell r="V246" t="str">
            <v>التراخيص</v>
          </cell>
          <cell r="W246" t="str">
            <v>Al Riyadh</v>
          </cell>
          <cell r="X246" t="str">
            <v xml:space="preserve">الفرع </v>
          </cell>
          <cell r="Y246">
            <v>44691</v>
          </cell>
          <cell r="Z246">
            <v>4.0999999999999996</v>
          </cell>
          <cell r="AA246">
            <v>1499</v>
          </cell>
          <cell r="AB246" t="str">
            <v>غير نشط</v>
          </cell>
          <cell r="AC246" t="str">
            <v>400034</v>
          </cell>
          <cell r="AD246" t="str">
            <v>Hamad Alfuhaid</v>
          </cell>
          <cell r="AE246" t="str">
            <v>إعارة</v>
          </cell>
          <cell r="AF246">
            <v>45055</v>
          </cell>
          <cell r="AG246" t="str">
            <v/>
          </cell>
          <cell r="AH246" t="str">
            <v/>
          </cell>
          <cell r="AI246" t="str">
            <v/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 t="str">
            <v/>
          </cell>
          <cell r="AO246" t="str">
            <v>Import / Export Permits</v>
          </cell>
          <cell r="AP246" t="str">
            <v>Arab National Bank</v>
          </cell>
          <cell r="AQ246" t="str">
            <v>SA4830400108002081080019</v>
          </cell>
          <cell r="AR246">
            <v>12120</v>
          </cell>
          <cell r="AS246" t="str">
            <v/>
          </cell>
          <cell r="AT246">
            <v>100</v>
          </cell>
          <cell r="AU246">
            <v>3030</v>
          </cell>
          <cell r="AV246" t="str">
            <v/>
          </cell>
        </row>
        <row r="247">
          <cell r="A247">
            <v>400066</v>
          </cell>
          <cell r="B247" t="str">
            <v>1074499540</v>
          </cell>
          <cell r="C247" t="str">
            <v>السيد</v>
          </cell>
          <cell r="D247" t="str">
            <v>Mohammed Salem Saleh Alshamarei</v>
          </cell>
          <cell r="E247" t="str">
            <v>محمد سالم صالح الشمري</v>
          </cell>
          <cell r="F247" t="str">
            <v>Male</v>
          </cell>
          <cell r="G247" t="str">
            <v>أعزب</v>
          </cell>
          <cell r="H247">
            <v>33588</v>
          </cell>
          <cell r="I247">
            <v>35</v>
          </cell>
          <cell r="J247">
            <v>12602</v>
          </cell>
          <cell r="K247" t="str">
            <v>mohammedS.alshammari@agriserv.sa</v>
          </cell>
          <cell r="L247" t="str">
            <v>0566338977</v>
          </cell>
          <cell r="M247" t="str">
            <v/>
          </cell>
          <cell r="N247" t="str">
            <v>المملكة العربية السعودية</v>
          </cell>
          <cell r="O247" t="str">
            <v>50000044</v>
          </cell>
          <cell r="P247" t="str">
            <v>موظف دعم إداري</v>
          </cell>
          <cell r="Q247" t="str">
            <v>2A الدرجة</v>
          </cell>
          <cell r="R247" t="str">
            <v>Class A</v>
          </cell>
          <cell r="S247" t="str">
            <v>محجر الخيل</v>
          </cell>
          <cell r="T247" t="str">
            <v>خدمات المحجر</v>
          </cell>
          <cell r="U247" t="str">
            <v>الاذونات وخدمات المحاجر</v>
          </cell>
          <cell r="V247" t="str">
            <v>العمليات</v>
          </cell>
          <cell r="W247" t="str">
            <v>Al Riyadh</v>
          </cell>
          <cell r="X247" t="str">
            <v xml:space="preserve">الفرع </v>
          </cell>
          <cell r="Y247">
            <v>44691</v>
          </cell>
          <cell r="Z247">
            <v>4.0999999999999996</v>
          </cell>
          <cell r="AA247">
            <v>1499</v>
          </cell>
          <cell r="AB247" t="str">
            <v>نشط</v>
          </cell>
          <cell r="AC247" t="str">
            <v>100051</v>
          </cell>
          <cell r="AD247" t="str">
            <v>Mohammed Alrajban</v>
          </cell>
          <cell r="AE247" t="str">
            <v>إعارة</v>
          </cell>
          <cell r="AF247" t="str">
            <v/>
          </cell>
          <cell r="AG247" t="str">
            <v/>
          </cell>
          <cell r="AH247" t="str">
            <v>علوم طبيعية</v>
          </cell>
          <cell r="AI247" t="str">
            <v>شهادة المدرسة الثانوية</v>
          </cell>
          <cell r="AJ247">
            <v>1</v>
          </cell>
          <cell r="AK247">
            <v>0</v>
          </cell>
          <cell r="AL247">
            <v>0</v>
          </cell>
          <cell r="AM247">
            <v>1</v>
          </cell>
          <cell r="AN247" t="str">
            <v/>
          </cell>
          <cell r="AO247" t="str">
            <v>الاذونات وخدمات المحاجر</v>
          </cell>
          <cell r="AP247" t="str">
            <v>Inma Bank</v>
          </cell>
          <cell r="AQ247" t="str">
            <v>SA9505000068200567416000</v>
          </cell>
          <cell r="AR247">
            <v>5671</v>
          </cell>
          <cell r="AS247" t="str">
            <v/>
          </cell>
          <cell r="AT247">
            <v>167.1</v>
          </cell>
          <cell r="AU247">
            <v>1417.75</v>
          </cell>
          <cell r="AV247" t="str">
            <v/>
          </cell>
        </row>
        <row r="248">
          <cell r="A248">
            <v>400067</v>
          </cell>
          <cell r="B248" t="str">
            <v>1091368314</v>
          </cell>
          <cell r="C248" t="str">
            <v>السيد</v>
          </cell>
          <cell r="D248" t="str">
            <v>Abdulrahman AlGhaydani</v>
          </cell>
          <cell r="E248" t="str">
            <v>عبدالرحمن شباب  الغيداني</v>
          </cell>
          <cell r="F248" t="str">
            <v>Male</v>
          </cell>
          <cell r="G248" t="str">
            <v>أعزب</v>
          </cell>
          <cell r="H248">
            <v>34088</v>
          </cell>
          <cell r="I248">
            <v>33</v>
          </cell>
          <cell r="J248">
            <v>12102</v>
          </cell>
          <cell r="K248" t="str">
            <v>ABDSALHARBI@agriserv.com.sa</v>
          </cell>
          <cell r="L248" t="str">
            <v>0540355588</v>
          </cell>
          <cell r="M248" t="str">
            <v/>
          </cell>
          <cell r="N248" t="str">
            <v>المملكة العربية السعودية</v>
          </cell>
          <cell r="O248" t="str">
            <v>50000051</v>
          </cell>
          <cell r="P248" t="str">
            <v>محلل أول الخدمات الإدارية الحكومية</v>
          </cell>
          <cell r="Q248" t="str">
            <v>2A الدرجة</v>
          </cell>
          <cell r="R248" t="str">
            <v/>
          </cell>
          <cell r="S248" t="str">
            <v/>
          </cell>
          <cell r="T248" t="str">
            <v>الشهادات والمستندات الرسمية</v>
          </cell>
          <cell r="U248" t="str">
            <v/>
          </cell>
          <cell r="V248" t="str">
            <v>التراخيص</v>
          </cell>
          <cell r="W248" t="str">
            <v>Al Riyadh</v>
          </cell>
          <cell r="X248" t="str">
            <v xml:space="preserve">الفرع </v>
          </cell>
          <cell r="Y248">
            <v>44691</v>
          </cell>
          <cell r="Z248">
            <v>4.0999999999999996</v>
          </cell>
          <cell r="AA248">
            <v>1499</v>
          </cell>
          <cell r="AB248" t="str">
            <v>غير نشط</v>
          </cell>
          <cell r="AC248" t="str">
            <v>400034</v>
          </cell>
          <cell r="AD248" t="str">
            <v>Hamad Alfuhaid</v>
          </cell>
          <cell r="AE248" t="str">
            <v>إعارة</v>
          </cell>
          <cell r="AF248">
            <v>45055</v>
          </cell>
          <cell r="AG248" t="str">
            <v/>
          </cell>
          <cell r="AH248" t="str">
            <v/>
          </cell>
          <cell r="AI248" t="str">
            <v/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 t="str">
            <v/>
          </cell>
          <cell r="AO248" t="str">
            <v>Certificates and Others Documents</v>
          </cell>
          <cell r="AP248" t="str">
            <v>Al Rajhi Bank</v>
          </cell>
          <cell r="AQ248" t="str">
            <v>SA7480000499608010102588</v>
          </cell>
          <cell r="AR248">
            <v>4080</v>
          </cell>
          <cell r="AS248" t="str">
            <v/>
          </cell>
          <cell r="AT248">
            <v>8</v>
          </cell>
          <cell r="AU248">
            <v>1020</v>
          </cell>
          <cell r="AV248" t="str">
            <v/>
          </cell>
        </row>
        <row r="249">
          <cell r="A249">
            <v>400068</v>
          </cell>
          <cell r="B249" t="str">
            <v>1089458481</v>
          </cell>
          <cell r="C249" t="str">
            <v>السيد</v>
          </cell>
          <cell r="D249" t="str">
            <v>Abdulaziz Mesfer Ali Alkhurayb</v>
          </cell>
          <cell r="E249" t="str">
            <v>عبدالعزيز مسفر علي الخريب</v>
          </cell>
          <cell r="F249" t="str">
            <v>Male</v>
          </cell>
          <cell r="G249" t="str">
            <v>أعزب</v>
          </cell>
          <cell r="H249">
            <v>34714</v>
          </cell>
          <cell r="I249">
            <v>31</v>
          </cell>
          <cell r="J249">
            <v>11476</v>
          </cell>
          <cell r="K249" t="str">
            <v>Abdulaziz.Alkhurayb@agriserv.sa</v>
          </cell>
          <cell r="L249" t="str">
            <v>0543919911</v>
          </cell>
          <cell r="M249" t="str">
            <v/>
          </cell>
          <cell r="N249" t="str">
            <v>المملكة العربية السعودية</v>
          </cell>
          <cell r="O249" t="str">
            <v>50000056</v>
          </cell>
          <cell r="P249" t="str">
            <v>موظف دعم إداري</v>
          </cell>
          <cell r="Q249" t="str">
            <v>2A الدرجة</v>
          </cell>
          <cell r="R249" t="str">
            <v>Class A</v>
          </cell>
          <cell r="S249" t="str">
            <v>محجر الخيل</v>
          </cell>
          <cell r="T249" t="str">
            <v>خدمات المحجر</v>
          </cell>
          <cell r="U249" t="str">
            <v>الاذونات وخدمات المحاجر</v>
          </cell>
          <cell r="V249" t="str">
            <v>العمليات</v>
          </cell>
          <cell r="W249" t="str">
            <v>Al Riyadh</v>
          </cell>
          <cell r="X249" t="str">
            <v xml:space="preserve">الفرع </v>
          </cell>
          <cell r="Y249">
            <v>44691</v>
          </cell>
          <cell r="Z249">
            <v>4.0999999999999996</v>
          </cell>
          <cell r="AA249">
            <v>1499</v>
          </cell>
          <cell r="AB249" t="str">
            <v>نشط</v>
          </cell>
          <cell r="AC249" t="str">
            <v>100051</v>
          </cell>
          <cell r="AD249" t="str">
            <v>Mohammed Alrajban</v>
          </cell>
          <cell r="AE249" t="str">
            <v>إعارة</v>
          </cell>
          <cell r="AF249" t="str">
            <v/>
          </cell>
          <cell r="AG249" t="str">
            <v/>
          </cell>
          <cell r="AH249" t="str">
            <v>ثانوية</v>
          </cell>
          <cell r="AI249" t="str">
            <v>شهادة المدرسة الثانوية</v>
          </cell>
          <cell r="AJ249">
            <v>2</v>
          </cell>
          <cell r="AK249">
            <v>0</v>
          </cell>
          <cell r="AL249">
            <v>0</v>
          </cell>
          <cell r="AM249">
            <v>2</v>
          </cell>
          <cell r="AN249" t="str">
            <v/>
          </cell>
          <cell r="AO249" t="str">
            <v>الاذونات وخدمات المحاجر</v>
          </cell>
          <cell r="AP249" t="str">
            <v>Al Rajhi Bank</v>
          </cell>
          <cell r="AQ249" t="str">
            <v>SA8480000446608010168302</v>
          </cell>
          <cell r="AR249">
            <v>5885</v>
          </cell>
          <cell r="AS249" t="str">
            <v/>
          </cell>
          <cell r="AT249">
            <v>88.5</v>
          </cell>
          <cell r="AU249">
            <v>1471.25</v>
          </cell>
          <cell r="AV249" t="str">
            <v/>
          </cell>
        </row>
        <row r="250">
          <cell r="A250">
            <v>400069</v>
          </cell>
          <cell r="B250" t="str">
            <v>1044081246</v>
          </cell>
          <cell r="C250" t="str">
            <v>السيد</v>
          </cell>
          <cell r="D250" t="str">
            <v>Hammad Abduallah Ibrahim Almarzouqi</v>
          </cell>
          <cell r="E250" t="str">
            <v>حمد عبدالله ابراهيم المرزوقي</v>
          </cell>
          <cell r="F250" t="str">
            <v>Male</v>
          </cell>
          <cell r="G250" t="str">
            <v>متزوج</v>
          </cell>
          <cell r="H250">
            <v>28903</v>
          </cell>
          <cell r="I250">
            <v>47</v>
          </cell>
          <cell r="J250">
            <v>17287</v>
          </cell>
          <cell r="K250" t="str">
            <v>Hamad.AlMarzouki@agriserv.sa</v>
          </cell>
          <cell r="L250" t="str">
            <v>0554460926</v>
          </cell>
          <cell r="M250" t="str">
            <v/>
          </cell>
          <cell r="N250" t="str">
            <v>المملكة العربية السعودية</v>
          </cell>
          <cell r="O250" t="str">
            <v>50000055</v>
          </cell>
          <cell r="P250" t="str">
            <v>فني زراعي</v>
          </cell>
          <cell r="Q250" t="str">
            <v>2A الدرجة</v>
          </cell>
          <cell r="R250" t="str">
            <v>Class A</v>
          </cell>
          <cell r="S250" t="str">
            <v>مطار الملك خالد الدولي</v>
          </cell>
          <cell r="T250" t="str">
            <v>خدمات المحجر</v>
          </cell>
          <cell r="U250" t="str">
            <v>الاذونات وخدمات المحاجر</v>
          </cell>
          <cell r="V250" t="str">
            <v>العمليات</v>
          </cell>
          <cell r="W250" t="str">
            <v>Al Riyadh</v>
          </cell>
          <cell r="X250" t="str">
            <v xml:space="preserve">الفرع </v>
          </cell>
          <cell r="Y250">
            <v>44691</v>
          </cell>
          <cell r="Z250">
            <v>4.0999999999999996</v>
          </cell>
          <cell r="AA250">
            <v>1499</v>
          </cell>
          <cell r="AB250" t="str">
            <v>نشط</v>
          </cell>
          <cell r="AC250" t="str">
            <v>100135</v>
          </cell>
          <cell r="AD250" t="str">
            <v>Abdulrahman Alzahrani</v>
          </cell>
          <cell r="AE250" t="str">
            <v>إعارة</v>
          </cell>
          <cell r="AF250" t="str">
            <v/>
          </cell>
          <cell r="AG250" t="str">
            <v/>
          </cell>
          <cell r="AH250" t="str">
            <v>وقاية النبات</v>
          </cell>
          <cell r="AI250" t="str">
            <v>بكالوريوس</v>
          </cell>
          <cell r="AJ250">
            <v>7</v>
          </cell>
          <cell r="AK250">
            <v>4</v>
          </cell>
          <cell r="AL250">
            <v>1</v>
          </cell>
          <cell r="AM250">
            <v>2</v>
          </cell>
          <cell r="AN250" t="str">
            <v/>
          </cell>
          <cell r="AO250" t="str">
            <v>الاذونات وخدمات المحاجر</v>
          </cell>
          <cell r="AP250" t="str">
            <v>Saudi Awwal Bank</v>
          </cell>
          <cell r="AQ250" t="str">
            <v>SA5745000000014183230001</v>
          </cell>
          <cell r="AR250">
            <v>18565</v>
          </cell>
          <cell r="AS250" t="str">
            <v/>
          </cell>
          <cell r="AT250" t="str">
            <v/>
          </cell>
          <cell r="AU250">
            <v>4641.25</v>
          </cell>
          <cell r="AV250" t="str">
            <v/>
          </cell>
        </row>
        <row r="251">
          <cell r="A251">
            <v>400070</v>
          </cell>
          <cell r="B251" t="str">
            <v>1001812799</v>
          </cell>
          <cell r="C251" t="str">
            <v>السيد</v>
          </cell>
          <cell r="D251" t="str">
            <v>Yaseen Abdullah Issa Alshaikh</v>
          </cell>
          <cell r="E251" t="str">
            <v>ياسين عبدالله عيسى الشيخ</v>
          </cell>
          <cell r="F251" t="str">
            <v>Male</v>
          </cell>
          <cell r="G251" t="str">
            <v>متزوج</v>
          </cell>
          <cell r="H251">
            <v>24809</v>
          </cell>
          <cell r="I251">
            <v>59</v>
          </cell>
          <cell r="J251">
            <v>21381</v>
          </cell>
          <cell r="K251" t="str">
            <v>Yassin.AlSheikh@agriserv.sa</v>
          </cell>
          <cell r="L251" t="str">
            <v>0504451314</v>
          </cell>
          <cell r="M251" t="str">
            <v/>
          </cell>
          <cell r="N251" t="str">
            <v>المملكة العربية السعودية</v>
          </cell>
          <cell r="O251" t="str">
            <v>50000066</v>
          </cell>
          <cell r="P251" t="str">
            <v>فني زراعي</v>
          </cell>
          <cell r="Q251" t="str">
            <v>2A الدرجة</v>
          </cell>
          <cell r="R251" t="str">
            <v>Class A</v>
          </cell>
          <cell r="S251" t="str">
            <v>مطار الملك خالد الدولي</v>
          </cell>
          <cell r="T251" t="str">
            <v>خدمات المحجر</v>
          </cell>
          <cell r="U251" t="str">
            <v>الاذونات وخدمات المحاجر</v>
          </cell>
          <cell r="V251" t="str">
            <v>العمليات</v>
          </cell>
          <cell r="W251" t="str">
            <v>Al Riyadh</v>
          </cell>
          <cell r="X251" t="str">
            <v xml:space="preserve">الفرع </v>
          </cell>
          <cell r="Y251">
            <v>44691</v>
          </cell>
          <cell r="Z251">
            <v>4.0999999999999996</v>
          </cell>
          <cell r="AA251">
            <v>1499</v>
          </cell>
          <cell r="AB251" t="str">
            <v>غير نشط</v>
          </cell>
          <cell r="AC251" t="str">
            <v>400069</v>
          </cell>
          <cell r="AD251" t="str">
            <v>Hammad Almarzouqi</v>
          </cell>
          <cell r="AE251" t="str">
            <v>إعارة</v>
          </cell>
          <cell r="AF251">
            <v>46071</v>
          </cell>
          <cell r="AG251" t="str">
            <v/>
          </cell>
          <cell r="AH251" t="str">
            <v>تغذية</v>
          </cell>
          <cell r="AI251" t="str">
            <v>ماجستير</v>
          </cell>
          <cell r="AJ251">
            <v>9</v>
          </cell>
          <cell r="AK251">
            <v>7</v>
          </cell>
          <cell r="AL251">
            <v>1</v>
          </cell>
          <cell r="AM251">
            <v>1</v>
          </cell>
          <cell r="AN251" t="str">
            <v/>
          </cell>
          <cell r="AO251" t="str">
            <v>Enforcement</v>
          </cell>
          <cell r="AP251" t="str">
            <v>Saudi National Bank</v>
          </cell>
          <cell r="AQ251" t="str">
            <v>SA4110000053200000250905</v>
          </cell>
          <cell r="AR251">
            <v>18705</v>
          </cell>
          <cell r="AS251" t="str">
            <v/>
          </cell>
          <cell r="AT251" t="str">
            <v/>
          </cell>
          <cell r="AU251">
            <v>4676.25</v>
          </cell>
          <cell r="AV251" t="str">
            <v/>
          </cell>
        </row>
        <row r="252">
          <cell r="A252">
            <v>400071</v>
          </cell>
          <cell r="B252" t="str">
            <v>1107162396</v>
          </cell>
          <cell r="C252" t="str">
            <v>السيد</v>
          </cell>
          <cell r="D252" t="str">
            <v>Faisal Ghazai AbdulMohsen Almarshadi</v>
          </cell>
          <cell r="E252" t="str">
            <v>فيصل غزاي عبدالمحسن المرشدي</v>
          </cell>
          <cell r="F252" t="str">
            <v>Male</v>
          </cell>
          <cell r="G252" t="str">
            <v>متزوج</v>
          </cell>
          <cell r="H252">
            <v>30273</v>
          </cell>
          <cell r="I252">
            <v>44</v>
          </cell>
          <cell r="J252">
            <v>15917</v>
          </cell>
          <cell r="K252" t="str">
            <v>Faisal.almarshadi@agriserv.sa</v>
          </cell>
          <cell r="L252" t="str">
            <v>0555455095</v>
          </cell>
          <cell r="M252" t="str">
            <v/>
          </cell>
          <cell r="N252" t="str">
            <v>المملكة العربية السعودية</v>
          </cell>
          <cell r="O252" t="str">
            <v>50000479</v>
          </cell>
          <cell r="P252" t="str">
            <v>فني زراعي</v>
          </cell>
          <cell r="Q252" t="str">
            <v>2A الدرجة</v>
          </cell>
          <cell r="R252" t="str">
            <v>Class A</v>
          </cell>
          <cell r="S252" t="str">
            <v>مطار الملك خالد الدولي</v>
          </cell>
          <cell r="T252" t="str">
            <v>خدمات المحجر</v>
          </cell>
          <cell r="U252" t="str">
            <v>الاذونات وخدمات المحاجر</v>
          </cell>
          <cell r="V252" t="str">
            <v>العمليات</v>
          </cell>
          <cell r="W252" t="str">
            <v>Al Riyadh</v>
          </cell>
          <cell r="X252" t="str">
            <v xml:space="preserve">الفرع </v>
          </cell>
          <cell r="Y252">
            <v>44691</v>
          </cell>
          <cell r="Z252">
            <v>4.0999999999999996</v>
          </cell>
          <cell r="AA252">
            <v>1499</v>
          </cell>
          <cell r="AB252" t="str">
            <v>نشط</v>
          </cell>
          <cell r="AC252" t="str">
            <v>400069</v>
          </cell>
          <cell r="AD252" t="str">
            <v>Hammad Almarzouqi</v>
          </cell>
          <cell r="AE252" t="str">
            <v>إعارة</v>
          </cell>
          <cell r="AF252" t="str">
            <v/>
          </cell>
          <cell r="AG252" t="str">
            <v/>
          </cell>
          <cell r="AH252" t="str">
            <v>اقتصاد زراعي</v>
          </cell>
          <cell r="AI252" t="str">
            <v>بكالوريوس</v>
          </cell>
          <cell r="AJ252">
            <v>3</v>
          </cell>
          <cell r="AK252">
            <v>1</v>
          </cell>
          <cell r="AL252">
            <v>1</v>
          </cell>
          <cell r="AM252">
            <v>1</v>
          </cell>
          <cell r="AN252" t="str">
            <v/>
          </cell>
          <cell r="AO252" t="str">
            <v>الاذونات وخدمات المحاجر</v>
          </cell>
          <cell r="AP252" t="str">
            <v>Bank Al Jazirah</v>
          </cell>
          <cell r="AQ252" t="str">
            <v>SA9260000000830489285053</v>
          </cell>
          <cell r="AR252">
            <v>14865</v>
          </cell>
          <cell r="AS252" t="str">
            <v/>
          </cell>
          <cell r="AT252">
            <v>100</v>
          </cell>
          <cell r="AU252">
            <v>3716.25</v>
          </cell>
          <cell r="AV252" t="str">
            <v/>
          </cell>
        </row>
        <row r="253">
          <cell r="A253">
            <v>400072</v>
          </cell>
          <cell r="B253" t="str">
            <v>1001019965</v>
          </cell>
          <cell r="C253" t="str">
            <v>السيد</v>
          </cell>
          <cell r="D253" t="str">
            <v>Metab Mohammad Ali Aljulidan</v>
          </cell>
          <cell r="E253" t="str">
            <v>متعب محمد علي الجليدان</v>
          </cell>
          <cell r="F253" t="str">
            <v>Male</v>
          </cell>
          <cell r="G253" t="str">
            <v>متزوج</v>
          </cell>
          <cell r="H253">
            <v>29477</v>
          </cell>
          <cell r="I253">
            <v>46</v>
          </cell>
          <cell r="J253">
            <v>16713</v>
          </cell>
          <cell r="K253" t="str">
            <v>Miteb.AlJledan@agriserv.sa</v>
          </cell>
          <cell r="L253" t="str">
            <v>0554420586</v>
          </cell>
          <cell r="M253" t="str">
            <v/>
          </cell>
          <cell r="N253" t="str">
            <v>المملكة العربية السعودية</v>
          </cell>
          <cell r="O253" t="str">
            <v>50000468</v>
          </cell>
          <cell r="P253" t="str">
            <v>فني مختبرات</v>
          </cell>
          <cell r="Q253" t="str">
            <v>2A الدرجة</v>
          </cell>
          <cell r="R253" t="str">
            <v>Class A</v>
          </cell>
          <cell r="S253" t="str">
            <v>مطار الملك خالد الدولي</v>
          </cell>
          <cell r="T253" t="str">
            <v>خدمات المحجر</v>
          </cell>
          <cell r="U253" t="str">
            <v>الاذونات وخدمات المحاجر</v>
          </cell>
          <cell r="V253" t="str">
            <v>العمليات</v>
          </cell>
          <cell r="W253" t="str">
            <v>Al Riyadh</v>
          </cell>
          <cell r="X253" t="str">
            <v xml:space="preserve">الفرع </v>
          </cell>
          <cell r="Y253">
            <v>44691</v>
          </cell>
          <cell r="Z253">
            <v>4.0999999999999996</v>
          </cell>
          <cell r="AA253">
            <v>1499</v>
          </cell>
          <cell r="AB253" t="str">
            <v>نشط</v>
          </cell>
          <cell r="AC253" t="str">
            <v>400069</v>
          </cell>
          <cell r="AD253" t="str">
            <v>Hammad Almarzouqi</v>
          </cell>
          <cell r="AE253" t="str">
            <v>إعارة</v>
          </cell>
          <cell r="AF253" t="str">
            <v/>
          </cell>
          <cell r="AG253" t="str">
            <v/>
          </cell>
          <cell r="AH253" t="str">
            <v>علم الإحياء</v>
          </cell>
          <cell r="AI253" t="str">
            <v>بكالوريوس</v>
          </cell>
          <cell r="AJ253">
            <v>7</v>
          </cell>
          <cell r="AK253">
            <v>5</v>
          </cell>
          <cell r="AL253">
            <v>1</v>
          </cell>
          <cell r="AM253">
            <v>1</v>
          </cell>
          <cell r="AN253" t="str">
            <v/>
          </cell>
          <cell r="AO253" t="str">
            <v>الاذونات وخدمات المحاجر</v>
          </cell>
          <cell r="AP253" t="str">
            <v>Al Rajhi Bank</v>
          </cell>
          <cell r="AQ253" t="str">
            <v>SA8080000216608010386290</v>
          </cell>
          <cell r="AR253">
            <v>16905</v>
          </cell>
          <cell r="AS253" t="str">
            <v/>
          </cell>
          <cell r="AT253">
            <v>100</v>
          </cell>
          <cell r="AU253">
            <v>4226.25</v>
          </cell>
          <cell r="AV253" t="str">
            <v/>
          </cell>
        </row>
        <row r="254">
          <cell r="A254">
            <v>400073</v>
          </cell>
          <cell r="B254" t="str">
            <v>1033283084</v>
          </cell>
          <cell r="C254" t="str">
            <v>السيد</v>
          </cell>
          <cell r="D254" t="str">
            <v>Waleed Khaled Muhammed Alzamel</v>
          </cell>
          <cell r="E254" t="str">
            <v>وليد خالد محمد الزامل</v>
          </cell>
          <cell r="F254" t="str">
            <v>Male</v>
          </cell>
          <cell r="G254" t="str">
            <v>أعزب</v>
          </cell>
          <cell r="H254">
            <v>30884</v>
          </cell>
          <cell r="I254">
            <v>42</v>
          </cell>
          <cell r="J254">
            <v>15306</v>
          </cell>
          <cell r="K254" t="str">
            <v>E19188@agriserv.com.sa</v>
          </cell>
          <cell r="L254" t="str">
            <v>0555492800</v>
          </cell>
          <cell r="M254" t="str">
            <v/>
          </cell>
          <cell r="N254" t="str">
            <v>المملكة العربية السعودية</v>
          </cell>
          <cell r="O254" t="str">
            <v>50000485</v>
          </cell>
          <cell r="P254" t="str">
            <v>فني مختبرات</v>
          </cell>
          <cell r="Q254" t="str">
            <v>2A الدرجة</v>
          </cell>
          <cell r="R254" t="str">
            <v/>
          </cell>
          <cell r="S254" t="str">
            <v/>
          </cell>
          <cell r="T254" t="str">
            <v>الفسح المركزي</v>
          </cell>
          <cell r="U254" t="str">
            <v>الاذونات وخدمات المحاجر</v>
          </cell>
          <cell r="V254" t="str">
            <v>العمليات</v>
          </cell>
          <cell r="W254" t="str">
            <v>Al Riyadh</v>
          </cell>
          <cell r="X254" t="str">
            <v xml:space="preserve">الفرع </v>
          </cell>
          <cell r="Y254">
            <v>44691</v>
          </cell>
          <cell r="Z254">
            <v>4.0999999999999996</v>
          </cell>
          <cell r="AA254">
            <v>1499</v>
          </cell>
          <cell r="AB254" t="str">
            <v>غير نشط</v>
          </cell>
          <cell r="AC254" t="str">
            <v>400158</v>
          </cell>
          <cell r="AD254" t="str">
            <v>Abdulrahman Alzahrani</v>
          </cell>
          <cell r="AE254" t="str">
            <v>إعارة</v>
          </cell>
          <cell r="AF254">
            <v>45294</v>
          </cell>
          <cell r="AG254" t="str">
            <v/>
          </cell>
          <cell r="AH254" t="str">
            <v/>
          </cell>
          <cell r="AI254" t="str">
            <v/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 t="str">
            <v/>
          </cell>
          <cell r="AO254" t="str">
            <v>Corp Extension &amp; Protection</v>
          </cell>
          <cell r="AP254" t="str">
            <v>Al Rajhi Bank</v>
          </cell>
          <cell r="AQ254" t="str">
            <v>SA2080000449608010327608</v>
          </cell>
          <cell r="AR254">
            <v>12565</v>
          </cell>
          <cell r="AS254" t="str">
            <v/>
          </cell>
          <cell r="AT254">
            <v>100</v>
          </cell>
          <cell r="AU254">
            <v>3141.25</v>
          </cell>
          <cell r="AV254" t="str">
            <v/>
          </cell>
        </row>
        <row r="255">
          <cell r="A255">
            <v>400074</v>
          </cell>
          <cell r="B255" t="str">
            <v>1006941056</v>
          </cell>
          <cell r="C255" t="str">
            <v>السيد</v>
          </cell>
          <cell r="D255" t="str">
            <v>Omar Abdulrahman Marzouk Alharthi</v>
          </cell>
          <cell r="E255" t="str">
            <v>عمر عبدالرحمن مرزوق الحارثي</v>
          </cell>
          <cell r="F255" t="str">
            <v>Male</v>
          </cell>
          <cell r="G255" t="str">
            <v>متزوج</v>
          </cell>
          <cell r="H255">
            <v>26153</v>
          </cell>
          <cell r="I255">
            <v>55</v>
          </cell>
          <cell r="J255">
            <v>20037</v>
          </cell>
          <cell r="K255" t="str">
            <v>Omar.AlHarithi@agriserv.sa</v>
          </cell>
          <cell r="L255" t="str">
            <v>0544628160</v>
          </cell>
          <cell r="M255" t="str">
            <v/>
          </cell>
          <cell r="N255" t="str">
            <v>المملكة العربية السعودية</v>
          </cell>
          <cell r="O255" t="str">
            <v>50000484</v>
          </cell>
          <cell r="P255" t="str">
            <v>فني زراعي</v>
          </cell>
          <cell r="Q255" t="str">
            <v>2A الدرجة</v>
          </cell>
          <cell r="R255" t="str">
            <v>Class A</v>
          </cell>
          <cell r="S255" t="str">
            <v/>
          </cell>
          <cell r="T255" t="str">
            <v>الفسح المركزي</v>
          </cell>
          <cell r="U255" t="str">
            <v>الاذونات وخدمات المحاجر</v>
          </cell>
          <cell r="V255" t="str">
            <v>العمليات</v>
          </cell>
          <cell r="W255" t="str">
            <v>Al Riyadh</v>
          </cell>
          <cell r="X255" t="str">
            <v xml:space="preserve">المقر الرئيسي </v>
          </cell>
          <cell r="Y255">
            <v>44691</v>
          </cell>
          <cell r="Z255">
            <v>4.0999999999999996</v>
          </cell>
          <cell r="AA255">
            <v>1499</v>
          </cell>
          <cell r="AB255" t="str">
            <v>نشط</v>
          </cell>
          <cell r="AC255" t="str">
            <v>100135</v>
          </cell>
          <cell r="AD255" t="str">
            <v>Abdulrahman Alzahrani</v>
          </cell>
          <cell r="AE255" t="str">
            <v>إعارة</v>
          </cell>
          <cell r="AF255" t="str">
            <v/>
          </cell>
          <cell r="AG255" t="str">
            <v/>
          </cell>
          <cell r="AH255" t="str">
            <v>نبات</v>
          </cell>
          <cell r="AI255" t="str">
            <v>دبلوم</v>
          </cell>
          <cell r="AJ255">
            <v>7</v>
          </cell>
          <cell r="AK255">
            <v>4</v>
          </cell>
          <cell r="AL255">
            <v>1</v>
          </cell>
          <cell r="AM255">
            <v>2</v>
          </cell>
          <cell r="AN255" t="str">
            <v/>
          </cell>
          <cell r="AO255" t="str">
            <v>الاذونات وخدمات المحاجر</v>
          </cell>
          <cell r="AP255" t="str">
            <v>Riyad Bank</v>
          </cell>
          <cell r="AQ255" t="str">
            <v>SA0320000002070895239906</v>
          </cell>
          <cell r="AR255">
            <v>13820</v>
          </cell>
          <cell r="AS255" t="str">
            <v/>
          </cell>
          <cell r="AT255">
            <v>100</v>
          </cell>
          <cell r="AU255">
            <v>3455</v>
          </cell>
          <cell r="AV255" t="str">
            <v/>
          </cell>
        </row>
        <row r="256">
          <cell r="A256">
            <v>400075</v>
          </cell>
          <cell r="B256" t="str">
            <v>1058709484</v>
          </cell>
          <cell r="C256" t="str">
            <v>السيد</v>
          </cell>
          <cell r="D256" t="str">
            <v>Jaafar Ali Ali Boowaynah</v>
          </cell>
          <cell r="E256" t="str">
            <v>جعفر علي علي بوعوينه</v>
          </cell>
          <cell r="F256" t="str">
            <v>Male</v>
          </cell>
          <cell r="G256" t="str">
            <v>متزوج</v>
          </cell>
          <cell r="H256">
            <v>32356</v>
          </cell>
          <cell r="I256">
            <v>38</v>
          </cell>
          <cell r="J256">
            <v>13834</v>
          </cell>
          <cell r="K256" t="str">
            <v>Jaafar.Bouaweeneh@agriserv.sa</v>
          </cell>
          <cell r="L256" t="str">
            <v>0559573329</v>
          </cell>
          <cell r="M256" t="str">
            <v/>
          </cell>
          <cell r="N256" t="str">
            <v>المملكة العربية السعودية</v>
          </cell>
          <cell r="O256" t="str">
            <v>50000050</v>
          </cell>
          <cell r="P256" t="str">
            <v>طبيب بيطري مساعد</v>
          </cell>
          <cell r="Q256" t="str">
            <v>2B الدرجة</v>
          </cell>
          <cell r="R256" t="str">
            <v>Class A</v>
          </cell>
          <cell r="S256" t="str">
            <v>مطار الملك خالد الدولي</v>
          </cell>
          <cell r="T256" t="str">
            <v>خدمات المحجر</v>
          </cell>
          <cell r="U256" t="str">
            <v>الاذونات وخدمات المحاجر</v>
          </cell>
          <cell r="V256" t="str">
            <v>العمليات</v>
          </cell>
          <cell r="W256" t="str">
            <v>Al Riyadh</v>
          </cell>
          <cell r="X256" t="str">
            <v xml:space="preserve">الفرع </v>
          </cell>
          <cell r="Y256">
            <v>44691</v>
          </cell>
          <cell r="Z256">
            <v>4.0999999999999996</v>
          </cell>
          <cell r="AA256">
            <v>1499</v>
          </cell>
          <cell r="AB256" t="str">
            <v>نشط</v>
          </cell>
          <cell r="AC256" t="str">
            <v>400069</v>
          </cell>
          <cell r="AD256" t="str">
            <v>Hammad Almarzouqi</v>
          </cell>
          <cell r="AE256" t="str">
            <v>إعارة</v>
          </cell>
          <cell r="AF256" t="str">
            <v/>
          </cell>
          <cell r="AG256" t="str">
            <v/>
          </cell>
          <cell r="AH256" t="str">
            <v>انتاج حيواني</v>
          </cell>
          <cell r="AI256" t="str">
            <v>دبلوم</v>
          </cell>
          <cell r="AJ256">
            <v>6</v>
          </cell>
          <cell r="AK256">
            <v>3</v>
          </cell>
          <cell r="AL256">
            <v>1</v>
          </cell>
          <cell r="AM256">
            <v>2</v>
          </cell>
          <cell r="AN256" t="str">
            <v/>
          </cell>
          <cell r="AO256" t="str">
            <v>الاذونات وخدمات المحاجر</v>
          </cell>
          <cell r="AP256" t="str">
            <v>Bank Al Bilad</v>
          </cell>
          <cell r="AQ256" t="str">
            <v>SA2115000424102665190002</v>
          </cell>
          <cell r="AR256">
            <v>10915</v>
          </cell>
          <cell r="AS256" t="str">
            <v/>
          </cell>
          <cell r="AT256">
            <v>100</v>
          </cell>
          <cell r="AU256">
            <v>2728.75</v>
          </cell>
          <cell r="AV256" t="str">
            <v/>
          </cell>
        </row>
        <row r="257">
          <cell r="A257">
            <v>400076</v>
          </cell>
          <cell r="B257" t="str">
            <v>1014013880</v>
          </cell>
          <cell r="C257" t="str">
            <v>السيد</v>
          </cell>
          <cell r="D257" t="str">
            <v>Mohamed AlFiqi</v>
          </cell>
          <cell r="E257" t="str">
            <v>محمد سعد  الفقي</v>
          </cell>
          <cell r="F257" t="str">
            <v>Male</v>
          </cell>
          <cell r="G257" t="str">
            <v>أعزب</v>
          </cell>
          <cell r="H257">
            <v>23671</v>
          </cell>
          <cell r="I257">
            <v>62</v>
          </cell>
          <cell r="J257">
            <v>22519</v>
          </cell>
          <cell r="K257" t="str">
            <v>E2223@agriserv.com.sa</v>
          </cell>
          <cell r="L257" t="str">
            <v/>
          </cell>
          <cell r="M257" t="str">
            <v/>
          </cell>
          <cell r="N257" t="str">
            <v>المملكة العربية السعودية</v>
          </cell>
          <cell r="O257" t="str">
            <v>50000062</v>
          </cell>
          <cell r="P257" t="str">
            <v>طبيب بيطري مساعد</v>
          </cell>
          <cell r="Q257" t="str">
            <v>2B الدرجة</v>
          </cell>
          <cell r="R257" t="str">
            <v/>
          </cell>
          <cell r="S257" t="str">
            <v>الشهادات والمستندات الرسمية للثروة الحيوانية</v>
          </cell>
          <cell r="T257" t="str">
            <v>الرقابة والتفتيش</v>
          </cell>
          <cell r="U257" t="str">
            <v/>
          </cell>
          <cell r="V257" t="str">
            <v>التراخيص</v>
          </cell>
          <cell r="W257" t="str">
            <v>Al Riyadh</v>
          </cell>
          <cell r="X257" t="str">
            <v xml:space="preserve">الفرع </v>
          </cell>
          <cell r="Y257">
            <v>44691</v>
          </cell>
          <cell r="Z257">
            <v>4.0999999999999996</v>
          </cell>
          <cell r="AA257">
            <v>1499</v>
          </cell>
          <cell r="AB257" t="str">
            <v>غير نشط</v>
          </cell>
          <cell r="AC257" t="str">
            <v>400028</v>
          </cell>
          <cell r="AD257" t="str">
            <v>Ibrahim Alnuwaiser</v>
          </cell>
          <cell r="AE257" t="str">
            <v>إعارة</v>
          </cell>
          <cell r="AF257">
            <v>44926</v>
          </cell>
          <cell r="AG257" t="str">
            <v/>
          </cell>
          <cell r="AH257" t="str">
            <v/>
          </cell>
          <cell r="AI257" t="str">
            <v/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 t="str">
            <v/>
          </cell>
          <cell r="AO257" t="str">
            <v>Enforcement</v>
          </cell>
          <cell r="AP257" t="str">
            <v>Al Rajhi Bank</v>
          </cell>
          <cell r="AQ257" t="str">
            <v>SA1280000215608010094333</v>
          </cell>
          <cell r="AR257">
            <v>15855</v>
          </cell>
          <cell r="AS257" t="str">
            <v/>
          </cell>
          <cell r="AT257">
            <v>100</v>
          </cell>
          <cell r="AU257">
            <v>3963.75</v>
          </cell>
          <cell r="AV257" t="str">
            <v/>
          </cell>
        </row>
        <row r="258">
          <cell r="A258">
            <v>400077</v>
          </cell>
          <cell r="B258" t="str">
            <v>1097846289</v>
          </cell>
          <cell r="C258" t="str">
            <v>السيد</v>
          </cell>
          <cell r="D258" t="str">
            <v>Zuhair Mohammed Ali Alattiyah</v>
          </cell>
          <cell r="E258" t="str">
            <v>زهير محمد علي العطيه</v>
          </cell>
          <cell r="F258" t="str">
            <v>Male</v>
          </cell>
          <cell r="G258" t="str">
            <v>متزوج</v>
          </cell>
          <cell r="H258">
            <v>35294</v>
          </cell>
          <cell r="I258">
            <v>30</v>
          </cell>
          <cell r="J258">
            <v>10896</v>
          </cell>
          <cell r="K258" t="str">
            <v>Zuhair.Alattiyah@agriserv.sa</v>
          </cell>
          <cell r="L258" t="str">
            <v>0562587444</v>
          </cell>
          <cell r="M258" t="str">
            <v/>
          </cell>
          <cell r="N258" t="str">
            <v>المملكة العربية السعودية</v>
          </cell>
          <cell r="O258" t="str">
            <v>50000449</v>
          </cell>
          <cell r="P258" t="str">
            <v>طبيب بيطري مساعد</v>
          </cell>
          <cell r="Q258" t="str">
            <v>2B الدرجة</v>
          </cell>
          <cell r="R258" t="str">
            <v>Class A</v>
          </cell>
          <cell r="S258" t="str">
            <v>محجر الخيل</v>
          </cell>
          <cell r="T258" t="str">
            <v>خدمات المحجر</v>
          </cell>
          <cell r="U258" t="str">
            <v>الاذونات وخدمات المحاجر</v>
          </cell>
          <cell r="V258" t="str">
            <v>العمليات</v>
          </cell>
          <cell r="W258" t="str">
            <v>Al Riyadh</v>
          </cell>
          <cell r="X258" t="str">
            <v xml:space="preserve">الفرع </v>
          </cell>
          <cell r="Y258">
            <v>44691</v>
          </cell>
          <cell r="Z258">
            <v>4.0999999999999996</v>
          </cell>
          <cell r="AA258">
            <v>1499</v>
          </cell>
          <cell r="AB258" t="str">
            <v>نشط</v>
          </cell>
          <cell r="AC258" t="str">
            <v>100051</v>
          </cell>
          <cell r="AD258" t="str">
            <v>Mohammed Alrajban</v>
          </cell>
          <cell r="AE258" t="str">
            <v>إعارة</v>
          </cell>
          <cell r="AF258" t="str">
            <v/>
          </cell>
          <cell r="AG258" t="str">
            <v/>
          </cell>
          <cell r="AH258" t="str">
            <v>انتاج حيواني</v>
          </cell>
          <cell r="AI258" t="str">
            <v>دبلوم</v>
          </cell>
          <cell r="AJ258">
            <v>4</v>
          </cell>
          <cell r="AK258">
            <v>1</v>
          </cell>
          <cell r="AL258">
            <v>1</v>
          </cell>
          <cell r="AM258">
            <v>2</v>
          </cell>
          <cell r="AN258" t="str">
            <v/>
          </cell>
          <cell r="AO258" t="str">
            <v>الاذونات وخدمات المحاجر</v>
          </cell>
          <cell r="AP258" t="str">
            <v>Al Rajhi Bank</v>
          </cell>
          <cell r="AQ258" t="str">
            <v>SA4780000603608010030071</v>
          </cell>
          <cell r="AR258">
            <v>7285</v>
          </cell>
          <cell r="AS258" t="str">
            <v/>
          </cell>
          <cell r="AT258">
            <v>28.5</v>
          </cell>
          <cell r="AU258">
            <v>1821.25</v>
          </cell>
          <cell r="AV258" t="str">
            <v/>
          </cell>
        </row>
        <row r="259">
          <cell r="A259">
            <v>400078</v>
          </cell>
          <cell r="B259" t="str">
            <v>1023324203</v>
          </cell>
          <cell r="C259" t="str">
            <v>السيد</v>
          </cell>
          <cell r="D259" t="str">
            <v>Khlad Saleh Ibrahim Alolayan</v>
          </cell>
          <cell r="E259" t="str">
            <v>خالد صالح ابراهيم العليان</v>
          </cell>
          <cell r="F259" t="str">
            <v>Male</v>
          </cell>
          <cell r="G259" t="str">
            <v>أعزب</v>
          </cell>
          <cell r="H259">
            <v>25459</v>
          </cell>
          <cell r="I259">
            <v>57</v>
          </cell>
          <cell r="J259">
            <v>20731</v>
          </cell>
          <cell r="K259" t="str">
            <v>E5759@agriserv.com.sa</v>
          </cell>
          <cell r="L259" t="str">
            <v>0555227770</v>
          </cell>
          <cell r="M259" t="str">
            <v/>
          </cell>
          <cell r="N259" t="str">
            <v>المملكة العربية السعودية</v>
          </cell>
          <cell r="O259" t="str">
            <v>50000454</v>
          </cell>
          <cell r="P259" t="str">
            <v>طبيب بيطري مساعد</v>
          </cell>
          <cell r="Q259" t="str">
            <v>2B الدرجة</v>
          </cell>
          <cell r="R259" t="str">
            <v/>
          </cell>
          <cell r="S259" t="str">
            <v>الشهادات والمستندات الرسمية للثروة الحيوانية</v>
          </cell>
          <cell r="T259" t="str">
            <v>الخدمات الصحية و الإرشاد ودعم التسويق للثروة الحيوانية</v>
          </cell>
          <cell r="U259" t="str">
            <v/>
          </cell>
          <cell r="V259" t="str">
            <v>العمليات</v>
          </cell>
          <cell r="W259" t="str">
            <v>Al Riyadh</v>
          </cell>
          <cell r="X259" t="str">
            <v xml:space="preserve">الفرع </v>
          </cell>
          <cell r="Y259">
            <v>44691</v>
          </cell>
          <cell r="Z259">
            <v>4.0999999999999996</v>
          </cell>
          <cell r="AA259">
            <v>1499</v>
          </cell>
          <cell r="AB259" t="str">
            <v>غير نشط</v>
          </cell>
          <cell r="AC259" t="str">
            <v>400036</v>
          </cell>
          <cell r="AD259" t="str">
            <v>Faisal Alsalem</v>
          </cell>
          <cell r="AE259" t="str">
            <v>إعارة</v>
          </cell>
          <cell r="AF259">
            <v>45230</v>
          </cell>
          <cell r="AG259" t="str">
            <v/>
          </cell>
          <cell r="AH259" t="str">
            <v/>
          </cell>
          <cell r="AI259" t="str">
            <v/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 t="str">
            <v/>
          </cell>
          <cell r="AO259" t="str">
            <v>Livestock Extension &amp; Protection</v>
          </cell>
          <cell r="AP259" t="str">
            <v>Saudi Investment Bank</v>
          </cell>
          <cell r="AQ259" t="str">
            <v>SA2865000000116170844001</v>
          </cell>
          <cell r="AR259">
            <v>16905</v>
          </cell>
          <cell r="AS259" t="str">
            <v/>
          </cell>
          <cell r="AT259">
            <v>100</v>
          </cell>
          <cell r="AU259">
            <v>4226.25</v>
          </cell>
          <cell r="AV259" t="str">
            <v/>
          </cell>
        </row>
        <row r="260">
          <cell r="A260">
            <v>400079</v>
          </cell>
          <cell r="B260" t="str">
            <v>1053663991</v>
          </cell>
          <cell r="C260" t="str">
            <v>السيد</v>
          </cell>
          <cell r="D260" t="str">
            <v>Abdulmohsen Mohammed Ali Alsalman</v>
          </cell>
          <cell r="E260" t="str">
            <v>عبدالمحسن محمد علي السلمان</v>
          </cell>
          <cell r="F260" t="str">
            <v>Male</v>
          </cell>
          <cell r="G260" t="str">
            <v>أعزب</v>
          </cell>
          <cell r="H260">
            <v>32326</v>
          </cell>
          <cell r="I260">
            <v>38</v>
          </cell>
          <cell r="J260">
            <v>13864</v>
          </cell>
          <cell r="K260" t="str">
            <v>E22353@agriserv.com.sa</v>
          </cell>
          <cell r="L260" t="str">
            <v>0542660777</v>
          </cell>
          <cell r="M260" t="str">
            <v/>
          </cell>
          <cell r="N260" t="str">
            <v>المملكة العربية السعودية</v>
          </cell>
          <cell r="O260" t="str">
            <v>50000458</v>
          </cell>
          <cell r="P260" t="str">
            <v>طبيب بيطري مساعد</v>
          </cell>
          <cell r="Q260" t="str">
            <v>2B الدرجة</v>
          </cell>
          <cell r="R260" t="str">
            <v/>
          </cell>
          <cell r="S260" t="str">
            <v/>
          </cell>
          <cell r="T260" t="str">
            <v>محافظة محافة الدرعية</v>
          </cell>
          <cell r="U260" t="str">
            <v>عمليات الفروع</v>
          </cell>
          <cell r="V260" t="str">
            <v>الفروع</v>
          </cell>
          <cell r="W260" t="str">
            <v>Al Riyadh</v>
          </cell>
          <cell r="X260" t="str">
            <v xml:space="preserve">الفرع </v>
          </cell>
          <cell r="Y260">
            <v>44691</v>
          </cell>
          <cell r="Z260">
            <v>4.0999999999999996</v>
          </cell>
          <cell r="AA260">
            <v>1499</v>
          </cell>
          <cell r="AB260" t="str">
            <v>غير نشط</v>
          </cell>
          <cell r="AC260" t="str">
            <v>400220</v>
          </cell>
          <cell r="AD260" t="str">
            <v>Nahedh Alhaydan</v>
          </cell>
          <cell r="AE260" t="str">
            <v>إعارة</v>
          </cell>
          <cell r="AF260">
            <v>45412</v>
          </cell>
          <cell r="AG260" t="str">
            <v/>
          </cell>
          <cell r="AH260" t="str">
            <v/>
          </cell>
          <cell r="AI260" t="str">
            <v/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 t="str">
            <v/>
          </cell>
          <cell r="AO260" t="str">
            <v>Livestock Extension &amp; Protection</v>
          </cell>
          <cell r="AP260" t="str">
            <v>Riyad Bank</v>
          </cell>
          <cell r="AQ260" t="str">
            <v>SA2820000002180512569940</v>
          </cell>
          <cell r="AR260">
            <v>9930</v>
          </cell>
          <cell r="AS260" t="str">
            <v/>
          </cell>
          <cell r="AT260">
            <v>100</v>
          </cell>
          <cell r="AU260">
            <v>2482.5</v>
          </cell>
          <cell r="AV260" t="str">
            <v/>
          </cell>
        </row>
        <row r="261">
          <cell r="A261">
            <v>400080</v>
          </cell>
          <cell r="B261" t="str">
            <v>1054710734</v>
          </cell>
          <cell r="C261" t="str">
            <v>السيد</v>
          </cell>
          <cell r="D261" t="str">
            <v>Ahmad Ali Mohammed Alattyah</v>
          </cell>
          <cell r="E261" t="str">
            <v>أحمد علي محمد العطيه</v>
          </cell>
          <cell r="F261" t="str">
            <v>Male</v>
          </cell>
          <cell r="G261" t="str">
            <v>متزوج</v>
          </cell>
          <cell r="H261">
            <v>32372</v>
          </cell>
          <cell r="I261">
            <v>38</v>
          </cell>
          <cell r="J261">
            <v>13818</v>
          </cell>
          <cell r="K261" t="str">
            <v>ahmed.alattiyah@agriserv.sa</v>
          </cell>
          <cell r="L261" t="str">
            <v>0509012854</v>
          </cell>
          <cell r="M261" t="str">
            <v/>
          </cell>
          <cell r="N261" t="str">
            <v>المملكة العربية السعودية</v>
          </cell>
          <cell r="O261" t="str">
            <v>50000467</v>
          </cell>
          <cell r="P261" t="str">
            <v>طبيب بيطري مساعد</v>
          </cell>
          <cell r="Q261" t="str">
            <v>2B الدرجة</v>
          </cell>
          <cell r="R261" t="str">
            <v>Class A</v>
          </cell>
          <cell r="S261" t="str">
            <v/>
          </cell>
          <cell r="T261" t="str">
            <v>عيادة بشمال الرياض</v>
          </cell>
          <cell r="U261" t="str">
            <v>عمليات الفروع</v>
          </cell>
          <cell r="V261" t="str">
            <v>الفروع</v>
          </cell>
          <cell r="W261" t="str">
            <v>Al Riyadh</v>
          </cell>
          <cell r="X261" t="str">
            <v xml:space="preserve">الفرع </v>
          </cell>
          <cell r="Y261">
            <v>44691</v>
          </cell>
          <cell r="Z261">
            <v>4.0999999999999996</v>
          </cell>
          <cell r="AA261">
            <v>1499</v>
          </cell>
          <cell r="AB261" t="str">
            <v>نشط</v>
          </cell>
          <cell r="AC261" t="str">
            <v>400220</v>
          </cell>
          <cell r="AD261" t="str">
            <v>Nahedh Alhaydan</v>
          </cell>
          <cell r="AE261" t="str">
            <v>إعارة</v>
          </cell>
          <cell r="AF261" t="str">
            <v/>
          </cell>
          <cell r="AG261" t="str">
            <v/>
          </cell>
          <cell r="AH261" t="str">
            <v>طب بيطري</v>
          </cell>
          <cell r="AI261" t="str">
            <v>دبلوم</v>
          </cell>
          <cell r="AJ261">
            <v>6</v>
          </cell>
          <cell r="AK261">
            <v>3</v>
          </cell>
          <cell r="AL261">
            <v>1</v>
          </cell>
          <cell r="AM261">
            <v>2</v>
          </cell>
          <cell r="AN261" t="str">
            <v/>
          </cell>
          <cell r="AO261" t="str">
            <v>عمليات الفروع</v>
          </cell>
          <cell r="AP261" t="str">
            <v>Riyad Bank</v>
          </cell>
          <cell r="AQ261" t="str">
            <v>SA5320000003241271089940</v>
          </cell>
          <cell r="AR261">
            <v>9565</v>
          </cell>
          <cell r="AS261" t="str">
            <v/>
          </cell>
          <cell r="AT261">
            <v>100</v>
          </cell>
          <cell r="AU261">
            <v>2391.25</v>
          </cell>
          <cell r="AV261" t="str">
            <v/>
          </cell>
        </row>
        <row r="262">
          <cell r="A262">
            <v>400081</v>
          </cell>
          <cell r="B262" t="str">
            <v>1073961714</v>
          </cell>
          <cell r="C262" t="str">
            <v>السيد</v>
          </cell>
          <cell r="D262" t="str">
            <v>Monteder Rade Ibrahim Alhabarte</v>
          </cell>
          <cell r="E262" t="str">
            <v>منتظر راضي ابراهيم الحبرتي</v>
          </cell>
          <cell r="F262" t="str">
            <v>Male</v>
          </cell>
          <cell r="G262" t="str">
            <v>متزوج</v>
          </cell>
          <cell r="H262">
            <v>33908</v>
          </cell>
          <cell r="I262">
            <v>34</v>
          </cell>
          <cell r="J262">
            <v>12282</v>
          </cell>
          <cell r="K262" t="str">
            <v>Montazer.alhabarti@agriserv.sa</v>
          </cell>
          <cell r="L262" t="str">
            <v>0542972821</v>
          </cell>
          <cell r="M262" t="str">
            <v/>
          </cell>
          <cell r="N262" t="str">
            <v>المملكة العربية السعودية</v>
          </cell>
          <cell r="O262" t="str">
            <v>50000471</v>
          </cell>
          <cell r="P262" t="str">
            <v>طبيب بيطري مساعد</v>
          </cell>
          <cell r="Q262" t="str">
            <v>2B الدرجة</v>
          </cell>
          <cell r="R262" t="str">
            <v>Class A</v>
          </cell>
          <cell r="S262" t="str">
            <v>الشهادات والمستندات الرسمية للثروة الحيوانية</v>
          </cell>
          <cell r="T262" t="str">
            <v>عمليات الفروع-المقر الرئيسي</v>
          </cell>
          <cell r="U262" t="str">
            <v>عمليات الفروع</v>
          </cell>
          <cell r="V262" t="str">
            <v>الفروع</v>
          </cell>
          <cell r="W262" t="str">
            <v>Al Riyadh</v>
          </cell>
          <cell r="X262" t="str">
            <v xml:space="preserve">المقر الرئيسي </v>
          </cell>
          <cell r="Y262">
            <v>44691</v>
          </cell>
          <cell r="Z262">
            <v>4.0999999999999996</v>
          </cell>
          <cell r="AA262">
            <v>1499</v>
          </cell>
          <cell r="AB262" t="str">
            <v>نشط</v>
          </cell>
          <cell r="AC262" t="str">
            <v>400186</v>
          </cell>
          <cell r="AD262" t="str">
            <v>Ali Albahrani</v>
          </cell>
          <cell r="AE262" t="str">
            <v>إعارة</v>
          </cell>
          <cell r="AF262" t="str">
            <v/>
          </cell>
          <cell r="AG262" t="str">
            <v/>
          </cell>
          <cell r="AH262" t="str">
            <v>طب بيطري</v>
          </cell>
          <cell r="AI262" t="str">
            <v>دبلوم</v>
          </cell>
          <cell r="AJ262">
            <v>5</v>
          </cell>
          <cell r="AK262">
            <v>2</v>
          </cell>
          <cell r="AL262">
            <v>1</v>
          </cell>
          <cell r="AM262">
            <v>2</v>
          </cell>
          <cell r="AN262" t="str">
            <v/>
          </cell>
          <cell r="AO262" t="str">
            <v>عمليات الفروع</v>
          </cell>
          <cell r="AP262" t="str">
            <v>Al Rajhi Bank</v>
          </cell>
          <cell r="AQ262" t="str">
            <v>SA5280000664608010014030</v>
          </cell>
          <cell r="AR262">
            <v>7285</v>
          </cell>
          <cell r="AS262" t="str">
            <v/>
          </cell>
          <cell r="AT262">
            <v>28.5</v>
          </cell>
          <cell r="AU262">
            <v>1821.25</v>
          </cell>
          <cell r="AV262" t="str">
            <v/>
          </cell>
        </row>
        <row r="263">
          <cell r="A263">
            <v>400082</v>
          </cell>
          <cell r="B263" t="str">
            <v>1004743413</v>
          </cell>
          <cell r="C263" t="str">
            <v>السيد</v>
          </cell>
          <cell r="D263" t="str">
            <v>Mohsen AlFahidi</v>
          </cell>
          <cell r="E263" t="str">
            <v>محسن علي  الفهيدي</v>
          </cell>
          <cell r="F263" t="str">
            <v>Male</v>
          </cell>
          <cell r="G263" t="str">
            <v>أعزب</v>
          </cell>
          <cell r="H263">
            <v>30736</v>
          </cell>
          <cell r="I263">
            <v>42</v>
          </cell>
          <cell r="J263">
            <v>15454</v>
          </cell>
          <cell r="K263" t="str">
            <v>MALFHAIDI@agriserv.com.sa</v>
          </cell>
          <cell r="L263" t="str">
            <v>0530004042</v>
          </cell>
          <cell r="M263" t="str">
            <v/>
          </cell>
          <cell r="N263" t="str">
            <v>المملكة العربية السعودية</v>
          </cell>
          <cell r="O263" t="str">
            <v>50000538</v>
          </cell>
          <cell r="P263" t="str">
            <v>طبيب بيطري مساعد</v>
          </cell>
          <cell r="Q263" t="str">
            <v>2B الدرجة</v>
          </cell>
          <cell r="R263" t="str">
            <v/>
          </cell>
          <cell r="S263" t="str">
            <v>الشهادات والمستندات الرسمية للثروة الحيوانية</v>
          </cell>
          <cell r="T263" t="str">
            <v>الخدمات الصحية و الإرشاد ودعم التسويق للثروة الحيوانية</v>
          </cell>
          <cell r="U263" t="str">
            <v/>
          </cell>
          <cell r="V263" t="str">
            <v>العمليات</v>
          </cell>
          <cell r="W263" t="str">
            <v>Al Riyadh</v>
          </cell>
          <cell r="X263" t="str">
            <v xml:space="preserve">الفرع </v>
          </cell>
          <cell r="Y263">
            <v>44691</v>
          </cell>
          <cell r="Z263">
            <v>4.0999999999999996</v>
          </cell>
          <cell r="AA263">
            <v>1499</v>
          </cell>
          <cell r="AB263" t="str">
            <v>غير نشط</v>
          </cell>
          <cell r="AC263" t="str">
            <v>400034</v>
          </cell>
          <cell r="AD263" t="str">
            <v>Hamad Alfuhaid</v>
          </cell>
          <cell r="AE263" t="str">
            <v>إعارة</v>
          </cell>
          <cell r="AF263">
            <v>45016</v>
          </cell>
          <cell r="AG263" t="str">
            <v/>
          </cell>
          <cell r="AH263" t="str">
            <v/>
          </cell>
          <cell r="AI263" t="str">
            <v/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 t="str">
            <v/>
          </cell>
          <cell r="AO263" t="str">
            <v>Livestock Extension &amp; Protection</v>
          </cell>
          <cell r="AP263" t="str">
            <v>Bank Al Bilad</v>
          </cell>
          <cell r="AQ263" t="str">
            <v>SA0815000421101829040007</v>
          </cell>
          <cell r="AR263">
            <v>4895</v>
          </cell>
          <cell r="AS263" t="str">
            <v/>
          </cell>
          <cell r="AT263">
            <v>-10.5</v>
          </cell>
          <cell r="AU263">
            <v>1223.75</v>
          </cell>
          <cell r="AV263" t="str">
            <v/>
          </cell>
        </row>
        <row r="264">
          <cell r="A264">
            <v>400083</v>
          </cell>
          <cell r="B264" t="str">
            <v>1024541789</v>
          </cell>
          <cell r="C264" t="str">
            <v>السيد</v>
          </cell>
          <cell r="D264" t="str">
            <v>Naif Salman Salim Alsharary</v>
          </cell>
          <cell r="E264" t="str">
            <v>نايف سلمان سليم الشراري</v>
          </cell>
          <cell r="F264" t="str">
            <v>Male</v>
          </cell>
          <cell r="G264" t="str">
            <v>متزوج</v>
          </cell>
          <cell r="H264">
            <v>29312</v>
          </cell>
          <cell r="I264">
            <v>46</v>
          </cell>
          <cell r="J264">
            <v>16878</v>
          </cell>
          <cell r="K264" t="str">
            <v>Nayef.AlSharari@agriserv.sa</v>
          </cell>
          <cell r="L264" t="str">
            <v>0536666341</v>
          </cell>
          <cell r="M264" t="str">
            <v/>
          </cell>
          <cell r="N264" t="str">
            <v>المملكة العربية السعودية</v>
          </cell>
          <cell r="O264" t="str">
            <v>50000923</v>
          </cell>
          <cell r="P264" t="str">
            <v>طبيب بيطري مساعد</v>
          </cell>
          <cell r="Q264" t="str">
            <v>2B الدرجة</v>
          </cell>
          <cell r="R264" t="str">
            <v>Class A</v>
          </cell>
          <cell r="S264" t="str">
            <v>محجر الخيل</v>
          </cell>
          <cell r="T264" t="str">
            <v>خدمات المحجر</v>
          </cell>
          <cell r="U264" t="str">
            <v>الاذونات وخدمات المحاجر</v>
          </cell>
          <cell r="V264" t="str">
            <v>العمليات</v>
          </cell>
          <cell r="W264" t="str">
            <v>Al Riyadh</v>
          </cell>
          <cell r="X264" t="str">
            <v xml:space="preserve">الفرع </v>
          </cell>
          <cell r="Y264">
            <v>44691</v>
          </cell>
          <cell r="Z264">
            <v>4.0999999999999996</v>
          </cell>
          <cell r="AA264">
            <v>1499</v>
          </cell>
          <cell r="AB264" t="str">
            <v>نشط</v>
          </cell>
          <cell r="AC264" t="str">
            <v>100051</v>
          </cell>
          <cell r="AD264" t="str">
            <v>Mohammed Alrajban</v>
          </cell>
          <cell r="AE264" t="str">
            <v>إعارة</v>
          </cell>
          <cell r="AF264" t="str">
            <v/>
          </cell>
          <cell r="AG264" t="str">
            <v/>
          </cell>
          <cell r="AH264" t="str">
            <v>طب بيطري</v>
          </cell>
          <cell r="AI264" t="str">
            <v>دبلوم</v>
          </cell>
          <cell r="AJ264">
            <v>8</v>
          </cell>
          <cell r="AK264">
            <v>5</v>
          </cell>
          <cell r="AL264">
            <v>1</v>
          </cell>
          <cell r="AM264">
            <v>2</v>
          </cell>
          <cell r="AN264" t="str">
            <v/>
          </cell>
          <cell r="AO264" t="str">
            <v>الاذونات وخدمات المحاجر</v>
          </cell>
          <cell r="AP264" t="str">
            <v>Banque Saudi Fransi</v>
          </cell>
          <cell r="AQ264" t="str">
            <v>SA82550000000K9449900137</v>
          </cell>
          <cell r="AR264">
            <v>14445</v>
          </cell>
          <cell r="AS264" t="str">
            <v/>
          </cell>
          <cell r="AT264">
            <v>100</v>
          </cell>
          <cell r="AU264">
            <v>3611.25</v>
          </cell>
          <cell r="AV264" t="str">
            <v/>
          </cell>
        </row>
        <row r="265">
          <cell r="A265">
            <v>400084</v>
          </cell>
          <cell r="B265" t="str">
            <v>1033411123</v>
          </cell>
          <cell r="C265" t="str">
            <v>السيد</v>
          </cell>
          <cell r="D265" t="str">
            <v>Abdulaziz AlSuleiman</v>
          </cell>
          <cell r="E265" t="str">
            <v>عبد العزيز عبدالله رشيد السليمان</v>
          </cell>
          <cell r="F265" t="str">
            <v>Male</v>
          </cell>
          <cell r="G265" t="str">
            <v>أعزب</v>
          </cell>
          <cell r="H265">
            <v>24750</v>
          </cell>
          <cell r="I265">
            <v>59</v>
          </cell>
          <cell r="J265">
            <v>21440</v>
          </cell>
          <cell r="K265" t="str">
            <v>ABAALSLIMAN@agriserv.com.sa</v>
          </cell>
          <cell r="L265" t="str">
            <v>0554887703</v>
          </cell>
          <cell r="M265" t="str">
            <v/>
          </cell>
          <cell r="N265" t="str">
            <v>المملكة العربية السعودية</v>
          </cell>
          <cell r="O265" t="str">
            <v>50000924</v>
          </cell>
          <cell r="P265" t="str">
            <v>طبيب بيطري مساعد</v>
          </cell>
          <cell r="Q265" t="str">
            <v>2B الدرجة</v>
          </cell>
          <cell r="R265" t="str">
            <v/>
          </cell>
          <cell r="S265" t="str">
            <v>الشهادات والمستندات الرسمية للثروة الحيوانية</v>
          </cell>
          <cell r="T265" t="str">
            <v>الخدمات الصحية و الإرشاد ودعم التسويق للثروة الحيوانية</v>
          </cell>
          <cell r="U265" t="str">
            <v/>
          </cell>
          <cell r="V265" t="str">
            <v>العمليات</v>
          </cell>
          <cell r="W265" t="str">
            <v>Al Riyadh</v>
          </cell>
          <cell r="X265" t="str">
            <v xml:space="preserve">الفرع </v>
          </cell>
          <cell r="Y265">
            <v>44691</v>
          </cell>
          <cell r="Z265">
            <v>4.0999999999999996</v>
          </cell>
          <cell r="AA265">
            <v>1499</v>
          </cell>
          <cell r="AB265" t="str">
            <v>غير نشط</v>
          </cell>
          <cell r="AC265" t="str">
            <v>400034</v>
          </cell>
          <cell r="AD265" t="str">
            <v>Hamad Alfuhaid</v>
          </cell>
          <cell r="AE265" t="str">
            <v>إعارة</v>
          </cell>
          <cell r="AF265">
            <v>45055</v>
          </cell>
          <cell r="AG265" t="str">
            <v/>
          </cell>
          <cell r="AH265" t="str">
            <v/>
          </cell>
          <cell r="AI265" t="str">
            <v/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 t="str">
            <v/>
          </cell>
          <cell r="AO265" t="str">
            <v>Livestock Extension &amp; Protection</v>
          </cell>
          <cell r="AP265" t="str">
            <v>Al Rajhi Bank</v>
          </cell>
          <cell r="AQ265" t="str">
            <v>SA3480000449608010046638</v>
          </cell>
          <cell r="AR265">
            <v>12575</v>
          </cell>
          <cell r="AS265" t="str">
            <v/>
          </cell>
          <cell r="AT265">
            <v>100</v>
          </cell>
          <cell r="AU265">
            <v>3143.75</v>
          </cell>
          <cell r="AV265" t="str">
            <v/>
          </cell>
        </row>
        <row r="266">
          <cell r="A266">
            <v>400085</v>
          </cell>
          <cell r="B266" t="str">
            <v>1034303550</v>
          </cell>
          <cell r="C266" t="str">
            <v>السيد</v>
          </cell>
          <cell r="D266" t="str">
            <v>Alwaleed Talal Khalaf Alotaibi</v>
          </cell>
          <cell r="E266" t="str">
            <v>الوليد طلال خلف العتيبي</v>
          </cell>
          <cell r="F266" t="str">
            <v>Male</v>
          </cell>
          <cell r="G266" t="str">
            <v>متزوج</v>
          </cell>
          <cell r="H266">
            <v>28476</v>
          </cell>
          <cell r="I266">
            <v>48</v>
          </cell>
          <cell r="J266">
            <v>17714</v>
          </cell>
          <cell r="K266" t="str">
            <v>alwaleed.alotaibi@agriserv.sa</v>
          </cell>
          <cell r="L266" t="str">
            <v>0500027221</v>
          </cell>
          <cell r="M266" t="str">
            <v/>
          </cell>
          <cell r="N266" t="str">
            <v>المملكة العربية السعودية</v>
          </cell>
          <cell r="O266" t="str">
            <v>50000925</v>
          </cell>
          <cell r="P266" t="str">
            <v>طبيب بيطري مساعد</v>
          </cell>
          <cell r="Q266" t="str">
            <v>2B الدرجة</v>
          </cell>
          <cell r="R266" t="str">
            <v>Class A</v>
          </cell>
          <cell r="S266" t="str">
            <v>محجر الخيل</v>
          </cell>
          <cell r="T266" t="str">
            <v>خدمات المحجر</v>
          </cell>
          <cell r="U266" t="str">
            <v>الاذونات وخدمات المحاجر</v>
          </cell>
          <cell r="V266" t="str">
            <v>العمليات</v>
          </cell>
          <cell r="W266" t="str">
            <v>Al Riyadh</v>
          </cell>
          <cell r="X266" t="str">
            <v xml:space="preserve">الفرع </v>
          </cell>
          <cell r="Y266">
            <v>44691</v>
          </cell>
          <cell r="Z266">
            <v>4.0999999999999996</v>
          </cell>
          <cell r="AA266">
            <v>1499</v>
          </cell>
          <cell r="AB266" t="str">
            <v>نشط</v>
          </cell>
          <cell r="AC266" t="str">
            <v>100051</v>
          </cell>
          <cell r="AD266" t="str">
            <v>Mohammed Alrajban</v>
          </cell>
          <cell r="AE266" t="str">
            <v>إعارة</v>
          </cell>
          <cell r="AF266" t="str">
            <v/>
          </cell>
          <cell r="AG266" t="str">
            <v/>
          </cell>
          <cell r="AH266" t="str">
            <v>طب بيطري</v>
          </cell>
          <cell r="AI266" t="str">
            <v>دبلوم</v>
          </cell>
          <cell r="AJ266">
            <v>4</v>
          </cell>
          <cell r="AK266">
            <v>1</v>
          </cell>
          <cell r="AL266">
            <v>1</v>
          </cell>
          <cell r="AM266">
            <v>2</v>
          </cell>
          <cell r="AN266" t="str">
            <v/>
          </cell>
          <cell r="AO266" t="str">
            <v>الاذونات وخدمات المحاجر</v>
          </cell>
          <cell r="AP266" t="str">
            <v>Arab National Bank</v>
          </cell>
          <cell r="AQ266" t="str">
            <v>SA8230400108061940080010</v>
          </cell>
          <cell r="AR266">
            <v>9565</v>
          </cell>
          <cell r="AS266" t="str">
            <v/>
          </cell>
          <cell r="AT266">
            <v>100</v>
          </cell>
          <cell r="AU266">
            <v>2391.25</v>
          </cell>
          <cell r="AV266" t="str">
            <v/>
          </cell>
        </row>
        <row r="267">
          <cell r="A267">
            <v>400086</v>
          </cell>
          <cell r="B267" t="str">
            <v>1086099916</v>
          </cell>
          <cell r="C267" t="str">
            <v>السيد</v>
          </cell>
          <cell r="D267" t="str">
            <v>Naif Helal Marzooq Almutairi</v>
          </cell>
          <cell r="E267" t="str">
            <v>نايف هلال مرزوق المطيري</v>
          </cell>
          <cell r="F267" t="str">
            <v>Male</v>
          </cell>
          <cell r="G267" t="str">
            <v>متزوج</v>
          </cell>
          <cell r="H267">
            <v>31785</v>
          </cell>
          <cell r="I267">
            <v>39</v>
          </cell>
          <cell r="J267">
            <v>14405</v>
          </cell>
          <cell r="K267" t="str">
            <v>Nayef.AlMutairi@agriserv.sa</v>
          </cell>
          <cell r="L267" t="str">
            <v>0530205025</v>
          </cell>
          <cell r="M267" t="str">
            <v/>
          </cell>
          <cell r="N267" t="str">
            <v>المملكة العربية السعودية</v>
          </cell>
          <cell r="O267" t="str">
            <v>50000926</v>
          </cell>
          <cell r="P267" t="str">
            <v>طبيب بيطري مساعد</v>
          </cell>
          <cell r="Q267" t="str">
            <v>2B الدرجة</v>
          </cell>
          <cell r="R267" t="str">
            <v>Class A</v>
          </cell>
          <cell r="S267" t="str">
            <v>محجر الخيل</v>
          </cell>
          <cell r="T267" t="str">
            <v>خدمات المحجر</v>
          </cell>
          <cell r="U267" t="str">
            <v>الاذونات وخدمات المحاجر</v>
          </cell>
          <cell r="V267" t="str">
            <v>العمليات</v>
          </cell>
          <cell r="W267" t="str">
            <v>Al Riyadh</v>
          </cell>
          <cell r="X267" t="str">
            <v xml:space="preserve">الفرع </v>
          </cell>
          <cell r="Y267">
            <v>44691</v>
          </cell>
          <cell r="Z267">
            <v>4.0999999999999996</v>
          </cell>
          <cell r="AA267">
            <v>1499</v>
          </cell>
          <cell r="AB267" t="str">
            <v>نشط</v>
          </cell>
          <cell r="AC267" t="str">
            <v>100051</v>
          </cell>
          <cell r="AD267" t="str">
            <v>Mohammed Alrajban</v>
          </cell>
          <cell r="AE267" t="str">
            <v>إعارة</v>
          </cell>
          <cell r="AF267" t="str">
            <v/>
          </cell>
          <cell r="AG267" t="str">
            <v/>
          </cell>
          <cell r="AH267" t="str">
            <v>طب بيطري</v>
          </cell>
          <cell r="AI267" t="str">
            <v>دبلوم</v>
          </cell>
          <cell r="AJ267">
            <v>6</v>
          </cell>
          <cell r="AK267">
            <v>4</v>
          </cell>
          <cell r="AL267">
            <v>1</v>
          </cell>
          <cell r="AM267">
            <v>1</v>
          </cell>
          <cell r="AN267" t="str">
            <v/>
          </cell>
          <cell r="AO267" t="str">
            <v>الاذونات وخدمات المحاجر</v>
          </cell>
          <cell r="AP267" t="str">
            <v>Saudi National Bank</v>
          </cell>
          <cell r="AQ267" t="str">
            <v>SA4410000074900000057609</v>
          </cell>
          <cell r="AR267">
            <v>11330</v>
          </cell>
          <cell r="AS267" t="str">
            <v/>
          </cell>
          <cell r="AT267">
            <v>100</v>
          </cell>
          <cell r="AU267">
            <v>2832.5</v>
          </cell>
          <cell r="AV267" t="str">
            <v/>
          </cell>
        </row>
        <row r="268">
          <cell r="A268">
            <v>400087</v>
          </cell>
          <cell r="B268" t="str">
            <v>1068592912</v>
          </cell>
          <cell r="C268" t="str">
            <v>السيد</v>
          </cell>
          <cell r="D268" t="str">
            <v>Mohammed Ibrahim Abdulaziz Alduhailan</v>
          </cell>
          <cell r="E268" t="str">
            <v>محمد ابراهيم عبدالعزيز الدحيلان</v>
          </cell>
          <cell r="F268" t="str">
            <v>Male</v>
          </cell>
          <cell r="G268" t="str">
            <v>متزوج</v>
          </cell>
          <cell r="H268">
            <v>33207</v>
          </cell>
          <cell r="I268">
            <v>36</v>
          </cell>
          <cell r="J268">
            <v>12983</v>
          </cell>
          <cell r="K268" t="str">
            <v>Mohammed.AlDuhailan@agriserv.sa</v>
          </cell>
          <cell r="L268" t="str">
            <v>0559574616</v>
          </cell>
          <cell r="M268" t="str">
            <v>3210</v>
          </cell>
          <cell r="N268" t="str">
            <v>المملكة العربية السعودية</v>
          </cell>
          <cell r="O268" t="str">
            <v>50000927</v>
          </cell>
          <cell r="P268" t="str">
            <v>طبيب بيطري مساعد</v>
          </cell>
          <cell r="Q268" t="str">
            <v>2B الدرجة</v>
          </cell>
          <cell r="R268" t="str">
            <v>Class A</v>
          </cell>
          <cell r="S268" t="str">
            <v/>
          </cell>
          <cell r="T268" t="str">
            <v>مكافحة الامراض الحيوانية</v>
          </cell>
          <cell r="U268" t="str">
            <v>الخدمات البيطرية</v>
          </cell>
          <cell r="V268" t="str">
            <v>العمليات</v>
          </cell>
          <cell r="W268" t="str">
            <v>Head Quarter</v>
          </cell>
          <cell r="X268" t="str">
            <v xml:space="preserve">المقر الرئيسي </v>
          </cell>
          <cell r="Y268">
            <v>44691</v>
          </cell>
          <cell r="Z268">
            <v>4.0999999999999996</v>
          </cell>
          <cell r="AA268">
            <v>1499</v>
          </cell>
          <cell r="AB268" t="str">
            <v>نشط</v>
          </cell>
          <cell r="AC268" t="str">
            <v>400003</v>
          </cell>
          <cell r="AD268" t="str">
            <v>Ibrahim Bukhari</v>
          </cell>
          <cell r="AE268" t="str">
            <v>إعارة</v>
          </cell>
          <cell r="AF268" t="str">
            <v/>
          </cell>
          <cell r="AG268" t="str">
            <v/>
          </cell>
          <cell r="AH268" t="str">
            <v>انتاج حيواني</v>
          </cell>
          <cell r="AI268" t="str">
            <v>دبلوم</v>
          </cell>
          <cell r="AJ268">
            <v>3</v>
          </cell>
          <cell r="AK268">
            <v>2</v>
          </cell>
          <cell r="AL268">
            <v>1</v>
          </cell>
          <cell r="AM268">
            <v>0</v>
          </cell>
          <cell r="AN268" t="str">
            <v/>
          </cell>
          <cell r="AO268" t="str">
            <v>الخدمات البيطرية</v>
          </cell>
          <cell r="AP268" t="str">
            <v>Al Rajhi Bank</v>
          </cell>
          <cell r="AQ268" t="str">
            <v>SA9680000508608010001250</v>
          </cell>
          <cell r="AR268">
            <v>7285</v>
          </cell>
          <cell r="AS268" t="str">
            <v/>
          </cell>
          <cell r="AT268">
            <v>28.5</v>
          </cell>
          <cell r="AU268">
            <v>1821.25</v>
          </cell>
          <cell r="AV268" t="str">
            <v/>
          </cell>
        </row>
        <row r="269">
          <cell r="A269">
            <v>400088</v>
          </cell>
          <cell r="B269" t="str">
            <v>1113393100</v>
          </cell>
          <cell r="C269" t="str">
            <v>السيد</v>
          </cell>
          <cell r="D269" t="str">
            <v>Saif Mahdi Mubarak Alqahtani</v>
          </cell>
          <cell r="E269" t="str">
            <v>سيف مهدي مبارك القحطاني</v>
          </cell>
          <cell r="F269" t="str">
            <v>Male</v>
          </cell>
          <cell r="G269" t="str">
            <v>أعزب</v>
          </cell>
          <cell r="H269">
            <v>37140</v>
          </cell>
          <cell r="I269">
            <v>25</v>
          </cell>
          <cell r="J269">
            <v>9050</v>
          </cell>
          <cell r="K269" t="str">
            <v>Saif.AlQahtani@agriserv.sa</v>
          </cell>
          <cell r="L269" t="str">
            <v>0502554635</v>
          </cell>
          <cell r="M269" t="str">
            <v/>
          </cell>
          <cell r="N269" t="str">
            <v>المملكة العربية السعودية</v>
          </cell>
          <cell r="O269" t="str">
            <v>50000928</v>
          </cell>
          <cell r="P269" t="str">
            <v>طبيب بيطري مساعد</v>
          </cell>
          <cell r="Q269" t="str">
            <v>2B الدرجة</v>
          </cell>
          <cell r="R269" t="str">
            <v>Class A</v>
          </cell>
          <cell r="S269" t="str">
            <v>محجر الخيل</v>
          </cell>
          <cell r="T269" t="str">
            <v>خدمات المحجر</v>
          </cell>
          <cell r="U269" t="str">
            <v>الاذونات وخدمات المحاجر</v>
          </cell>
          <cell r="V269" t="str">
            <v>العمليات</v>
          </cell>
          <cell r="W269" t="str">
            <v>Al Riyadh</v>
          </cell>
          <cell r="X269" t="str">
            <v xml:space="preserve">الفرع </v>
          </cell>
          <cell r="Y269">
            <v>44691</v>
          </cell>
          <cell r="Z269">
            <v>4.0999999999999996</v>
          </cell>
          <cell r="AA269">
            <v>1499</v>
          </cell>
          <cell r="AB269" t="str">
            <v>نشط</v>
          </cell>
          <cell r="AC269" t="str">
            <v>100051</v>
          </cell>
          <cell r="AD269" t="str">
            <v>Mohammed Alrajban</v>
          </cell>
          <cell r="AE269" t="str">
            <v>إعارة</v>
          </cell>
          <cell r="AF269" t="str">
            <v/>
          </cell>
          <cell r="AG269" t="str">
            <v/>
          </cell>
          <cell r="AH269" t="str">
            <v>انتاج حيواني</v>
          </cell>
          <cell r="AI269" t="str">
            <v>دبلوم</v>
          </cell>
          <cell r="AJ269">
            <v>3</v>
          </cell>
          <cell r="AK269">
            <v>1</v>
          </cell>
          <cell r="AL269">
            <v>0</v>
          </cell>
          <cell r="AM269">
            <v>2</v>
          </cell>
          <cell r="AN269" t="str">
            <v/>
          </cell>
          <cell r="AO269" t="str">
            <v>الاذونات وخدمات المحاجر</v>
          </cell>
          <cell r="AP269" t="str">
            <v>Bank Al Jazirah</v>
          </cell>
          <cell r="AQ269" t="str">
            <v>SA4860100030280945921001</v>
          </cell>
          <cell r="AR269">
            <v>6309</v>
          </cell>
          <cell r="AS269" t="str">
            <v/>
          </cell>
          <cell r="AT269">
            <v>130.9</v>
          </cell>
          <cell r="AU269">
            <v>1577.25</v>
          </cell>
          <cell r="AV269" t="str">
            <v/>
          </cell>
        </row>
        <row r="270">
          <cell r="A270">
            <v>400089</v>
          </cell>
          <cell r="B270" t="str">
            <v>1088291230</v>
          </cell>
          <cell r="C270" t="str">
            <v>السيد</v>
          </cell>
          <cell r="D270" t="str">
            <v>Abdullah AlBrikan</v>
          </cell>
          <cell r="E270" t="str">
            <v>عبدالله عبدالعزيز  البريكان</v>
          </cell>
          <cell r="F270" t="str">
            <v>Male</v>
          </cell>
          <cell r="G270" t="str">
            <v>أعزب</v>
          </cell>
          <cell r="H270">
            <v>32874</v>
          </cell>
          <cell r="I270">
            <v>36</v>
          </cell>
          <cell r="J270">
            <v>13316</v>
          </cell>
          <cell r="K270" t="str">
            <v>AALBRIKAN@agriserv.com.sa</v>
          </cell>
          <cell r="L270" t="str">
            <v>0534999831</v>
          </cell>
          <cell r="M270" t="str">
            <v/>
          </cell>
          <cell r="N270" t="str">
            <v>المملكة العربية السعودية</v>
          </cell>
          <cell r="O270" t="str">
            <v>50000929</v>
          </cell>
          <cell r="P270" t="str">
            <v>طبيب بيطري مساعد</v>
          </cell>
          <cell r="Q270" t="str">
            <v>2B الدرجة</v>
          </cell>
          <cell r="R270" t="str">
            <v/>
          </cell>
          <cell r="S270" t="str">
            <v>الشهادات والمستندات الرسمية للثروة الحيوانية</v>
          </cell>
          <cell r="T270" t="str">
            <v>الخدمات الصحية و الإرشاد ودعم التسويق للثروة الحيوانية</v>
          </cell>
          <cell r="U270" t="str">
            <v/>
          </cell>
          <cell r="V270" t="str">
            <v>العمليات</v>
          </cell>
          <cell r="W270" t="str">
            <v>Al Riyadh</v>
          </cell>
          <cell r="X270" t="str">
            <v xml:space="preserve">الفرع </v>
          </cell>
          <cell r="Y270">
            <v>44691</v>
          </cell>
          <cell r="Z270">
            <v>4.0999999999999996</v>
          </cell>
          <cell r="AA270">
            <v>1499</v>
          </cell>
          <cell r="AB270" t="str">
            <v>غير نشط</v>
          </cell>
          <cell r="AC270" t="str">
            <v>400042</v>
          </cell>
          <cell r="AD270" t="str">
            <v>Ali Alghazal</v>
          </cell>
          <cell r="AE270" t="str">
            <v>إعارة</v>
          </cell>
          <cell r="AF270">
            <v>44985</v>
          </cell>
          <cell r="AG270" t="str">
            <v/>
          </cell>
          <cell r="AH270" t="str">
            <v/>
          </cell>
          <cell r="AI270" t="str">
            <v/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 t="str">
            <v/>
          </cell>
          <cell r="AO270" t="str">
            <v>Livestock Extension &amp; Protection</v>
          </cell>
          <cell r="AP270" t="str">
            <v>Saudi National Bank</v>
          </cell>
          <cell r="AQ270" t="str">
            <v>SA4510000032147098000100</v>
          </cell>
          <cell r="AR270">
            <v>5240</v>
          </cell>
          <cell r="AS270" t="str">
            <v/>
          </cell>
          <cell r="AT270">
            <v>24</v>
          </cell>
          <cell r="AU270">
            <v>1310</v>
          </cell>
          <cell r="AV270" t="str">
            <v/>
          </cell>
        </row>
        <row r="271">
          <cell r="A271">
            <v>400090</v>
          </cell>
          <cell r="B271" t="str">
            <v>1049545229</v>
          </cell>
          <cell r="C271" t="str">
            <v>السيد</v>
          </cell>
          <cell r="D271" t="str">
            <v>Hassan AlMashnawi AlFifi</v>
          </cell>
          <cell r="E271" t="str">
            <v>حسن يحى حسن المشنوي الفيفي</v>
          </cell>
          <cell r="F271" t="str">
            <v>Male</v>
          </cell>
          <cell r="G271" t="str">
            <v>متزوج</v>
          </cell>
          <cell r="H271">
            <v>36526</v>
          </cell>
          <cell r="I271">
            <v>26</v>
          </cell>
          <cell r="J271">
            <v>9664</v>
          </cell>
          <cell r="K271" t="str">
            <v>E16227@agriserv.com.sa</v>
          </cell>
          <cell r="L271" t="str">
            <v>0551998727</v>
          </cell>
          <cell r="M271" t="str">
            <v/>
          </cell>
          <cell r="N271" t="str">
            <v>المملكة العربية السعودية</v>
          </cell>
          <cell r="O271" t="str">
            <v>50000556</v>
          </cell>
          <cell r="P271" t="str">
            <v>موظف دعم إداري</v>
          </cell>
          <cell r="Q271" t="str">
            <v>2A الدرجة</v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  <cell r="V271" t="str">
            <v>العمليات</v>
          </cell>
          <cell r="W271" t="str">
            <v>Al Riyadh</v>
          </cell>
          <cell r="X271" t="str">
            <v xml:space="preserve">المقر الرئيسي </v>
          </cell>
          <cell r="Y271">
            <v>44713</v>
          </cell>
          <cell r="Z271">
            <v>4.04</v>
          </cell>
          <cell r="AA271">
            <v>1477</v>
          </cell>
          <cell r="AB271" t="str">
            <v>غير نشط</v>
          </cell>
          <cell r="AC271" t="str">
            <v>400034</v>
          </cell>
          <cell r="AD271" t="str">
            <v>Hamad Alfuhaid</v>
          </cell>
          <cell r="AE271" t="str">
            <v>إعارة</v>
          </cell>
          <cell r="AF271">
            <v>45016</v>
          </cell>
          <cell r="AG271" t="str">
            <v/>
          </cell>
          <cell r="AH271" t="str">
            <v/>
          </cell>
          <cell r="AI271" t="str">
            <v/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 t="str">
            <v/>
          </cell>
          <cell r="AO271" t="str">
            <v>Fisheries Extension &amp; Protection</v>
          </cell>
          <cell r="AP271" t="str">
            <v>Al Rajhi Bank</v>
          </cell>
          <cell r="AQ271" t="str">
            <v>SA2380000119608010110672</v>
          </cell>
          <cell r="AR271">
            <v>13975</v>
          </cell>
          <cell r="AS271" t="str">
            <v/>
          </cell>
          <cell r="AT271">
            <v>100</v>
          </cell>
          <cell r="AU271">
            <v>3493.75</v>
          </cell>
          <cell r="AV271" t="str">
            <v/>
          </cell>
        </row>
        <row r="272">
          <cell r="A272">
            <v>400091</v>
          </cell>
          <cell r="B272" t="str">
            <v>1027092475</v>
          </cell>
          <cell r="C272" t="str">
            <v>السيد</v>
          </cell>
          <cell r="D272" t="str">
            <v>Mohammed Hussain Saeed Alyami</v>
          </cell>
          <cell r="E272" t="str">
            <v>محمد حسين سعيد اليامى</v>
          </cell>
          <cell r="F272" t="str">
            <v>Male</v>
          </cell>
          <cell r="G272" t="str">
            <v>متزوج</v>
          </cell>
          <cell r="H272">
            <v>25027</v>
          </cell>
          <cell r="I272">
            <v>58</v>
          </cell>
          <cell r="J272">
            <v>21163</v>
          </cell>
          <cell r="K272" t="str">
            <v>Mohammed.AlYami@agriserv.sa</v>
          </cell>
          <cell r="L272" t="str">
            <v>0567166665</v>
          </cell>
          <cell r="M272" t="str">
            <v>3307</v>
          </cell>
          <cell r="N272" t="str">
            <v>المملكة العربية السعودية</v>
          </cell>
          <cell r="O272" t="str">
            <v>50000015</v>
          </cell>
          <cell r="P272" t="str">
            <v>أخصائي أول أذونات تصدير الثروة الحيوانية</v>
          </cell>
          <cell r="Q272" t="str">
            <v>الدرجة 6</v>
          </cell>
          <cell r="R272" t="str">
            <v>Class A</v>
          </cell>
          <cell r="S272" t="str">
            <v/>
          </cell>
          <cell r="T272" t="str">
            <v>الاذونات</v>
          </cell>
          <cell r="U272" t="str">
            <v>الاذونات وخدمات المحاجر</v>
          </cell>
          <cell r="V272" t="str">
            <v>العمليات</v>
          </cell>
          <cell r="W272" t="str">
            <v>Head Quarter</v>
          </cell>
          <cell r="X272" t="str">
            <v xml:space="preserve">المقر الرئيسي </v>
          </cell>
          <cell r="Y272">
            <v>44713</v>
          </cell>
          <cell r="Z272">
            <v>4.04</v>
          </cell>
          <cell r="AA272">
            <v>1477</v>
          </cell>
          <cell r="AB272" t="str">
            <v>نشط</v>
          </cell>
          <cell r="AC272" t="str">
            <v>400096</v>
          </cell>
          <cell r="AD272" t="str">
            <v>Saleh Alkraidis</v>
          </cell>
          <cell r="AE272" t="str">
            <v>إعارة</v>
          </cell>
          <cell r="AF272" t="str">
            <v/>
          </cell>
          <cell r="AG272" t="str">
            <v/>
          </cell>
          <cell r="AH272" t="str">
            <v>علم الزراعة</v>
          </cell>
          <cell r="AI272" t="str">
            <v>بكالوريوس</v>
          </cell>
          <cell r="AJ272">
            <v>4</v>
          </cell>
          <cell r="AK272">
            <v>2</v>
          </cell>
          <cell r="AL272">
            <v>1</v>
          </cell>
          <cell r="AM272">
            <v>1</v>
          </cell>
          <cell r="AN272" t="str">
            <v/>
          </cell>
          <cell r="AO272" t="str">
            <v>الاذونات وخدمات المحاجر</v>
          </cell>
          <cell r="AP272" t="str">
            <v>Saudi National Bank</v>
          </cell>
          <cell r="AQ272" t="str">
            <v>SA1610000020750932000106</v>
          </cell>
          <cell r="AR272">
            <v>20275</v>
          </cell>
          <cell r="AS272" t="str">
            <v/>
          </cell>
          <cell r="AT272">
            <v>1127.5</v>
          </cell>
          <cell r="AU272">
            <v>5068.75</v>
          </cell>
          <cell r="AV272" t="str">
            <v/>
          </cell>
        </row>
        <row r="273">
          <cell r="A273">
            <v>400092</v>
          </cell>
          <cell r="B273" t="str">
            <v>1034998714</v>
          </cell>
          <cell r="C273" t="str">
            <v>السيد</v>
          </cell>
          <cell r="D273" t="str">
            <v>Fahad Fanis Faleh Alajmi</v>
          </cell>
          <cell r="E273" t="str">
            <v>فهد فنيس فالح العجمي</v>
          </cell>
          <cell r="F273" t="str">
            <v>Male</v>
          </cell>
          <cell r="G273" t="str">
            <v>متزوج</v>
          </cell>
          <cell r="H273">
            <v>30927</v>
          </cell>
          <cell r="I273">
            <v>42</v>
          </cell>
          <cell r="J273">
            <v>15263</v>
          </cell>
          <cell r="K273" t="str">
            <v>Fahad.AlAjmi@agriserv.sa</v>
          </cell>
          <cell r="L273" t="str">
            <v>0552225442</v>
          </cell>
          <cell r="M273" t="str">
            <v>3308</v>
          </cell>
          <cell r="N273" t="str">
            <v>المملكة العربية السعودية</v>
          </cell>
          <cell r="O273" t="str">
            <v>50000024</v>
          </cell>
          <cell r="P273" t="str">
            <v>أخصائي أول أذونات استيراد الثروة النباتية</v>
          </cell>
          <cell r="Q273" t="str">
            <v>الدرجة 6</v>
          </cell>
          <cell r="R273" t="str">
            <v>Class A</v>
          </cell>
          <cell r="S273" t="str">
            <v/>
          </cell>
          <cell r="T273" t="str">
            <v>الاذونات</v>
          </cell>
          <cell r="U273" t="str">
            <v>الاذونات وخدمات المحاجر</v>
          </cell>
          <cell r="V273" t="str">
            <v>العمليات</v>
          </cell>
          <cell r="W273" t="str">
            <v>Head Quarter</v>
          </cell>
          <cell r="X273" t="str">
            <v xml:space="preserve">المقر الرئيسي </v>
          </cell>
          <cell r="Y273">
            <v>44713</v>
          </cell>
          <cell r="Z273">
            <v>4.04</v>
          </cell>
          <cell r="AA273">
            <v>1477</v>
          </cell>
          <cell r="AB273" t="str">
            <v>نشط</v>
          </cell>
          <cell r="AC273" t="str">
            <v>400096</v>
          </cell>
          <cell r="AD273" t="str">
            <v>Saleh Alkraidis</v>
          </cell>
          <cell r="AE273" t="str">
            <v>إعارة</v>
          </cell>
          <cell r="AF273" t="str">
            <v/>
          </cell>
          <cell r="AG273" t="str">
            <v/>
          </cell>
          <cell r="AH273" t="str">
            <v>وقاية النبات</v>
          </cell>
          <cell r="AI273" t="str">
            <v>بكالوريوس</v>
          </cell>
          <cell r="AJ273">
            <v>3</v>
          </cell>
          <cell r="AK273">
            <v>2</v>
          </cell>
          <cell r="AL273">
            <v>1</v>
          </cell>
          <cell r="AM273">
            <v>0</v>
          </cell>
          <cell r="AN273" t="str">
            <v/>
          </cell>
          <cell r="AO273" t="str">
            <v>الاذونات وخدمات المحاجر</v>
          </cell>
          <cell r="AP273" t="str">
            <v>Bank Al Bilad</v>
          </cell>
          <cell r="AQ273" t="str">
            <v>SA6615000900135073130008</v>
          </cell>
          <cell r="AR273">
            <v>14865</v>
          </cell>
          <cell r="AS273" t="str">
            <v/>
          </cell>
          <cell r="AT273">
            <v>786.5</v>
          </cell>
          <cell r="AU273">
            <v>3716.25</v>
          </cell>
          <cell r="AV273" t="str">
            <v/>
          </cell>
        </row>
        <row r="274">
          <cell r="A274">
            <v>400093</v>
          </cell>
          <cell r="B274" t="str">
            <v/>
          </cell>
          <cell r="C274" t="str">
            <v>السيد</v>
          </cell>
          <cell r="D274" t="str">
            <v>Mohammed Ibrahim Mohammed Almuhaimid</v>
          </cell>
          <cell r="E274" t="str">
            <v>محمد براهيم محمد المحيميد</v>
          </cell>
          <cell r="F274" t="str">
            <v>Male</v>
          </cell>
          <cell r="G274" t="str">
            <v>أعزب</v>
          </cell>
          <cell r="H274">
            <v>34334</v>
          </cell>
          <cell r="I274">
            <v>32</v>
          </cell>
          <cell r="J274">
            <v>11856</v>
          </cell>
          <cell r="K274" t="str">
            <v/>
          </cell>
          <cell r="L274" t="str">
            <v/>
          </cell>
          <cell r="M274" t="str">
            <v/>
          </cell>
          <cell r="N274" t="str">
            <v>المملكة العربية السعودية</v>
          </cell>
          <cell r="O274" t="str">
            <v>50000424</v>
          </cell>
          <cell r="P274" t="str">
            <v>أخصائي  إدارة المكاتب والمرافق</v>
          </cell>
          <cell r="Q274" t="str">
            <v>الدرجة 4</v>
          </cell>
          <cell r="R274" t="str">
            <v>Class A</v>
          </cell>
          <cell r="S274" t="str">
            <v/>
          </cell>
          <cell r="T274" t="str">
            <v>تنمية الأعمال</v>
          </cell>
          <cell r="U274" t="str">
            <v>إدارة الأصول والاستثمار</v>
          </cell>
          <cell r="V274" t="str">
            <v>إدارة الأصول والاستثمار</v>
          </cell>
          <cell r="W274" t="str">
            <v>Al Riyadh</v>
          </cell>
          <cell r="X274" t="str">
            <v xml:space="preserve">المقر الرئيسي </v>
          </cell>
          <cell r="Y274">
            <v>44713</v>
          </cell>
          <cell r="Z274">
            <v>4.04</v>
          </cell>
          <cell r="AA274">
            <v>1477</v>
          </cell>
          <cell r="AB274" t="str">
            <v>غير نشط</v>
          </cell>
          <cell r="AC274" t="str">
            <v>100084</v>
          </cell>
          <cell r="AD274" t="str">
            <v>Naif Alsudais</v>
          </cell>
          <cell r="AE274" t="str">
            <v>إعارة</v>
          </cell>
          <cell r="AF274">
            <v>45565</v>
          </cell>
          <cell r="AG274" t="str">
            <v/>
          </cell>
          <cell r="AH274" t="str">
            <v>هندسة مدنية</v>
          </cell>
          <cell r="AI274" t="str">
            <v>بكالوريوس</v>
          </cell>
          <cell r="AJ274">
            <v>2</v>
          </cell>
          <cell r="AK274">
            <v>0</v>
          </cell>
          <cell r="AL274">
            <v>0</v>
          </cell>
          <cell r="AM274">
            <v>2</v>
          </cell>
          <cell r="AN274" t="str">
            <v/>
          </cell>
          <cell r="AO274" t="str">
            <v>Administrative Affairs</v>
          </cell>
          <cell r="AP274" t="str">
            <v>Al Rajhi Bank</v>
          </cell>
          <cell r="AQ274" t="str">
            <v>SA9180000495608010069211</v>
          </cell>
          <cell r="AR274">
            <v>9200</v>
          </cell>
          <cell r="AS274" t="str">
            <v/>
          </cell>
          <cell r="AT274">
            <v>220</v>
          </cell>
          <cell r="AU274">
            <v>2300</v>
          </cell>
          <cell r="AV274" t="str">
            <v/>
          </cell>
        </row>
        <row r="275">
          <cell r="A275">
            <v>400094</v>
          </cell>
          <cell r="B275" t="str">
            <v>1012188494</v>
          </cell>
          <cell r="C275" t="str">
            <v>السيد</v>
          </cell>
          <cell r="D275" t="str">
            <v>Mohammed Abdullah Mohammed Albusaili</v>
          </cell>
          <cell r="E275" t="str">
            <v>محمد عبدالله محمد البصيلي</v>
          </cell>
          <cell r="F275" t="str">
            <v>Male</v>
          </cell>
          <cell r="G275" t="str">
            <v>أعزب</v>
          </cell>
          <cell r="H275">
            <v>34853</v>
          </cell>
          <cell r="I275">
            <v>31</v>
          </cell>
          <cell r="J275">
            <v>11337</v>
          </cell>
          <cell r="K275" t="str">
            <v>MALBUSAYLI@agriserv.com.sa</v>
          </cell>
          <cell r="L275" t="str">
            <v>0560050888</v>
          </cell>
          <cell r="M275" t="str">
            <v/>
          </cell>
          <cell r="N275" t="str">
            <v>المملكة العربية السعودية</v>
          </cell>
          <cell r="O275" t="str">
            <v>50000385</v>
          </cell>
          <cell r="P275" t="str">
            <v>محلل تشغيل الأسطول</v>
          </cell>
          <cell r="Q275" t="str">
            <v>الدرجة 3</v>
          </cell>
          <cell r="R275" t="str">
            <v/>
          </cell>
          <cell r="S275" t="str">
            <v/>
          </cell>
          <cell r="T275" t="str">
            <v/>
          </cell>
          <cell r="U275" t="str">
            <v>الاسواق و المسالخ</v>
          </cell>
          <cell r="V275" t="str">
            <v>الفروع</v>
          </cell>
          <cell r="W275" t="str">
            <v>Al Riyadh</v>
          </cell>
          <cell r="X275" t="str">
            <v xml:space="preserve">الفرع </v>
          </cell>
          <cell r="Y275">
            <v>44713</v>
          </cell>
          <cell r="Z275">
            <v>4.04</v>
          </cell>
          <cell r="AA275">
            <v>1477</v>
          </cell>
          <cell r="AB275" t="str">
            <v>غير نشط</v>
          </cell>
          <cell r="AC275" t="str">
            <v>400039</v>
          </cell>
          <cell r="AD275" t="str">
            <v>Mohammad Alhumaidi</v>
          </cell>
          <cell r="AE275" t="str">
            <v>إعارة</v>
          </cell>
          <cell r="AF275">
            <v>45412</v>
          </cell>
          <cell r="AG275" t="str">
            <v/>
          </cell>
          <cell r="AH275" t="str">
            <v/>
          </cell>
          <cell r="AI275" t="str">
            <v/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 t="str">
            <v/>
          </cell>
          <cell r="AO275" t="str">
            <v>Administrative Affairs</v>
          </cell>
          <cell r="AP275" t="str">
            <v>Bank Al Bilad</v>
          </cell>
          <cell r="AQ275" t="str">
            <v>SA8515000432667002350004</v>
          </cell>
          <cell r="AR275">
            <v>8420</v>
          </cell>
          <cell r="AS275" t="str">
            <v/>
          </cell>
          <cell r="AT275">
            <v>342</v>
          </cell>
          <cell r="AU275">
            <v>2105</v>
          </cell>
          <cell r="AV275" t="str">
            <v/>
          </cell>
        </row>
        <row r="276">
          <cell r="A276">
            <v>400095</v>
          </cell>
          <cell r="B276" t="str">
            <v>1000598035</v>
          </cell>
          <cell r="C276" t="str">
            <v>السيد</v>
          </cell>
          <cell r="D276" t="str">
            <v>Nayef Abdullah shaari Alotaibi</v>
          </cell>
          <cell r="E276" t="str">
            <v>نايف عبدالله شارع العتيبي</v>
          </cell>
          <cell r="F276" t="str">
            <v>Male</v>
          </cell>
          <cell r="G276" t="str">
            <v>أعزب</v>
          </cell>
          <cell r="H276">
            <v>33388</v>
          </cell>
          <cell r="I276">
            <v>35</v>
          </cell>
          <cell r="J276">
            <v>12802</v>
          </cell>
          <cell r="K276" t="str">
            <v>E24421@agriserv.com.sa</v>
          </cell>
          <cell r="L276" t="str">
            <v>0557550713</v>
          </cell>
          <cell r="M276" t="str">
            <v/>
          </cell>
          <cell r="N276" t="str">
            <v>المملكة العربية السعودية</v>
          </cell>
          <cell r="O276" t="str">
            <v>50000429</v>
          </cell>
          <cell r="P276" t="str">
            <v>محلل أول إدارة ومراقبة الوثائق</v>
          </cell>
          <cell r="Q276" t="str">
            <v>الدرجة 3</v>
          </cell>
          <cell r="R276" t="str">
            <v/>
          </cell>
          <cell r="S276" t="str">
            <v/>
          </cell>
          <cell r="T276" t="str">
            <v/>
          </cell>
          <cell r="U276" t="str">
            <v>الاسواق و المسالخ</v>
          </cell>
          <cell r="V276" t="str">
            <v>الفروع</v>
          </cell>
          <cell r="W276" t="str">
            <v>Al Riyadh</v>
          </cell>
          <cell r="X276" t="str">
            <v xml:space="preserve">الفرع </v>
          </cell>
          <cell r="Y276">
            <v>44713</v>
          </cell>
          <cell r="Z276">
            <v>4.04</v>
          </cell>
          <cell r="AA276">
            <v>1477</v>
          </cell>
          <cell r="AB276" t="str">
            <v>غير نشط</v>
          </cell>
          <cell r="AC276" t="str">
            <v>400039</v>
          </cell>
          <cell r="AD276" t="str">
            <v>Mohammad Alhumaidi</v>
          </cell>
          <cell r="AE276" t="str">
            <v>إعارة</v>
          </cell>
          <cell r="AF276">
            <v>45412</v>
          </cell>
          <cell r="AG276" t="str">
            <v/>
          </cell>
          <cell r="AH276" t="str">
            <v/>
          </cell>
          <cell r="AI276" t="str">
            <v/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 t="str">
            <v/>
          </cell>
          <cell r="AO276" t="str">
            <v>Administrative Affairs</v>
          </cell>
          <cell r="AP276" t="str">
            <v>Riyad Bank</v>
          </cell>
          <cell r="AQ276" t="str">
            <v>SA3820000003241550749940</v>
          </cell>
          <cell r="AR276">
            <v>5845</v>
          </cell>
          <cell r="AS276" t="str">
            <v/>
          </cell>
          <cell r="AT276">
            <v>84.5</v>
          </cell>
          <cell r="AU276">
            <v>1461.25</v>
          </cell>
          <cell r="AV276" t="str">
            <v/>
          </cell>
        </row>
        <row r="277">
          <cell r="A277">
            <v>400096</v>
          </cell>
          <cell r="B277" t="str">
            <v>1002462198</v>
          </cell>
          <cell r="C277" t="str">
            <v>السيد</v>
          </cell>
          <cell r="D277" t="str">
            <v>Saleh Abdulaziz Saleh Alkraidis</v>
          </cell>
          <cell r="E277" t="str">
            <v>صالح عبدالعزيز صالح الكريديس</v>
          </cell>
          <cell r="F277" t="str">
            <v>Male</v>
          </cell>
          <cell r="G277" t="str">
            <v>متزوج</v>
          </cell>
          <cell r="H277">
            <v>29527</v>
          </cell>
          <cell r="I277">
            <v>46</v>
          </cell>
          <cell r="J277">
            <v>16663</v>
          </cell>
          <cell r="K277" t="str">
            <v>Saleh.Alkraidis@agriserv.sa</v>
          </cell>
          <cell r="L277" t="str">
            <v>0503135682</v>
          </cell>
          <cell r="M277" t="str">
            <v>3304</v>
          </cell>
          <cell r="N277" t="str">
            <v>المملكة العربية السعودية</v>
          </cell>
          <cell r="O277" t="str">
            <v>50000014</v>
          </cell>
          <cell r="P277" t="str">
            <v>مشرف أذونات التصدير</v>
          </cell>
          <cell r="Q277" t="str">
            <v>8 الدرجة</v>
          </cell>
          <cell r="R277" t="str">
            <v>Class VIP</v>
          </cell>
          <cell r="S277" t="str">
            <v/>
          </cell>
          <cell r="T277" t="str">
            <v>الاذونات</v>
          </cell>
          <cell r="U277" t="str">
            <v>الاذونات وخدمات المحاجر</v>
          </cell>
          <cell r="V277" t="str">
            <v>العمليات</v>
          </cell>
          <cell r="W277" t="str">
            <v>Head Quarter</v>
          </cell>
          <cell r="X277" t="str">
            <v xml:space="preserve">المقر الرئيسي </v>
          </cell>
          <cell r="Y277">
            <v>44713</v>
          </cell>
          <cell r="Z277">
            <v>4.04</v>
          </cell>
          <cell r="AA277">
            <v>1477</v>
          </cell>
          <cell r="AB277" t="str">
            <v>نشط</v>
          </cell>
          <cell r="AC277" t="str">
            <v>100137</v>
          </cell>
          <cell r="AD277" t="str">
            <v>IBRAHIM ALNOWAISER</v>
          </cell>
          <cell r="AE277" t="str">
            <v>إعارة</v>
          </cell>
          <cell r="AF277" t="str">
            <v/>
          </cell>
          <cell r="AG277" t="str">
            <v/>
          </cell>
          <cell r="AH277" t="str">
            <v>علوم بيطرية</v>
          </cell>
          <cell r="AI277" t="str">
            <v>ماجستير</v>
          </cell>
          <cell r="AJ277">
            <v>5</v>
          </cell>
          <cell r="AK277">
            <v>2</v>
          </cell>
          <cell r="AL277">
            <v>1</v>
          </cell>
          <cell r="AM277">
            <v>2</v>
          </cell>
          <cell r="AN277" t="str">
            <v/>
          </cell>
          <cell r="AO277" t="str">
            <v>الاذونات وخدمات المحاجر</v>
          </cell>
          <cell r="AP277" t="str">
            <v>Al Rajhi Bank</v>
          </cell>
          <cell r="AQ277" t="str">
            <v>SA8780000192608010417531</v>
          </cell>
          <cell r="AR277">
            <v>15855</v>
          </cell>
          <cell r="AS277" t="str">
            <v/>
          </cell>
          <cell r="AT277">
            <v>885.5</v>
          </cell>
          <cell r="AU277">
            <v>3963.75</v>
          </cell>
          <cell r="AV277" t="str">
            <v/>
          </cell>
        </row>
        <row r="278">
          <cell r="A278">
            <v>400097</v>
          </cell>
          <cell r="B278" t="str">
            <v>1002571451</v>
          </cell>
          <cell r="C278" t="str">
            <v>السيد</v>
          </cell>
          <cell r="D278" t="str">
            <v>Mahmoud Jaafar Mohammd Alissa</v>
          </cell>
          <cell r="E278" t="str">
            <v>محمود جعفر محمد العيسى</v>
          </cell>
          <cell r="F278" t="str">
            <v>Male</v>
          </cell>
          <cell r="G278" t="str">
            <v>متزوج</v>
          </cell>
          <cell r="H278">
            <v>28624</v>
          </cell>
          <cell r="I278">
            <v>48</v>
          </cell>
          <cell r="J278">
            <v>17566</v>
          </cell>
          <cell r="K278" t="str">
            <v>Mahmoud.AlIssa@agriserv.sa</v>
          </cell>
          <cell r="L278" t="str">
            <v>0506917832</v>
          </cell>
          <cell r="M278" t="str">
            <v>3309</v>
          </cell>
          <cell r="N278" t="str">
            <v>المملكة العربية السعودية</v>
          </cell>
          <cell r="O278" t="str">
            <v>50000930</v>
          </cell>
          <cell r="P278" t="str">
            <v>أخصائي أول أذونات استيراد الثروة النباتية</v>
          </cell>
          <cell r="Q278" t="str">
            <v>الدرجة 6</v>
          </cell>
          <cell r="R278" t="str">
            <v>Class A</v>
          </cell>
          <cell r="S278" t="str">
            <v/>
          </cell>
          <cell r="T278" t="str">
            <v>الاذونات</v>
          </cell>
          <cell r="U278" t="str">
            <v>الاذونات وخدمات المحاجر</v>
          </cell>
          <cell r="V278" t="str">
            <v>العمليات</v>
          </cell>
          <cell r="W278" t="str">
            <v>Al Riyadh</v>
          </cell>
          <cell r="X278" t="str">
            <v xml:space="preserve">المقر الرئيسي </v>
          </cell>
          <cell r="Y278">
            <v>44713</v>
          </cell>
          <cell r="Z278">
            <v>4.04</v>
          </cell>
          <cell r="AA278">
            <v>1477</v>
          </cell>
          <cell r="AB278" t="str">
            <v>نشط</v>
          </cell>
          <cell r="AC278" t="str">
            <v>400096</v>
          </cell>
          <cell r="AD278" t="str">
            <v>Saleh Alkraidis</v>
          </cell>
          <cell r="AE278" t="str">
            <v>إعارة</v>
          </cell>
          <cell r="AF278" t="str">
            <v/>
          </cell>
          <cell r="AG278" t="str">
            <v/>
          </cell>
          <cell r="AH278" t="str">
            <v>بساتين</v>
          </cell>
          <cell r="AI278" t="str">
            <v>بكالوريوس</v>
          </cell>
          <cell r="AJ278">
            <v>4</v>
          </cell>
          <cell r="AK278">
            <v>2</v>
          </cell>
          <cell r="AL278">
            <v>1</v>
          </cell>
          <cell r="AM278">
            <v>1</v>
          </cell>
          <cell r="AN278" t="str">
            <v/>
          </cell>
          <cell r="AO278" t="str">
            <v>الاذونات وخدمات المحاجر</v>
          </cell>
          <cell r="AP278" t="str">
            <v>Arab National Bank</v>
          </cell>
          <cell r="AQ278" t="str">
            <v>SA8030400108072327200013</v>
          </cell>
          <cell r="AR278">
            <v>12095</v>
          </cell>
          <cell r="AS278" t="str">
            <v/>
          </cell>
          <cell r="AT278">
            <v>509.5</v>
          </cell>
          <cell r="AU278">
            <v>3023.75</v>
          </cell>
          <cell r="AV278" t="str">
            <v/>
          </cell>
        </row>
        <row r="279">
          <cell r="A279">
            <v>400098</v>
          </cell>
          <cell r="B279" t="str">
            <v>1000459485</v>
          </cell>
          <cell r="C279" t="str">
            <v>السيد</v>
          </cell>
          <cell r="D279" t="str">
            <v>Sultan Al-Maliki</v>
          </cell>
          <cell r="E279" t="str">
            <v>سلطان سالم عبدالوهاب المالكي</v>
          </cell>
          <cell r="F279" t="str">
            <v>Male</v>
          </cell>
          <cell r="G279" t="str">
            <v>أعزب</v>
          </cell>
          <cell r="H279">
            <v>33396</v>
          </cell>
          <cell r="I279">
            <v>35</v>
          </cell>
          <cell r="J279">
            <v>12794</v>
          </cell>
          <cell r="K279" t="str">
            <v>E14535@agriserv.com.sa</v>
          </cell>
          <cell r="L279" t="str">
            <v/>
          </cell>
          <cell r="M279" t="str">
            <v/>
          </cell>
          <cell r="N279" t="str">
            <v>المملكة العربية السعودية</v>
          </cell>
          <cell r="O279" t="str">
            <v>50000394</v>
          </cell>
          <cell r="P279" t="str">
            <v>محلل إدارة المراسلات</v>
          </cell>
          <cell r="Q279" t="str">
            <v>الدرجة 3</v>
          </cell>
          <cell r="R279" t="str">
            <v/>
          </cell>
          <cell r="S279" t="str">
            <v>إدارة المراسلات</v>
          </cell>
          <cell r="T279" t="str">
            <v>إدارة ومراقبة الوثائق</v>
          </cell>
          <cell r="U279" t="str">
            <v>الشؤون الإدارية</v>
          </cell>
          <cell r="V279" t="str">
            <v>الخدمات المشتركة</v>
          </cell>
          <cell r="W279" t="str">
            <v>Al Riyadh</v>
          </cell>
          <cell r="X279" t="str">
            <v xml:space="preserve">المقر الرئيسي </v>
          </cell>
          <cell r="Y279">
            <v>44713</v>
          </cell>
          <cell r="Z279">
            <v>4.04</v>
          </cell>
          <cell r="AA279">
            <v>1477</v>
          </cell>
          <cell r="AB279" t="str">
            <v>غير نشط</v>
          </cell>
          <cell r="AC279" t="str">
            <v>100005</v>
          </cell>
          <cell r="AD279" t="str">
            <v>Khalid Alghannam</v>
          </cell>
          <cell r="AE279" t="str">
            <v>إعارة</v>
          </cell>
          <cell r="AF279">
            <v>44895</v>
          </cell>
          <cell r="AG279" t="str">
            <v/>
          </cell>
          <cell r="AH279" t="str">
            <v/>
          </cell>
          <cell r="AI279" t="str">
            <v/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 t="str">
            <v/>
          </cell>
          <cell r="AO279" t="str">
            <v>Administrative Affairs</v>
          </cell>
          <cell r="AP279" t="str">
            <v>Saudi Awwal Bank</v>
          </cell>
          <cell r="AQ279" t="str">
            <v xml:space="preserve">SA4245000000816021323001
</v>
          </cell>
          <cell r="AR279">
            <v>9930</v>
          </cell>
          <cell r="AS279" t="str">
            <v/>
          </cell>
          <cell r="AT279">
            <v>293</v>
          </cell>
          <cell r="AU279">
            <v>2482.5</v>
          </cell>
          <cell r="AV279" t="str">
            <v/>
          </cell>
        </row>
        <row r="280">
          <cell r="A280">
            <v>400099</v>
          </cell>
          <cell r="B280" t="str">
            <v>1017365279</v>
          </cell>
          <cell r="C280" t="str">
            <v>السيد</v>
          </cell>
          <cell r="D280" t="str">
            <v>Mohammed Tawfeeq Ayesh Alomran</v>
          </cell>
          <cell r="E280" t="str">
            <v>محمد توفيق عايش العمران</v>
          </cell>
          <cell r="F280" t="str">
            <v>Male</v>
          </cell>
          <cell r="G280" t="str">
            <v>متزوج</v>
          </cell>
          <cell r="H280">
            <v>30587</v>
          </cell>
          <cell r="I280">
            <v>43</v>
          </cell>
          <cell r="J280">
            <v>15603</v>
          </cell>
          <cell r="K280" t="str">
            <v>Mohammed.AlOmran@agriserv.sa</v>
          </cell>
          <cell r="L280" t="str">
            <v>0557930795</v>
          </cell>
          <cell r="M280" t="str">
            <v>3206</v>
          </cell>
          <cell r="N280" t="str">
            <v>المملكة العربية السعودية</v>
          </cell>
          <cell r="O280" t="str">
            <v>50000919</v>
          </cell>
          <cell r="P280" t="str">
            <v>أخصائي ترخيص المهن البيطرية</v>
          </cell>
          <cell r="Q280" t="str">
            <v>الدرجة 7</v>
          </cell>
          <cell r="R280" t="str">
            <v>Class A</v>
          </cell>
          <cell r="S280" t="str">
            <v/>
          </cell>
          <cell r="T280" t="str">
            <v>العيادات البيطرية</v>
          </cell>
          <cell r="U280" t="str">
            <v>الخدمات البيطرية</v>
          </cell>
          <cell r="V280" t="str">
            <v>العمليات</v>
          </cell>
          <cell r="W280" t="str">
            <v>Head Quarter</v>
          </cell>
          <cell r="X280" t="str">
            <v xml:space="preserve">المقر الرئيسي </v>
          </cell>
          <cell r="Y280">
            <v>44691</v>
          </cell>
          <cell r="Z280">
            <v>4.0999999999999996</v>
          </cell>
          <cell r="AA280">
            <v>1499</v>
          </cell>
          <cell r="AB280" t="str">
            <v>نشط</v>
          </cell>
          <cell r="AC280" t="str">
            <v>100188</v>
          </cell>
          <cell r="AD280" t="str">
            <v>Abdulmalik Alrothea</v>
          </cell>
          <cell r="AE280" t="str">
            <v>إعارة</v>
          </cell>
          <cell r="AF280" t="str">
            <v/>
          </cell>
          <cell r="AG280" t="str">
            <v/>
          </cell>
          <cell r="AH280" t="str">
            <v>طب بيطري</v>
          </cell>
          <cell r="AI280" t="str">
            <v>بكالوريوس</v>
          </cell>
          <cell r="AJ280">
            <v>6</v>
          </cell>
          <cell r="AK280">
            <v>4</v>
          </cell>
          <cell r="AL280">
            <v>1</v>
          </cell>
          <cell r="AM280">
            <v>1</v>
          </cell>
          <cell r="AN280" t="str">
            <v/>
          </cell>
          <cell r="AO280" t="str">
            <v>الخدمات البيطرية</v>
          </cell>
          <cell r="AP280" t="str">
            <v>Banque Saudi Fransi</v>
          </cell>
          <cell r="AQ280" t="str">
            <v>SA5655000000070799100110</v>
          </cell>
          <cell r="AR280">
            <v>14445</v>
          </cell>
          <cell r="AS280" t="str">
            <v/>
          </cell>
          <cell r="AT280">
            <v>744.5</v>
          </cell>
          <cell r="AU280">
            <v>3611.25</v>
          </cell>
          <cell r="AV280" t="str">
            <v/>
          </cell>
        </row>
        <row r="281">
          <cell r="A281">
            <v>400100</v>
          </cell>
          <cell r="B281" t="str">
            <v>1066761212</v>
          </cell>
          <cell r="C281" t="str">
            <v>السيد</v>
          </cell>
          <cell r="D281" t="str">
            <v>Mohammd Abdalah Hasn Alsalem</v>
          </cell>
          <cell r="E281" t="str">
            <v>محمد عبدالله حسن السالم</v>
          </cell>
          <cell r="F281" t="str">
            <v>Male</v>
          </cell>
          <cell r="G281" t="str">
            <v>متزوج</v>
          </cell>
          <cell r="H281">
            <v>32974</v>
          </cell>
          <cell r="I281">
            <v>36</v>
          </cell>
          <cell r="J281">
            <v>13216</v>
          </cell>
          <cell r="K281" t="str">
            <v>Mohammd.Alsalem@agriserv.sa</v>
          </cell>
          <cell r="L281" t="str">
            <v>0550061368</v>
          </cell>
          <cell r="M281" t="str">
            <v/>
          </cell>
          <cell r="N281" t="str">
            <v>المملكة العربية السعودية</v>
          </cell>
          <cell r="O281" t="str">
            <v>50000054</v>
          </cell>
          <cell r="P281" t="str">
            <v>مهندس زراعي</v>
          </cell>
          <cell r="Q281" t="str">
            <v>الدرجة 3</v>
          </cell>
          <cell r="R281" t="str">
            <v>Class A</v>
          </cell>
          <cell r="S281" t="str">
            <v>مطار الملك خالد الدولي</v>
          </cell>
          <cell r="T281" t="str">
            <v>خدمات المحجر</v>
          </cell>
          <cell r="U281" t="str">
            <v>الاذونات وخدمات المحاجر</v>
          </cell>
          <cell r="V281" t="str">
            <v>العمليات</v>
          </cell>
          <cell r="W281" t="str">
            <v>Al Riyadh</v>
          </cell>
          <cell r="X281" t="str">
            <v xml:space="preserve">الفرع </v>
          </cell>
          <cell r="Y281">
            <v>44691</v>
          </cell>
          <cell r="Z281">
            <v>4.0999999999999996</v>
          </cell>
          <cell r="AA281">
            <v>1499</v>
          </cell>
          <cell r="AB281" t="str">
            <v>نشط</v>
          </cell>
          <cell r="AC281" t="str">
            <v>400069</v>
          </cell>
          <cell r="AD281" t="str">
            <v>Hammad Almarzouqi</v>
          </cell>
          <cell r="AE281" t="str">
            <v>إعارة</v>
          </cell>
          <cell r="AF281" t="str">
            <v/>
          </cell>
          <cell r="AG281" t="str">
            <v/>
          </cell>
          <cell r="AH281" t="str">
            <v>تصنيع الاغذية</v>
          </cell>
          <cell r="AI281" t="str">
            <v>بكالوريوس</v>
          </cell>
          <cell r="AJ281">
            <v>5</v>
          </cell>
          <cell r="AK281">
            <v>2</v>
          </cell>
          <cell r="AL281">
            <v>1</v>
          </cell>
          <cell r="AM281">
            <v>2</v>
          </cell>
          <cell r="AN281" t="str">
            <v/>
          </cell>
          <cell r="AO281" t="str">
            <v>الاذونات وخدمات المحاجر</v>
          </cell>
          <cell r="AP281" t="str">
            <v>Riyad Bank</v>
          </cell>
          <cell r="AQ281" t="str">
            <v>SA5220000003330443209940</v>
          </cell>
          <cell r="AR281">
            <v>12500</v>
          </cell>
          <cell r="AS281" t="str">
            <v/>
          </cell>
          <cell r="AT281">
            <v>550</v>
          </cell>
          <cell r="AU281">
            <v>3125</v>
          </cell>
          <cell r="AV281" t="str">
            <v/>
          </cell>
        </row>
        <row r="282">
          <cell r="A282">
            <v>400101</v>
          </cell>
          <cell r="B282" t="str">
            <v>1076727724</v>
          </cell>
          <cell r="C282" t="str">
            <v>السيد</v>
          </cell>
          <cell r="D282" t="str">
            <v>Nasser Fahad Hakim Almutairi</v>
          </cell>
          <cell r="E282" t="str">
            <v>ناصر فهد حاكم المطيري</v>
          </cell>
          <cell r="F282" t="str">
            <v>Male</v>
          </cell>
          <cell r="G282" t="str">
            <v>متزوج</v>
          </cell>
          <cell r="H282">
            <v>34028</v>
          </cell>
          <cell r="I282">
            <v>33</v>
          </cell>
          <cell r="J282">
            <v>12162</v>
          </cell>
          <cell r="K282" t="str">
            <v>Nasser.Almutairi@agriserv.sa</v>
          </cell>
          <cell r="L282" t="str">
            <v>0566958877</v>
          </cell>
          <cell r="M282" t="str">
            <v/>
          </cell>
          <cell r="N282" t="str">
            <v>المملكة العربية السعودية</v>
          </cell>
          <cell r="O282" t="str">
            <v>50000000</v>
          </cell>
          <cell r="P282" t="str">
            <v>أخصائي أول ترخيص الأعمال البيطرية</v>
          </cell>
          <cell r="Q282" t="str">
            <v>الدرجة ٥</v>
          </cell>
          <cell r="R282" t="str">
            <v>Class A</v>
          </cell>
          <cell r="S282" t="str">
            <v/>
          </cell>
          <cell r="T282" t="str">
            <v>محافظة ساجر</v>
          </cell>
          <cell r="U282" t="str">
            <v>عمليات الفروع</v>
          </cell>
          <cell r="V282" t="str">
            <v>الفروع</v>
          </cell>
          <cell r="W282" t="str">
            <v>Al Riyadh</v>
          </cell>
          <cell r="X282" t="str">
            <v xml:space="preserve">الفرع </v>
          </cell>
          <cell r="Y282">
            <v>44691</v>
          </cell>
          <cell r="Z282">
            <v>4.0999999999999996</v>
          </cell>
          <cell r="AA282">
            <v>1499</v>
          </cell>
          <cell r="AB282" t="str">
            <v>نشط</v>
          </cell>
          <cell r="AC282" t="str">
            <v>400115</v>
          </cell>
          <cell r="AD282" t="str">
            <v>Hussain Alotaibi</v>
          </cell>
          <cell r="AE282" t="str">
            <v>إعارة</v>
          </cell>
          <cell r="AF282" t="str">
            <v/>
          </cell>
          <cell r="AG282" t="str">
            <v/>
          </cell>
          <cell r="AH282" t="str">
            <v>ثانوية</v>
          </cell>
          <cell r="AI282" t="str">
            <v>شهادة المدرسة الثانوية</v>
          </cell>
          <cell r="AJ282">
            <v>5</v>
          </cell>
          <cell r="AK282">
            <v>2</v>
          </cell>
          <cell r="AL282">
            <v>1</v>
          </cell>
          <cell r="AM282">
            <v>2</v>
          </cell>
          <cell r="AN282" t="str">
            <v/>
          </cell>
          <cell r="AO282" t="str">
            <v>عمليات الفروع</v>
          </cell>
          <cell r="AP282" t="str">
            <v>Al Rajhi Bank</v>
          </cell>
          <cell r="AQ282" t="str">
            <v>SA4580000371608010077403</v>
          </cell>
          <cell r="AR282">
            <v>10125</v>
          </cell>
          <cell r="AS282" t="str">
            <v/>
          </cell>
          <cell r="AT282">
            <v>512.5</v>
          </cell>
          <cell r="AU282">
            <v>2531.25</v>
          </cell>
          <cell r="AV282" t="str">
            <v/>
          </cell>
        </row>
        <row r="283">
          <cell r="A283">
            <v>400102</v>
          </cell>
          <cell r="B283" t="str">
            <v>1004852289</v>
          </cell>
          <cell r="C283" t="str">
            <v>السيد</v>
          </cell>
          <cell r="D283" t="str">
            <v>Ibraheem Altaha</v>
          </cell>
          <cell r="E283" t="str">
            <v>ابراهيم   الطه</v>
          </cell>
          <cell r="F283" t="str">
            <v>Male</v>
          </cell>
          <cell r="G283" t="str">
            <v>أعزب</v>
          </cell>
          <cell r="H283">
            <v>28797</v>
          </cell>
          <cell r="I283">
            <v>48</v>
          </cell>
          <cell r="J283">
            <v>17393</v>
          </cell>
          <cell r="K283" t="str">
            <v>E24088@agriserv.com.sa</v>
          </cell>
          <cell r="L283" t="str">
            <v>0594221739</v>
          </cell>
          <cell r="M283" t="str">
            <v/>
          </cell>
          <cell r="N283" t="str">
            <v>المملكة العربية السعودية</v>
          </cell>
          <cell r="O283" t="str">
            <v>50000933</v>
          </cell>
          <cell r="P283" t="str">
            <v>أخصائي اختبار البذور والتربة</v>
          </cell>
          <cell r="Q283" t="str">
            <v>الدرجة 4</v>
          </cell>
          <cell r="R283" t="str">
            <v/>
          </cell>
          <cell r="S283" t="str">
            <v/>
          </cell>
          <cell r="T283" t="str">
            <v>مختبرات الثروة النباتية</v>
          </cell>
          <cell r="U283" t="str">
            <v>الخدمات الصحية و الإرشاد ودعم التسويق للثروة النباتية</v>
          </cell>
          <cell r="V283" t="str">
            <v>العمليات</v>
          </cell>
          <cell r="W283" t="str">
            <v>Al Riyadh</v>
          </cell>
          <cell r="X283" t="str">
            <v xml:space="preserve">الفرع </v>
          </cell>
          <cell r="Y283">
            <v>44777</v>
          </cell>
          <cell r="Z283">
            <v>3.87</v>
          </cell>
          <cell r="AA283">
            <v>1413</v>
          </cell>
          <cell r="AB283" t="str">
            <v>غير نشط</v>
          </cell>
          <cell r="AC283" t="str">
            <v>400208</v>
          </cell>
          <cell r="AD283" t="str">
            <v>Hani Alrashid</v>
          </cell>
          <cell r="AE283" t="str">
            <v>إعارة</v>
          </cell>
          <cell r="AF283">
            <v>45016</v>
          </cell>
          <cell r="AG283" t="str">
            <v/>
          </cell>
          <cell r="AH283" t="str">
            <v/>
          </cell>
          <cell r="AI283" t="str">
            <v/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 t="str">
            <v/>
          </cell>
          <cell r="AO283" t="str">
            <v>Corp Extension &amp; Protection</v>
          </cell>
          <cell r="AP283" t="str">
            <v>Riyad Bank</v>
          </cell>
          <cell r="AQ283" t="str">
            <v>SA8120000003340319169940</v>
          </cell>
          <cell r="AR283">
            <v>10500</v>
          </cell>
          <cell r="AS283" t="str">
            <v/>
          </cell>
          <cell r="AT283">
            <v>350</v>
          </cell>
          <cell r="AU283">
            <v>2625</v>
          </cell>
          <cell r="AV283" t="str">
            <v/>
          </cell>
        </row>
        <row r="284">
          <cell r="A284">
            <v>400103</v>
          </cell>
          <cell r="B284" t="str">
            <v>1048495376</v>
          </cell>
          <cell r="C284" t="str">
            <v>السيد</v>
          </cell>
          <cell r="D284" t="str">
            <v>Matar Homoud Meshil Alrogi</v>
          </cell>
          <cell r="E284" t="str">
            <v>مطر حمود مسحل الروقي</v>
          </cell>
          <cell r="F284" t="str">
            <v>Male</v>
          </cell>
          <cell r="G284" t="str">
            <v>متزوج</v>
          </cell>
          <cell r="H284">
            <v>25812</v>
          </cell>
          <cell r="I284">
            <v>56</v>
          </cell>
          <cell r="J284">
            <v>20378</v>
          </cell>
          <cell r="K284" t="str">
            <v>Matar.Alrogi@agriserv.sa</v>
          </cell>
          <cell r="L284" t="str">
            <v>0507988271</v>
          </cell>
          <cell r="M284" t="str">
            <v/>
          </cell>
          <cell r="N284" t="str">
            <v>المملكة العربية السعودية</v>
          </cell>
          <cell r="O284" t="str">
            <v>50000934</v>
          </cell>
          <cell r="P284" t="str">
            <v>أخصائي الاستكشاف</v>
          </cell>
          <cell r="Q284" t="str">
            <v>الدرجة 4</v>
          </cell>
          <cell r="R284" t="str">
            <v>Class A</v>
          </cell>
          <cell r="S284" t="str">
            <v/>
          </cell>
          <cell r="T284" t="str">
            <v>محافظة ساجر</v>
          </cell>
          <cell r="U284" t="str">
            <v>عمليات الفروع</v>
          </cell>
          <cell r="V284" t="str">
            <v>الفروع</v>
          </cell>
          <cell r="W284" t="str">
            <v>Al Riyadh</v>
          </cell>
          <cell r="X284" t="str">
            <v xml:space="preserve">الفرع </v>
          </cell>
          <cell r="Y284">
            <v>44777</v>
          </cell>
          <cell r="Z284">
            <v>3.87</v>
          </cell>
          <cell r="AA284">
            <v>1413</v>
          </cell>
          <cell r="AB284" t="str">
            <v>نشط</v>
          </cell>
          <cell r="AC284" t="str">
            <v>400115</v>
          </cell>
          <cell r="AD284" t="str">
            <v>Hussain Alotaibi</v>
          </cell>
          <cell r="AE284" t="str">
            <v>إعارة</v>
          </cell>
          <cell r="AF284" t="str">
            <v/>
          </cell>
          <cell r="AG284" t="str">
            <v/>
          </cell>
          <cell r="AH284" t="str">
            <v>نبات</v>
          </cell>
          <cell r="AI284" t="str">
            <v>دبلوم</v>
          </cell>
          <cell r="AJ284">
            <v>3</v>
          </cell>
          <cell r="AK284">
            <v>2</v>
          </cell>
          <cell r="AL284">
            <v>1</v>
          </cell>
          <cell r="AM284">
            <v>0</v>
          </cell>
          <cell r="AN284" t="str">
            <v/>
          </cell>
          <cell r="AO284" t="str">
            <v>عمليات الفروع</v>
          </cell>
          <cell r="AP284" t="str">
            <v>Al Rajhi Bank</v>
          </cell>
          <cell r="AQ284" t="str">
            <v>SA7580000196608010045940</v>
          </cell>
          <cell r="AR284">
            <v>14915</v>
          </cell>
          <cell r="AS284" t="str">
            <v/>
          </cell>
          <cell r="AT284">
            <v>791.5</v>
          </cell>
          <cell r="AU284">
            <v>3728.75</v>
          </cell>
          <cell r="AV284" t="str">
            <v/>
          </cell>
        </row>
        <row r="285">
          <cell r="A285">
            <v>400104</v>
          </cell>
          <cell r="B285" t="str">
            <v>1040691477</v>
          </cell>
          <cell r="C285" t="str">
            <v>السيد</v>
          </cell>
          <cell r="D285" t="str">
            <v>Mohammed Aljuaidi</v>
          </cell>
          <cell r="E285" t="str">
            <v>محمد   الجعيدي</v>
          </cell>
          <cell r="F285" t="str">
            <v>Male</v>
          </cell>
          <cell r="G285" t="str">
            <v>أعزب</v>
          </cell>
          <cell r="H285">
            <v>27940</v>
          </cell>
          <cell r="I285">
            <v>50</v>
          </cell>
          <cell r="J285">
            <v>18250</v>
          </cell>
          <cell r="K285" t="str">
            <v>E11769@agriserv.com.sa</v>
          </cell>
          <cell r="L285" t="str">
            <v/>
          </cell>
          <cell r="M285" t="str">
            <v/>
          </cell>
          <cell r="N285" t="str">
            <v>المملكة العربية السعودية</v>
          </cell>
          <cell r="O285" t="str">
            <v>50000935</v>
          </cell>
          <cell r="P285" t="str">
            <v>أخصائي تسجيل المنتجات الزراعية</v>
          </cell>
          <cell r="Q285" t="str">
            <v>الدرجة ٥</v>
          </cell>
          <cell r="R285" t="str">
            <v/>
          </cell>
          <cell r="S285" t="str">
            <v/>
          </cell>
          <cell r="T285" t="str">
            <v>مختبرات الثروة النباتية</v>
          </cell>
          <cell r="U285" t="str">
            <v>الخدمات الصحية و الإرشاد ودعم التسويق للثروة النباتية</v>
          </cell>
          <cell r="V285" t="str">
            <v>العمليات</v>
          </cell>
          <cell r="W285" t="str">
            <v>Al Riyadh</v>
          </cell>
          <cell r="X285" t="str">
            <v xml:space="preserve">الفرع </v>
          </cell>
          <cell r="Y285">
            <v>44777</v>
          </cell>
          <cell r="Z285">
            <v>3.87</v>
          </cell>
          <cell r="AA285">
            <v>1413</v>
          </cell>
          <cell r="AB285" t="str">
            <v>غير نشط</v>
          </cell>
          <cell r="AC285" t="str">
            <v/>
          </cell>
          <cell r="AD285" t="str">
            <v xml:space="preserve"> </v>
          </cell>
          <cell r="AE285" t="str">
            <v>إعارة</v>
          </cell>
          <cell r="AF285">
            <v>44804</v>
          </cell>
          <cell r="AG285" t="str">
            <v/>
          </cell>
          <cell r="AH285" t="str">
            <v/>
          </cell>
          <cell r="AI285" t="str">
            <v/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 t="str">
            <v/>
          </cell>
          <cell r="AO285" t="str">
            <v>Corp Extension &amp; Protection</v>
          </cell>
          <cell r="AP285" t="str">
            <v>Al Rajhi Bank</v>
          </cell>
          <cell r="AQ285" t="str">
            <v>SA8680000668608010424110</v>
          </cell>
          <cell r="AR285">
            <v>13505</v>
          </cell>
          <cell r="AS285" t="str">
            <v/>
          </cell>
          <cell r="AT285">
            <v>650.5</v>
          </cell>
          <cell r="AU285">
            <v>3376.25</v>
          </cell>
          <cell r="AV285" t="str">
            <v/>
          </cell>
        </row>
        <row r="286">
          <cell r="A286">
            <v>400105</v>
          </cell>
          <cell r="B286" t="str">
            <v>1018588044</v>
          </cell>
          <cell r="C286" t="str">
            <v>السيد</v>
          </cell>
          <cell r="D286" t="str">
            <v>Hani Abdullah Mohammed Boumhidi</v>
          </cell>
          <cell r="E286" t="str">
            <v>هاني عبدالله محمد بومهيدي</v>
          </cell>
          <cell r="F286" t="str">
            <v>Male</v>
          </cell>
          <cell r="G286" t="str">
            <v>متزوج</v>
          </cell>
          <cell r="H286">
            <v>30460</v>
          </cell>
          <cell r="I286">
            <v>43</v>
          </cell>
          <cell r="J286">
            <v>15730</v>
          </cell>
          <cell r="K286" t="str">
            <v>Hani.Boumhidi@agriserv.sa</v>
          </cell>
          <cell r="L286" t="str">
            <v>0558804441</v>
          </cell>
          <cell r="M286" t="str">
            <v>3101</v>
          </cell>
          <cell r="N286" t="str">
            <v>المملكة العربية السعودية</v>
          </cell>
          <cell r="O286" t="str">
            <v>50000936</v>
          </cell>
          <cell r="P286" t="str">
            <v>باحث ثروة سمكية</v>
          </cell>
          <cell r="Q286" t="str">
            <v>الدرجة 3</v>
          </cell>
          <cell r="R286" t="str">
            <v>Class A</v>
          </cell>
          <cell r="S286" t="str">
            <v/>
          </cell>
          <cell r="T286" t="str">
            <v>مكافحة الآفات</v>
          </cell>
          <cell r="U286" t="str">
            <v>الخدمات النباتيةِ</v>
          </cell>
          <cell r="V286" t="str">
            <v>العمليات</v>
          </cell>
          <cell r="W286" t="str">
            <v>Head Quarter</v>
          </cell>
          <cell r="X286" t="str">
            <v xml:space="preserve">المقر الرئيسي </v>
          </cell>
          <cell r="Y286">
            <v>44777</v>
          </cell>
          <cell r="Z286">
            <v>3.87</v>
          </cell>
          <cell r="AA286">
            <v>1413</v>
          </cell>
          <cell r="AB286" t="str">
            <v>نشط</v>
          </cell>
          <cell r="AC286" t="str">
            <v>100136</v>
          </cell>
          <cell r="AD286" t="str">
            <v>Yagoub Aljraid</v>
          </cell>
          <cell r="AE286" t="str">
            <v>إعارة</v>
          </cell>
          <cell r="AF286" t="str">
            <v/>
          </cell>
          <cell r="AG286" t="str">
            <v/>
          </cell>
          <cell r="AH286" t="str">
            <v>الثروة المائية</v>
          </cell>
          <cell r="AI286" t="str">
            <v>بكالوريوس</v>
          </cell>
          <cell r="AJ286">
            <v>6</v>
          </cell>
          <cell r="AK286">
            <v>3</v>
          </cell>
          <cell r="AL286">
            <v>1</v>
          </cell>
          <cell r="AM286">
            <v>2</v>
          </cell>
          <cell r="AN286" t="str">
            <v/>
          </cell>
          <cell r="AO286" t="str">
            <v>الخدمات النباتيةِ</v>
          </cell>
          <cell r="AP286" t="str">
            <v>Saudi National Bank</v>
          </cell>
          <cell r="AQ286" t="str">
            <v xml:space="preserve">SA5010000006965546000105 </v>
          </cell>
          <cell r="AR286">
            <v>10500</v>
          </cell>
          <cell r="AS286" t="str">
            <v/>
          </cell>
          <cell r="AT286">
            <v>350</v>
          </cell>
          <cell r="AU286">
            <v>2625</v>
          </cell>
          <cell r="AV286" t="str">
            <v/>
          </cell>
        </row>
        <row r="287">
          <cell r="A287">
            <v>400106</v>
          </cell>
          <cell r="B287" t="str">
            <v>1031527839</v>
          </cell>
          <cell r="C287" t="str">
            <v>السيد</v>
          </cell>
          <cell r="D287" t="str">
            <v>Turki Nasser Abdulaziz Almukhaimer</v>
          </cell>
          <cell r="E287" t="str">
            <v>تركي ناصر عبدالعزيز المخيمر</v>
          </cell>
          <cell r="F287" t="str">
            <v>Male</v>
          </cell>
          <cell r="G287" t="str">
            <v>متزوج</v>
          </cell>
          <cell r="H287">
            <v>29002</v>
          </cell>
          <cell r="I287">
            <v>47</v>
          </cell>
          <cell r="J287">
            <v>17188</v>
          </cell>
          <cell r="K287" t="str">
            <v>Turki.Almukhaimer@agriserv.sa</v>
          </cell>
          <cell r="L287" t="str">
            <v>0540990456</v>
          </cell>
          <cell r="M287" t="str">
            <v/>
          </cell>
          <cell r="N287" t="str">
            <v>المملكة العربية السعودية</v>
          </cell>
          <cell r="O287" t="str">
            <v>50000937</v>
          </cell>
          <cell r="P287" t="str">
            <v>طبيب بيطري</v>
          </cell>
          <cell r="Q287" t="str">
            <v>الدرجة 3</v>
          </cell>
          <cell r="R287" t="str">
            <v>Class A</v>
          </cell>
          <cell r="S287" t="str">
            <v/>
          </cell>
          <cell r="T287" t="str">
            <v>محافظة  المجمعه</v>
          </cell>
          <cell r="U287" t="str">
            <v>عمليات الفروع</v>
          </cell>
          <cell r="V287" t="str">
            <v>الفروع</v>
          </cell>
          <cell r="W287" t="str">
            <v>Al Riyadh</v>
          </cell>
          <cell r="X287" t="str">
            <v xml:space="preserve">الفرع </v>
          </cell>
          <cell r="Y287">
            <v>44777</v>
          </cell>
          <cell r="Z287">
            <v>3.87</v>
          </cell>
          <cell r="AA287">
            <v>1413</v>
          </cell>
          <cell r="AB287" t="str">
            <v>نشط</v>
          </cell>
          <cell r="AC287" t="str">
            <v>400146</v>
          </cell>
          <cell r="AD287" t="str">
            <v>Talal Alotaibi</v>
          </cell>
          <cell r="AE287" t="str">
            <v>إعارة</v>
          </cell>
          <cell r="AF287" t="str">
            <v/>
          </cell>
          <cell r="AG287" t="str">
            <v/>
          </cell>
          <cell r="AH287" t="str">
            <v>علم الإحياء</v>
          </cell>
          <cell r="AI287" t="str">
            <v>بكالوريوس</v>
          </cell>
          <cell r="AJ287">
            <v>5</v>
          </cell>
          <cell r="AK287">
            <v>4</v>
          </cell>
          <cell r="AL287">
            <v>1</v>
          </cell>
          <cell r="AM287">
            <v>0</v>
          </cell>
          <cell r="AN287" t="str">
            <v/>
          </cell>
          <cell r="AO287" t="str">
            <v>عمليات الفروع</v>
          </cell>
          <cell r="AP287" t="str">
            <v>Al Rajhi Bank</v>
          </cell>
          <cell r="AQ287" t="str">
            <v>SA1680000160608010055495</v>
          </cell>
          <cell r="AR287">
            <v>16395</v>
          </cell>
          <cell r="AS287" t="str">
            <v/>
          </cell>
          <cell r="AT287">
            <v>939.5</v>
          </cell>
          <cell r="AU287">
            <v>4098.75</v>
          </cell>
          <cell r="AV287" t="str">
            <v/>
          </cell>
        </row>
        <row r="288">
          <cell r="A288">
            <v>400107</v>
          </cell>
          <cell r="B288" t="str">
            <v>1066773100</v>
          </cell>
          <cell r="C288" t="str">
            <v>السيد</v>
          </cell>
          <cell r="D288" t="str">
            <v>Mohammd Khalifa Abdalmuhsen Alebrahim</v>
          </cell>
          <cell r="E288" t="str">
            <v>محمد خليفه عبدالمحسن البراهيم</v>
          </cell>
          <cell r="F288" t="str">
            <v>Male</v>
          </cell>
          <cell r="G288" t="str">
            <v>متزوج</v>
          </cell>
          <cell r="H288">
            <v>33048</v>
          </cell>
          <cell r="I288">
            <v>36</v>
          </cell>
          <cell r="J288">
            <v>13142</v>
          </cell>
          <cell r="K288" t="str">
            <v>Mohammd.Alebrahim@agriserv.sa</v>
          </cell>
          <cell r="L288" t="str">
            <v>0544400410</v>
          </cell>
          <cell r="M288" t="str">
            <v/>
          </cell>
          <cell r="N288" t="str">
            <v>المملكة العربية السعودية</v>
          </cell>
          <cell r="O288" t="str">
            <v>50000938</v>
          </cell>
          <cell r="P288" t="str">
            <v>طبيب بيطري</v>
          </cell>
          <cell r="Q288" t="str">
            <v>الدرجة 3</v>
          </cell>
          <cell r="R288" t="str">
            <v>Class A</v>
          </cell>
          <cell r="S288" t="str">
            <v/>
          </cell>
          <cell r="T288" t="str">
            <v>محافظة  الخرج</v>
          </cell>
          <cell r="U288" t="str">
            <v>عمليات الفروع</v>
          </cell>
          <cell r="V288" t="str">
            <v>الفروع</v>
          </cell>
          <cell r="W288" t="str">
            <v>Al Riyadh</v>
          </cell>
          <cell r="X288" t="str">
            <v xml:space="preserve">الفرع </v>
          </cell>
          <cell r="Y288">
            <v>44777</v>
          </cell>
          <cell r="Z288">
            <v>3.87</v>
          </cell>
          <cell r="AA288">
            <v>1413</v>
          </cell>
          <cell r="AB288" t="str">
            <v>نشط</v>
          </cell>
          <cell r="AC288" t="str">
            <v>400233</v>
          </cell>
          <cell r="AD288" t="str">
            <v>Ahmed Alhajri</v>
          </cell>
          <cell r="AE288" t="str">
            <v>إعارة</v>
          </cell>
          <cell r="AF288" t="str">
            <v/>
          </cell>
          <cell r="AG288" t="str">
            <v/>
          </cell>
          <cell r="AH288" t="str">
            <v>طب بيطري</v>
          </cell>
          <cell r="AI288" t="str">
            <v>بكالوريوس</v>
          </cell>
          <cell r="AJ288">
            <v>6</v>
          </cell>
          <cell r="AK288">
            <v>3</v>
          </cell>
          <cell r="AL288">
            <v>1</v>
          </cell>
          <cell r="AM288">
            <v>2</v>
          </cell>
          <cell r="AN288" t="str">
            <v/>
          </cell>
          <cell r="AO288" t="str">
            <v>عمليات الفروع</v>
          </cell>
          <cell r="AP288" t="str">
            <v>Riyad Bank</v>
          </cell>
          <cell r="AQ288" t="str">
            <v>SA8420000003170018149940</v>
          </cell>
          <cell r="AR288">
            <v>12565</v>
          </cell>
          <cell r="AS288" t="str">
            <v/>
          </cell>
          <cell r="AT288">
            <v>556.5</v>
          </cell>
          <cell r="AU288">
            <v>3141.25</v>
          </cell>
          <cell r="AV288" t="str">
            <v/>
          </cell>
        </row>
        <row r="289">
          <cell r="A289">
            <v>400108</v>
          </cell>
          <cell r="B289" t="str">
            <v>1002518734</v>
          </cell>
          <cell r="C289" t="str">
            <v>السيد</v>
          </cell>
          <cell r="D289" t="str">
            <v>Abdullah Saleh Youssef Aleid</v>
          </cell>
          <cell r="E289" t="str">
            <v>عبدالله صالح يوسف العيد</v>
          </cell>
          <cell r="F289" t="str">
            <v>Male</v>
          </cell>
          <cell r="G289" t="str">
            <v>متزوج</v>
          </cell>
          <cell r="H289">
            <v>24749</v>
          </cell>
          <cell r="I289">
            <v>59</v>
          </cell>
          <cell r="J289">
            <v>21441</v>
          </cell>
          <cell r="K289" t="str">
            <v>Abdullah.AlEid@agriserv.sa</v>
          </cell>
          <cell r="L289" t="str">
            <v>0593001926</v>
          </cell>
          <cell r="M289" t="str">
            <v/>
          </cell>
          <cell r="N289" t="str">
            <v>المملكة العربية السعودية</v>
          </cell>
          <cell r="O289" t="str">
            <v>50000939</v>
          </cell>
          <cell r="P289" t="str">
            <v>طبيب بيطري مساعد</v>
          </cell>
          <cell r="Q289" t="str">
            <v>2B الدرجة</v>
          </cell>
          <cell r="R289" t="str">
            <v>Class A</v>
          </cell>
          <cell r="S289" t="str">
            <v/>
          </cell>
          <cell r="T289" t="str">
            <v>عيادة بشمال الرياض</v>
          </cell>
          <cell r="U289" t="str">
            <v>عمليات الفروع</v>
          </cell>
          <cell r="V289" t="str">
            <v>الفروع</v>
          </cell>
          <cell r="W289" t="str">
            <v>Al Riyadh</v>
          </cell>
          <cell r="X289" t="str">
            <v xml:space="preserve">الفرع </v>
          </cell>
          <cell r="Y289">
            <v>44777</v>
          </cell>
          <cell r="Z289">
            <v>3.87</v>
          </cell>
          <cell r="AA289">
            <v>1413</v>
          </cell>
          <cell r="AB289" t="str">
            <v>غير نشط</v>
          </cell>
          <cell r="AC289" t="str">
            <v>400220</v>
          </cell>
          <cell r="AD289" t="str">
            <v>Nahedh Alhaydan</v>
          </cell>
          <cell r="AE289" t="str">
            <v>إعارة</v>
          </cell>
          <cell r="AF289">
            <v>46011</v>
          </cell>
          <cell r="AG289" t="str">
            <v/>
          </cell>
          <cell r="AH289" t="str">
            <v>طب بيطري</v>
          </cell>
          <cell r="AI289" t="str">
            <v>دبلوم</v>
          </cell>
          <cell r="AJ289">
            <v>12</v>
          </cell>
          <cell r="AK289">
            <v>11</v>
          </cell>
          <cell r="AL289">
            <v>1</v>
          </cell>
          <cell r="AM289">
            <v>0</v>
          </cell>
          <cell r="AN289" t="str">
            <v/>
          </cell>
          <cell r="AO289" t="str">
            <v>Livestock Extension &amp; Protection</v>
          </cell>
          <cell r="AP289" t="str">
            <v>Riyad Bank</v>
          </cell>
          <cell r="AQ289" t="str">
            <v>SA0920000006121131089906</v>
          </cell>
          <cell r="AR289">
            <v>12575</v>
          </cell>
          <cell r="AS289" t="str">
            <v/>
          </cell>
          <cell r="AT289">
            <v>100</v>
          </cell>
          <cell r="AU289">
            <v>3143.75</v>
          </cell>
          <cell r="AV289" t="str">
            <v/>
          </cell>
        </row>
        <row r="290">
          <cell r="A290">
            <v>400109</v>
          </cell>
          <cell r="B290" t="str">
            <v>1056020850</v>
          </cell>
          <cell r="C290" t="str">
            <v>السيد</v>
          </cell>
          <cell r="D290" t="str">
            <v>Rashid Nasser Muhmmad Aldossari</v>
          </cell>
          <cell r="E290" t="str">
            <v>راشد ناصر محمد الدوسري</v>
          </cell>
          <cell r="F290" t="str">
            <v>Male</v>
          </cell>
          <cell r="G290" t="str">
            <v>متزوج</v>
          </cell>
          <cell r="H290">
            <v>26521</v>
          </cell>
          <cell r="I290">
            <v>54</v>
          </cell>
          <cell r="J290">
            <v>19669</v>
          </cell>
          <cell r="K290" t="str">
            <v>Rashid.Aldossari@agriserv.sa</v>
          </cell>
          <cell r="L290" t="str">
            <v>0556580016</v>
          </cell>
          <cell r="M290" t="str">
            <v/>
          </cell>
          <cell r="N290" t="str">
            <v>المملكة العربية السعودية</v>
          </cell>
          <cell r="O290" t="str">
            <v>50000940</v>
          </cell>
          <cell r="P290" t="str">
            <v>فني زراعي</v>
          </cell>
          <cell r="Q290" t="str">
            <v>2A الدرجة</v>
          </cell>
          <cell r="R290" t="str">
            <v>Class A</v>
          </cell>
          <cell r="S290" t="str">
            <v/>
          </cell>
          <cell r="T290" t="str">
            <v>محافظة  وادي الدواسر</v>
          </cell>
          <cell r="U290" t="str">
            <v>عمليات الفروع</v>
          </cell>
          <cell r="V290" t="str">
            <v>الفروع</v>
          </cell>
          <cell r="W290" t="str">
            <v>Al Riyadh</v>
          </cell>
          <cell r="X290" t="str">
            <v xml:space="preserve">الفرع </v>
          </cell>
          <cell r="Y290">
            <v>44777</v>
          </cell>
          <cell r="Z290">
            <v>3.87</v>
          </cell>
          <cell r="AA290">
            <v>1413</v>
          </cell>
          <cell r="AB290" t="str">
            <v>غير نشط</v>
          </cell>
          <cell r="AC290" t="str">
            <v>400252</v>
          </cell>
          <cell r="AD290" t="str">
            <v>Adnan Alhashem</v>
          </cell>
          <cell r="AE290" t="str">
            <v>إعارة</v>
          </cell>
          <cell r="AF290">
            <v>45715</v>
          </cell>
          <cell r="AG290" t="str">
            <v/>
          </cell>
          <cell r="AH290" t="str">
            <v>انتاج نباتى</v>
          </cell>
          <cell r="AI290" t="str">
            <v>دبلوم</v>
          </cell>
          <cell r="AJ290">
            <v>8</v>
          </cell>
          <cell r="AK290">
            <v>6</v>
          </cell>
          <cell r="AL290">
            <v>1</v>
          </cell>
          <cell r="AM290">
            <v>1</v>
          </cell>
          <cell r="AN290" t="str">
            <v/>
          </cell>
          <cell r="AO290" t="str">
            <v>Corp Extension &amp; Protection</v>
          </cell>
          <cell r="AP290" t="str">
            <v>Riyad Bank</v>
          </cell>
          <cell r="AQ290" t="str">
            <v>SA2620000005170611329940</v>
          </cell>
          <cell r="AR290">
            <v>11745</v>
          </cell>
          <cell r="AS290" t="str">
            <v/>
          </cell>
          <cell r="AT290">
            <v>100</v>
          </cell>
          <cell r="AU290">
            <v>2936.25</v>
          </cell>
          <cell r="AV290" t="str">
            <v/>
          </cell>
        </row>
        <row r="291">
          <cell r="A291">
            <v>400110</v>
          </cell>
          <cell r="B291" t="str">
            <v>1013942196</v>
          </cell>
          <cell r="C291" t="str">
            <v>السيد</v>
          </cell>
          <cell r="D291" t="str">
            <v>Majed Alatweleb</v>
          </cell>
          <cell r="E291" t="str">
            <v>ماجد   الاتويب</v>
          </cell>
          <cell r="F291" t="str">
            <v>Male</v>
          </cell>
          <cell r="G291" t="str">
            <v>أعزب</v>
          </cell>
          <cell r="H291">
            <v>27573</v>
          </cell>
          <cell r="I291">
            <v>51</v>
          </cell>
          <cell r="J291">
            <v>18617</v>
          </cell>
          <cell r="K291" t="str">
            <v>E24089@agriserv.com.sa</v>
          </cell>
          <cell r="L291" t="str">
            <v>0507034966</v>
          </cell>
          <cell r="M291" t="str">
            <v/>
          </cell>
          <cell r="N291" t="str">
            <v>المملكة العربية السعودية</v>
          </cell>
          <cell r="O291" t="str">
            <v>50000941</v>
          </cell>
          <cell r="P291" t="str">
            <v>فني زراعي</v>
          </cell>
          <cell r="Q291" t="str">
            <v>2A الدرجة</v>
          </cell>
          <cell r="R291" t="str">
            <v/>
          </cell>
          <cell r="S291" t="str">
            <v/>
          </cell>
          <cell r="T291" t="str">
            <v>مختبرات الثروة النباتية</v>
          </cell>
          <cell r="U291" t="str">
            <v>الخدمات الصحية و الإرشاد ودعم التسويق للثروة النباتية</v>
          </cell>
          <cell r="V291" t="str">
            <v>العمليات</v>
          </cell>
          <cell r="W291" t="str">
            <v>Al Riyadh</v>
          </cell>
          <cell r="X291" t="str">
            <v xml:space="preserve">الفرع </v>
          </cell>
          <cell r="Y291">
            <v>44777</v>
          </cell>
          <cell r="Z291">
            <v>3.87</v>
          </cell>
          <cell r="AA291">
            <v>1413</v>
          </cell>
          <cell r="AB291" t="str">
            <v>غير نشط</v>
          </cell>
          <cell r="AC291" t="str">
            <v>400112</v>
          </cell>
          <cell r="AD291" t="str">
            <v>Saaid Al Dhafrah</v>
          </cell>
          <cell r="AE291" t="str">
            <v>إعارة</v>
          </cell>
          <cell r="AF291">
            <v>44957</v>
          </cell>
          <cell r="AG291" t="str">
            <v/>
          </cell>
          <cell r="AH291" t="str">
            <v/>
          </cell>
          <cell r="AI291" t="str">
            <v/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 t="str">
            <v/>
          </cell>
          <cell r="AO291" t="str">
            <v>Corp Extension &amp; Protection</v>
          </cell>
          <cell r="AP291" t="str">
            <v>Riyad Bank</v>
          </cell>
          <cell r="AQ291" t="str">
            <v>SA6520000003301147979940</v>
          </cell>
          <cell r="AR291">
            <v>11155</v>
          </cell>
          <cell r="AS291" t="str">
            <v/>
          </cell>
          <cell r="AT291">
            <v>100</v>
          </cell>
          <cell r="AU291">
            <v>2788.75</v>
          </cell>
          <cell r="AV291" t="str">
            <v/>
          </cell>
        </row>
        <row r="292">
          <cell r="A292">
            <v>400111</v>
          </cell>
          <cell r="B292" t="str">
            <v>1059465656</v>
          </cell>
          <cell r="C292" t="str">
            <v>السيد</v>
          </cell>
          <cell r="D292" t="str">
            <v>Sami Alotaibi</v>
          </cell>
          <cell r="E292" t="str">
            <v>سامي   العتيبي</v>
          </cell>
          <cell r="F292" t="str">
            <v>Male</v>
          </cell>
          <cell r="G292" t="str">
            <v>أعزب</v>
          </cell>
          <cell r="H292">
            <v>32294</v>
          </cell>
          <cell r="I292">
            <v>38</v>
          </cell>
          <cell r="J292">
            <v>13896</v>
          </cell>
          <cell r="K292" t="str">
            <v>SAOALOTAIBI@agriserv.com.sa</v>
          </cell>
          <cell r="L292" t="str">
            <v>0532547759</v>
          </cell>
          <cell r="M292" t="str">
            <v/>
          </cell>
          <cell r="N292" t="str">
            <v>المملكة العربية السعودية</v>
          </cell>
          <cell r="O292" t="str">
            <v>50000942</v>
          </cell>
          <cell r="P292" t="str">
            <v>فني مختبرات</v>
          </cell>
          <cell r="Q292" t="str">
            <v>2A الدرجة</v>
          </cell>
          <cell r="R292" t="str">
            <v/>
          </cell>
          <cell r="S292" t="str">
            <v/>
          </cell>
          <cell r="T292" t="str">
            <v>مختبرات الثروة النباتية</v>
          </cell>
          <cell r="U292" t="str">
            <v>الخدمات الصحية و الإرشاد ودعم التسويق للثروة النباتية</v>
          </cell>
          <cell r="V292" t="str">
            <v>العمليات</v>
          </cell>
          <cell r="W292" t="str">
            <v>Al Riyadh</v>
          </cell>
          <cell r="X292" t="str">
            <v xml:space="preserve">الفرع </v>
          </cell>
          <cell r="Y292">
            <v>44777</v>
          </cell>
          <cell r="Z292">
            <v>3.87</v>
          </cell>
          <cell r="AA292">
            <v>1413</v>
          </cell>
          <cell r="AB292" t="str">
            <v>غير نشط</v>
          </cell>
          <cell r="AC292" t="str">
            <v>400208</v>
          </cell>
          <cell r="AD292" t="str">
            <v>Hani Alrashid</v>
          </cell>
          <cell r="AE292" t="str">
            <v>إعارة</v>
          </cell>
          <cell r="AF292">
            <v>44957</v>
          </cell>
          <cell r="AG292" t="str">
            <v/>
          </cell>
          <cell r="AH292" t="str">
            <v/>
          </cell>
          <cell r="AI292" t="str">
            <v/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 t="str">
            <v/>
          </cell>
          <cell r="AO292" t="str">
            <v>Corp Extension &amp; Protection</v>
          </cell>
          <cell r="AP292" t="str">
            <v>Riyad Bank</v>
          </cell>
          <cell r="AQ292" t="str">
            <v>SA8520000002210030469940</v>
          </cell>
          <cell r="AR292">
            <v>10660</v>
          </cell>
          <cell r="AS292" t="str">
            <v/>
          </cell>
          <cell r="AT292">
            <v>100</v>
          </cell>
          <cell r="AU292">
            <v>2665</v>
          </cell>
          <cell r="AV292" t="str">
            <v/>
          </cell>
        </row>
        <row r="293">
          <cell r="A293">
            <v>400112</v>
          </cell>
          <cell r="B293" t="str">
            <v>1036502548</v>
          </cell>
          <cell r="C293" t="str">
            <v>السيد</v>
          </cell>
          <cell r="D293" t="str">
            <v>Saaid Yahya Ali Al Dhafrah</v>
          </cell>
          <cell r="E293" t="str">
            <v>سعيد يحيى علي ال ظفره</v>
          </cell>
          <cell r="F293" t="str">
            <v>Male</v>
          </cell>
          <cell r="G293" t="str">
            <v>متزوج</v>
          </cell>
          <cell r="H293">
            <v>26329</v>
          </cell>
          <cell r="I293">
            <v>54</v>
          </cell>
          <cell r="J293">
            <v>19861</v>
          </cell>
          <cell r="K293" t="str">
            <v>Saeed.Aldhafrah@agriserv.sa</v>
          </cell>
          <cell r="L293" t="str">
            <v>0534337773</v>
          </cell>
          <cell r="M293" t="str">
            <v>5006</v>
          </cell>
          <cell r="N293" t="str">
            <v>المملكة العربية السعودية</v>
          </cell>
          <cell r="O293" t="str">
            <v>50000943</v>
          </cell>
          <cell r="P293" t="str">
            <v>مساعد مشرف السيطرة على أمراض المحاصيل الزراعية ومكافحتها</v>
          </cell>
          <cell r="Q293" t="str">
            <v>الدرجة ٥</v>
          </cell>
          <cell r="R293" t="str">
            <v>Class A</v>
          </cell>
          <cell r="S293" t="str">
            <v/>
          </cell>
          <cell r="T293" t="str">
            <v/>
          </cell>
          <cell r="U293" t="str">
            <v>عمليات الفروع</v>
          </cell>
          <cell r="V293" t="str">
            <v>الفروع</v>
          </cell>
          <cell r="W293" t="str">
            <v>Head Quarter</v>
          </cell>
          <cell r="X293" t="str">
            <v xml:space="preserve">المقر الرئيسي </v>
          </cell>
          <cell r="Y293">
            <v>44777</v>
          </cell>
          <cell r="Z293">
            <v>3.87</v>
          </cell>
          <cell r="AA293">
            <v>1413</v>
          </cell>
          <cell r="AB293" t="str">
            <v>نشط</v>
          </cell>
          <cell r="AC293" t="str">
            <v>100063</v>
          </cell>
          <cell r="AD293" t="str">
            <v>Hazza Alruwaili</v>
          </cell>
          <cell r="AE293" t="str">
            <v>إعارة</v>
          </cell>
          <cell r="AF293" t="str">
            <v/>
          </cell>
          <cell r="AG293" t="str">
            <v/>
          </cell>
          <cell r="AH293" t="str">
            <v>هندسة زراعية</v>
          </cell>
          <cell r="AI293" t="str">
            <v>بكالوريوس</v>
          </cell>
          <cell r="AJ293">
            <v>6</v>
          </cell>
          <cell r="AK293">
            <v>5</v>
          </cell>
          <cell r="AL293">
            <v>1</v>
          </cell>
          <cell r="AM293">
            <v>0</v>
          </cell>
          <cell r="AN293" t="str">
            <v/>
          </cell>
          <cell r="AO293" t="str">
            <v>عمليات الفروع</v>
          </cell>
          <cell r="AP293" t="str">
            <v>Saudi National Bank</v>
          </cell>
          <cell r="AQ293" t="str">
            <v>SA7310000024852000000109</v>
          </cell>
          <cell r="AR293">
            <v>16350</v>
          </cell>
          <cell r="AS293" t="str">
            <v/>
          </cell>
          <cell r="AT293">
            <v>735</v>
          </cell>
          <cell r="AU293">
            <v>4087.5</v>
          </cell>
          <cell r="AV293" t="str">
            <v/>
          </cell>
        </row>
        <row r="294">
          <cell r="A294">
            <v>400113</v>
          </cell>
          <cell r="B294" t="str">
            <v>1007680158</v>
          </cell>
          <cell r="C294" t="str">
            <v>السيد</v>
          </cell>
          <cell r="D294" t="str">
            <v>Zaki Almrehel</v>
          </cell>
          <cell r="E294" t="str">
            <v>زكي   المريحيل</v>
          </cell>
          <cell r="F294" t="str">
            <v>Male</v>
          </cell>
          <cell r="G294" t="str">
            <v>أعزب</v>
          </cell>
          <cell r="H294">
            <v>28721</v>
          </cell>
          <cell r="I294">
            <v>48</v>
          </cell>
          <cell r="J294">
            <v>17469</v>
          </cell>
          <cell r="K294" t="str">
            <v>E18218@agriserv.com.sa</v>
          </cell>
          <cell r="L294" t="str">
            <v>0503905914</v>
          </cell>
          <cell r="M294" t="str">
            <v/>
          </cell>
          <cell r="N294" t="str">
            <v>المملكة العربية السعودية</v>
          </cell>
          <cell r="O294" t="str">
            <v>50000944</v>
          </cell>
          <cell r="P294" t="str">
            <v>مساعد مشرف المنشآت البيطرية</v>
          </cell>
          <cell r="Q294" t="str">
            <v>الدرجة 7</v>
          </cell>
          <cell r="R294" t="str">
            <v/>
          </cell>
          <cell r="S294" t="str">
            <v/>
          </cell>
          <cell r="T294" t="str">
            <v>المنشآت البيطرية</v>
          </cell>
          <cell r="U294" t="str">
            <v>الخدمات الصحية و الإرشاد ودعم التسويق للثروة الحيوانية</v>
          </cell>
          <cell r="V294" t="str">
            <v>العمليات</v>
          </cell>
          <cell r="W294" t="str">
            <v>Al Riyadh</v>
          </cell>
          <cell r="X294" t="str">
            <v xml:space="preserve">الفرع </v>
          </cell>
          <cell r="Y294">
            <v>44777</v>
          </cell>
          <cell r="Z294">
            <v>3.87</v>
          </cell>
          <cell r="AA294">
            <v>1413</v>
          </cell>
          <cell r="AB294" t="str">
            <v>غير نشط</v>
          </cell>
          <cell r="AC294" t="str">
            <v>400209</v>
          </cell>
          <cell r="AD294" t="str">
            <v>Yagoub Aljraid</v>
          </cell>
          <cell r="AE294" t="str">
            <v>إعارة</v>
          </cell>
          <cell r="AF294">
            <v>44985</v>
          </cell>
          <cell r="AG294" t="str">
            <v/>
          </cell>
          <cell r="AH294" t="str">
            <v/>
          </cell>
          <cell r="AI294" t="str">
            <v/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 t="str">
            <v/>
          </cell>
          <cell r="AO294" t="str">
            <v>Livestock Extension &amp; Protection</v>
          </cell>
          <cell r="AP294" t="str">
            <v>Riyad Bank</v>
          </cell>
          <cell r="AQ294" t="str">
            <v>SA6820000003171677169940</v>
          </cell>
          <cell r="AR294">
            <v>13035</v>
          </cell>
          <cell r="AS294" t="str">
            <v/>
          </cell>
          <cell r="AT294">
            <v>603.5</v>
          </cell>
          <cell r="AU294">
            <v>3258.75</v>
          </cell>
          <cell r="AV294" t="str">
            <v/>
          </cell>
        </row>
        <row r="295">
          <cell r="A295">
            <v>400114</v>
          </cell>
          <cell r="B295" t="str">
            <v>1005032162</v>
          </cell>
          <cell r="C295" t="str">
            <v>السيد</v>
          </cell>
          <cell r="D295" t="str">
            <v>Marshad Abdullah Marshad Alaqil</v>
          </cell>
          <cell r="E295" t="str">
            <v>مرشد عبدالله مرشد العقيل</v>
          </cell>
          <cell r="F295" t="str">
            <v>Male</v>
          </cell>
          <cell r="G295" t="str">
            <v>متزوج</v>
          </cell>
          <cell r="H295">
            <v>29824</v>
          </cell>
          <cell r="I295">
            <v>45</v>
          </cell>
          <cell r="J295">
            <v>16366</v>
          </cell>
          <cell r="K295" t="str">
            <v>Marshad.Alaqil@agriserv.sa</v>
          </cell>
          <cell r="L295" t="str">
            <v>0504127229</v>
          </cell>
          <cell r="M295" t="str">
            <v>3405</v>
          </cell>
          <cell r="N295" t="str">
            <v>المملكة العربية السعودية</v>
          </cell>
          <cell r="O295" t="str">
            <v>50000945</v>
          </cell>
          <cell r="P295" t="str">
            <v>مساعد مشرف مختبرات الثروة الحيوانية</v>
          </cell>
          <cell r="Q295" t="str">
            <v>الدرجة ٥</v>
          </cell>
          <cell r="R295" t="str">
            <v>Class A</v>
          </cell>
          <cell r="S295" t="str">
            <v/>
          </cell>
          <cell r="T295" t="str">
            <v>تدقيق ومراجعة المستندات</v>
          </cell>
          <cell r="U295" t="str">
            <v>التسجيل والمختبرات</v>
          </cell>
          <cell r="V295" t="str">
            <v>التراخيص</v>
          </cell>
          <cell r="W295" t="str">
            <v>Al Riyadh</v>
          </cell>
          <cell r="X295" t="str">
            <v xml:space="preserve">المقر الرئيسي </v>
          </cell>
          <cell r="Y295">
            <v>44777</v>
          </cell>
          <cell r="Z295">
            <v>3.87</v>
          </cell>
          <cell r="AA295">
            <v>1413</v>
          </cell>
          <cell r="AB295" t="str">
            <v>نشط</v>
          </cell>
          <cell r="AC295" t="str">
            <v>100054</v>
          </cell>
          <cell r="AD295" t="str">
            <v>Nouf Bin Sultan</v>
          </cell>
          <cell r="AE295" t="str">
            <v>إعارة</v>
          </cell>
          <cell r="AF295" t="str">
            <v/>
          </cell>
          <cell r="AG295" t="str">
            <v/>
          </cell>
          <cell r="AH295" t="str">
            <v>علم الإحياء</v>
          </cell>
          <cell r="AI295" t="str">
            <v>بكالوريوس</v>
          </cell>
          <cell r="AJ295">
            <v>7</v>
          </cell>
          <cell r="AK295">
            <v>4</v>
          </cell>
          <cell r="AL295">
            <v>1</v>
          </cell>
          <cell r="AM295">
            <v>2</v>
          </cell>
          <cell r="AN295" t="str">
            <v/>
          </cell>
          <cell r="AO295" t="str">
            <v>التسجيل</v>
          </cell>
          <cell r="AP295" t="str">
            <v>Al Rajhi Bank</v>
          </cell>
          <cell r="AQ295" t="str">
            <v>SA5480000129608010250070</v>
          </cell>
          <cell r="AR295">
            <v>15855</v>
          </cell>
          <cell r="AS295" t="str">
            <v/>
          </cell>
          <cell r="AT295">
            <v>885.5</v>
          </cell>
          <cell r="AU295">
            <v>3963.75</v>
          </cell>
          <cell r="AV295" t="str">
            <v/>
          </cell>
        </row>
        <row r="296">
          <cell r="A296">
            <v>400115</v>
          </cell>
          <cell r="B296" t="str">
            <v>1037205505</v>
          </cell>
          <cell r="C296" t="str">
            <v>السيد</v>
          </cell>
          <cell r="D296" t="str">
            <v>Hussain Faree Hamood Alotaibi</v>
          </cell>
          <cell r="E296" t="str">
            <v>حسين فارع حمود العتيبي</v>
          </cell>
          <cell r="F296" t="str">
            <v>Male</v>
          </cell>
          <cell r="G296" t="str">
            <v>متزوج</v>
          </cell>
          <cell r="H296">
            <v>26875</v>
          </cell>
          <cell r="I296">
            <v>53</v>
          </cell>
          <cell r="J296">
            <v>19315</v>
          </cell>
          <cell r="K296" t="str">
            <v>Hussain.Alotaibi@agriserv.sa</v>
          </cell>
          <cell r="L296" t="str">
            <v>0555137926</v>
          </cell>
          <cell r="M296" t="str">
            <v/>
          </cell>
          <cell r="N296" t="str">
            <v>المملكة العربية السعودية</v>
          </cell>
          <cell r="O296" t="str">
            <v>50000946</v>
          </cell>
          <cell r="P296" t="str">
            <v>مساعد مشرف مكافحة الجراد</v>
          </cell>
          <cell r="Q296" t="str">
            <v>الدرجة ٥</v>
          </cell>
          <cell r="R296" t="str">
            <v>Class A</v>
          </cell>
          <cell r="S296" t="str">
            <v/>
          </cell>
          <cell r="T296" t="str">
            <v>محافظة ساجر</v>
          </cell>
          <cell r="U296" t="str">
            <v>عمليات الفروع</v>
          </cell>
          <cell r="V296" t="str">
            <v>الفروع</v>
          </cell>
          <cell r="W296" t="str">
            <v>Al Riyadh</v>
          </cell>
          <cell r="X296" t="str">
            <v xml:space="preserve">الفرع </v>
          </cell>
          <cell r="Y296">
            <v>44777</v>
          </cell>
          <cell r="Z296">
            <v>3.87</v>
          </cell>
          <cell r="AA296">
            <v>1413</v>
          </cell>
          <cell r="AB296" t="str">
            <v>نشط</v>
          </cell>
          <cell r="AC296" t="str">
            <v>400146</v>
          </cell>
          <cell r="AD296" t="str">
            <v>Talal Alotaibi</v>
          </cell>
          <cell r="AE296" t="str">
            <v>إعارة</v>
          </cell>
          <cell r="AF296" t="str">
            <v/>
          </cell>
          <cell r="AG296" t="str">
            <v/>
          </cell>
          <cell r="AH296" t="str">
            <v>انتاج نباتى</v>
          </cell>
          <cell r="AI296" t="str">
            <v>دبلوم</v>
          </cell>
          <cell r="AJ296">
            <v>9</v>
          </cell>
          <cell r="AK296">
            <v>7</v>
          </cell>
          <cell r="AL296">
            <v>1</v>
          </cell>
          <cell r="AM296">
            <v>1</v>
          </cell>
          <cell r="AN296" t="str">
            <v/>
          </cell>
          <cell r="AO296" t="str">
            <v>عمليات الفروع</v>
          </cell>
          <cell r="AP296" t="str">
            <v>Saudi National Bank</v>
          </cell>
          <cell r="AQ296" t="str">
            <v>SA9410000037311654000108</v>
          </cell>
          <cell r="AR296">
            <v>16905</v>
          </cell>
          <cell r="AS296" t="str">
            <v/>
          </cell>
          <cell r="AT296">
            <v>990.5</v>
          </cell>
          <cell r="AU296">
            <v>4226.25</v>
          </cell>
          <cell r="AV296" t="str">
            <v/>
          </cell>
        </row>
        <row r="297">
          <cell r="A297">
            <v>400116</v>
          </cell>
          <cell r="B297" t="str">
            <v/>
          </cell>
          <cell r="C297" t="str">
            <v>السيد</v>
          </cell>
          <cell r="D297" t="str">
            <v>Mohamd Ahmad Mohammed Gely</v>
          </cell>
          <cell r="E297" t="str">
            <v>محمد احمد محمد جلى</v>
          </cell>
          <cell r="F297" t="str">
            <v>Male</v>
          </cell>
          <cell r="G297" t="str">
            <v>متزوج</v>
          </cell>
          <cell r="H297">
            <v>30676</v>
          </cell>
          <cell r="I297">
            <v>42</v>
          </cell>
          <cell r="J297">
            <v>15514</v>
          </cell>
          <cell r="K297" t="str">
            <v>mohammed.jelli@agriserv.sa</v>
          </cell>
          <cell r="L297" t="str">
            <v>0503840157</v>
          </cell>
          <cell r="M297" t="str">
            <v>5501</v>
          </cell>
          <cell r="N297" t="str">
            <v>المملكة العربية السعودية</v>
          </cell>
          <cell r="O297" t="str">
            <v>50000947</v>
          </cell>
          <cell r="P297" t="str">
            <v>مشرف الإرشاد والخدمات الصحية للثروة السمكية</v>
          </cell>
          <cell r="Q297" t="str">
            <v>الدرجة 6</v>
          </cell>
          <cell r="R297" t="str">
            <v>Class A</v>
          </cell>
          <cell r="S297" t="str">
            <v/>
          </cell>
          <cell r="T297" t="str">
            <v>خدمة العملاء</v>
          </cell>
          <cell r="U297" t="str">
            <v>خدمة العملاء</v>
          </cell>
          <cell r="V297" t="str">
            <v>الفروع</v>
          </cell>
          <cell r="W297" t="str">
            <v>Head Quarter</v>
          </cell>
          <cell r="X297" t="str">
            <v xml:space="preserve">المقر الرئيسي </v>
          </cell>
          <cell r="Y297">
            <v>44777</v>
          </cell>
          <cell r="Z297">
            <v>3.87</v>
          </cell>
          <cell r="AA297">
            <v>1413</v>
          </cell>
          <cell r="AB297" t="str">
            <v>غير نشط</v>
          </cell>
          <cell r="AC297" t="str">
            <v>100071</v>
          </cell>
          <cell r="AD297" t="str">
            <v>ABDULRAHMAN ALJUNAYDIL</v>
          </cell>
          <cell r="AE297" t="str">
            <v>إعارة</v>
          </cell>
          <cell r="AF297">
            <v>46026</v>
          </cell>
          <cell r="AG297" t="str">
            <v/>
          </cell>
          <cell r="AH297" t="str">
            <v>الثروة المائية</v>
          </cell>
          <cell r="AI297" t="str">
            <v>بكالوريوس</v>
          </cell>
          <cell r="AJ297">
            <v>5</v>
          </cell>
          <cell r="AK297">
            <v>4</v>
          </cell>
          <cell r="AL297">
            <v>1</v>
          </cell>
          <cell r="AM297">
            <v>0</v>
          </cell>
          <cell r="AN297" t="str">
            <v/>
          </cell>
          <cell r="AO297" t="str">
            <v>Branches Liaison /Coordination Office</v>
          </cell>
          <cell r="AP297" t="str">
            <v>Saudi Awwal Bank</v>
          </cell>
          <cell r="AQ297" t="str">
            <v>SA4845000000834006652001</v>
          </cell>
          <cell r="AR297">
            <v>12095</v>
          </cell>
          <cell r="AS297" t="str">
            <v/>
          </cell>
          <cell r="AT297">
            <v>509.5</v>
          </cell>
          <cell r="AU297">
            <v>3023.75</v>
          </cell>
          <cell r="AV297" t="str">
            <v/>
          </cell>
        </row>
        <row r="298">
          <cell r="A298">
            <v>400117</v>
          </cell>
          <cell r="B298" t="str">
            <v>1091506715</v>
          </cell>
          <cell r="C298" t="str">
            <v>السيد</v>
          </cell>
          <cell r="D298" t="str">
            <v>Abdullah Thabet khuḍayru AlMutairi</v>
          </cell>
          <cell r="E298" t="str">
            <v>عبدالله ثابت خضير المطيري</v>
          </cell>
          <cell r="F298" t="str">
            <v>Male</v>
          </cell>
          <cell r="G298" t="str">
            <v>أعزب</v>
          </cell>
          <cell r="H298">
            <v>34533</v>
          </cell>
          <cell r="I298">
            <v>32</v>
          </cell>
          <cell r="J298">
            <v>11657</v>
          </cell>
          <cell r="K298" t="str">
            <v>Abdullah.Almutairi@agriserv.sa</v>
          </cell>
          <cell r="L298" t="str">
            <v>0542225778</v>
          </cell>
          <cell r="M298" t="str">
            <v>3102</v>
          </cell>
          <cell r="N298" t="str">
            <v>المملكة العربية السعودية</v>
          </cell>
          <cell r="O298" t="str">
            <v>50000948</v>
          </cell>
          <cell r="P298" t="str">
            <v>مهندس زراعي</v>
          </cell>
          <cell r="Q298" t="str">
            <v>الدرجة 3</v>
          </cell>
          <cell r="R298" t="str">
            <v>Class A</v>
          </cell>
          <cell r="S298" t="str">
            <v/>
          </cell>
          <cell r="T298" t="str">
            <v>مكافحة الآفات</v>
          </cell>
          <cell r="U298" t="str">
            <v>الخدمات النباتيةِ</v>
          </cell>
          <cell r="V298" t="str">
            <v>العمليات</v>
          </cell>
          <cell r="W298" t="str">
            <v>Head Quarter</v>
          </cell>
          <cell r="X298" t="str">
            <v xml:space="preserve">المقر الرئيسي </v>
          </cell>
          <cell r="Y298">
            <v>44777</v>
          </cell>
          <cell r="Z298">
            <v>3.87</v>
          </cell>
          <cell r="AA298">
            <v>1413</v>
          </cell>
          <cell r="AB298" t="str">
            <v>نشط</v>
          </cell>
          <cell r="AC298" t="str">
            <v>100136</v>
          </cell>
          <cell r="AD298" t="str">
            <v>Yagoub Aljraid</v>
          </cell>
          <cell r="AE298" t="str">
            <v>إعارة</v>
          </cell>
          <cell r="AF298" t="str">
            <v/>
          </cell>
          <cell r="AG298" t="str">
            <v/>
          </cell>
          <cell r="AH298" t="str">
            <v>هندسة زراعية</v>
          </cell>
          <cell r="AI298" t="str">
            <v>بكالوريوس</v>
          </cell>
          <cell r="AJ298">
            <v>2</v>
          </cell>
          <cell r="AK298">
            <v>0</v>
          </cell>
          <cell r="AL298">
            <v>0</v>
          </cell>
          <cell r="AM298">
            <v>2</v>
          </cell>
          <cell r="AN298" t="str">
            <v/>
          </cell>
          <cell r="AO298" t="str">
            <v>الخدمات النباتيةِ</v>
          </cell>
          <cell r="AP298" t="str">
            <v>Inma Bank</v>
          </cell>
          <cell r="AQ298" t="str">
            <v>SA9805000068201368867000</v>
          </cell>
          <cell r="AR298">
            <v>10750</v>
          </cell>
          <cell r="AS298" t="str">
            <v/>
          </cell>
          <cell r="AT298">
            <v>375</v>
          </cell>
          <cell r="AU298">
            <v>2687.5</v>
          </cell>
          <cell r="AV298" t="str">
            <v/>
          </cell>
        </row>
        <row r="299">
          <cell r="A299">
            <v>400118</v>
          </cell>
          <cell r="B299" t="str">
            <v>1039872559</v>
          </cell>
          <cell r="C299" t="str">
            <v>السيد</v>
          </cell>
          <cell r="D299" t="str">
            <v>Sultan Abdallah Ibrahim ALSuleiman</v>
          </cell>
          <cell r="E299" t="str">
            <v>سلطان عبدالله ابراهيم السليمان</v>
          </cell>
          <cell r="F299" t="str">
            <v>Male</v>
          </cell>
          <cell r="G299" t="str">
            <v>أعزب</v>
          </cell>
          <cell r="H299">
            <v>31936</v>
          </cell>
          <cell r="I299">
            <v>39</v>
          </cell>
          <cell r="J299">
            <v>14254</v>
          </cell>
          <cell r="K299" t="str">
            <v>Sultan.Alsulaiman@agriserv.sa</v>
          </cell>
          <cell r="L299" t="str">
            <v>0549991290</v>
          </cell>
          <cell r="M299" t="str">
            <v>3415</v>
          </cell>
          <cell r="N299" t="str">
            <v>المملكة العربية السعودية</v>
          </cell>
          <cell r="O299" t="str">
            <v>50000949</v>
          </cell>
          <cell r="P299" t="str">
            <v>مساعد مشرف اختبار البذور والتربة</v>
          </cell>
          <cell r="Q299" t="str">
            <v>الدرجة 7</v>
          </cell>
          <cell r="R299" t="str">
            <v>Class A</v>
          </cell>
          <cell r="S299" t="str">
            <v/>
          </cell>
          <cell r="T299" t="str">
            <v>تدقيق ومراجعة المستندات</v>
          </cell>
          <cell r="U299" t="str">
            <v>التسجيل والمختبرات</v>
          </cell>
          <cell r="V299" t="str">
            <v>التراخيص</v>
          </cell>
          <cell r="W299" t="str">
            <v>Head Quarter</v>
          </cell>
          <cell r="X299" t="str">
            <v xml:space="preserve">المقر الرئيسي </v>
          </cell>
          <cell r="Y299">
            <v>44777</v>
          </cell>
          <cell r="Z299">
            <v>3.87</v>
          </cell>
          <cell r="AA299">
            <v>1413</v>
          </cell>
          <cell r="AB299" t="str">
            <v>نشط</v>
          </cell>
          <cell r="AC299" t="str">
            <v>100054</v>
          </cell>
          <cell r="AD299" t="str">
            <v>Nouf Bin Sultan</v>
          </cell>
          <cell r="AE299" t="str">
            <v>إعارة</v>
          </cell>
          <cell r="AF299" t="str">
            <v/>
          </cell>
          <cell r="AG299" t="str">
            <v/>
          </cell>
          <cell r="AH299" t="str">
            <v>إدارة عامة</v>
          </cell>
          <cell r="AI299" t="str">
            <v>بكالوريوس</v>
          </cell>
          <cell r="AJ299">
            <v>3</v>
          </cell>
          <cell r="AK299">
            <v>2</v>
          </cell>
          <cell r="AL299">
            <v>0</v>
          </cell>
          <cell r="AM299">
            <v>1</v>
          </cell>
          <cell r="AN299" t="str">
            <v/>
          </cell>
          <cell r="AO299" t="str">
            <v>التسجيل</v>
          </cell>
          <cell r="AP299" t="str">
            <v>Saudi Awwal Bank</v>
          </cell>
          <cell r="AQ299" t="str">
            <v>SA0745000000157013335001</v>
          </cell>
          <cell r="AR299">
            <v>12575</v>
          </cell>
          <cell r="AS299" t="str">
            <v/>
          </cell>
          <cell r="AT299">
            <v>557.5</v>
          </cell>
          <cell r="AU299">
            <v>3143.75</v>
          </cell>
          <cell r="AV299" t="str">
            <v/>
          </cell>
        </row>
        <row r="300">
          <cell r="A300">
            <v>400119</v>
          </cell>
          <cell r="B300" t="str">
            <v>1014818411</v>
          </cell>
          <cell r="C300" t="str">
            <v>السيد</v>
          </cell>
          <cell r="D300" t="str">
            <v>Mohammad Alsamhan</v>
          </cell>
          <cell r="E300" t="str">
            <v>محمد   السمحان</v>
          </cell>
          <cell r="F300" t="str">
            <v>Male</v>
          </cell>
          <cell r="G300" t="str">
            <v>أعزب</v>
          </cell>
          <cell r="H300">
            <v>27925</v>
          </cell>
          <cell r="I300">
            <v>50</v>
          </cell>
          <cell r="J300">
            <v>18265</v>
          </cell>
          <cell r="K300" t="str">
            <v>MALSAMHAN@agriserv.com.sa</v>
          </cell>
          <cell r="L300" t="str">
            <v>0544616176</v>
          </cell>
          <cell r="M300" t="str">
            <v/>
          </cell>
          <cell r="N300" t="str">
            <v>المملكة العربية السعودية</v>
          </cell>
          <cell r="O300" t="str">
            <v>50000950</v>
          </cell>
          <cell r="P300" t="str">
            <v>مشرف الرقابة والتفتيش</v>
          </cell>
          <cell r="Q300" t="str">
            <v>8 الدرجة</v>
          </cell>
          <cell r="R300" t="str">
            <v/>
          </cell>
          <cell r="S300" t="str">
            <v/>
          </cell>
          <cell r="T300" t="str">
            <v/>
          </cell>
          <cell r="U300" t="str">
            <v>الرقابة والتفتيش</v>
          </cell>
          <cell r="V300" t="str">
            <v>التراخيص</v>
          </cell>
          <cell r="W300" t="str">
            <v>Head Quarter</v>
          </cell>
          <cell r="X300" t="str">
            <v xml:space="preserve">المقر الرئيسي </v>
          </cell>
          <cell r="Y300">
            <v>44777</v>
          </cell>
          <cell r="Z300">
            <v>3.87</v>
          </cell>
          <cell r="AA300">
            <v>1413</v>
          </cell>
          <cell r="AB300" t="str">
            <v>غير نشط</v>
          </cell>
          <cell r="AC300" t="str">
            <v>400256</v>
          </cell>
          <cell r="AD300" t="str">
            <v>Majed Alfaraj</v>
          </cell>
          <cell r="AE300" t="str">
            <v>إعارة</v>
          </cell>
          <cell r="AF300">
            <v>45077</v>
          </cell>
          <cell r="AG300" t="str">
            <v/>
          </cell>
          <cell r="AH300" t="str">
            <v/>
          </cell>
          <cell r="AI300" t="str">
            <v/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 t="str">
            <v/>
          </cell>
          <cell r="AO300" t="str">
            <v>Enforcement</v>
          </cell>
          <cell r="AP300" t="str">
            <v>Bank Al Bilad</v>
          </cell>
          <cell r="AQ300" t="str">
            <v>SA9815000421108363430001</v>
          </cell>
          <cell r="AR300">
            <v>20275</v>
          </cell>
          <cell r="AS300" t="str">
            <v/>
          </cell>
          <cell r="AT300">
            <v>1127.5</v>
          </cell>
          <cell r="AU300">
            <v>5068.75</v>
          </cell>
          <cell r="AV300" t="str">
            <v/>
          </cell>
        </row>
        <row r="301">
          <cell r="A301">
            <v>400120</v>
          </cell>
          <cell r="B301" t="str">
            <v>1046804579</v>
          </cell>
          <cell r="C301" t="str">
            <v>السيد</v>
          </cell>
          <cell r="D301" t="str">
            <v>Omran Mubarak Muhmmad Aldossari</v>
          </cell>
          <cell r="E301" t="str">
            <v>عمران مبارك محمد الدوسري</v>
          </cell>
          <cell r="F301" t="str">
            <v>Male</v>
          </cell>
          <cell r="G301" t="str">
            <v>متزوج</v>
          </cell>
          <cell r="H301">
            <v>26167</v>
          </cell>
          <cell r="I301">
            <v>55</v>
          </cell>
          <cell r="J301">
            <v>20023</v>
          </cell>
          <cell r="K301" t="str">
            <v>Omran.Aldossari@agriserv.sa</v>
          </cell>
          <cell r="L301" t="str">
            <v>0540542296</v>
          </cell>
          <cell r="M301" t="str">
            <v>3403</v>
          </cell>
          <cell r="N301" t="str">
            <v>المملكة العربية السعودية</v>
          </cell>
          <cell r="O301" t="str">
            <v>50000951</v>
          </cell>
          <cell r="P301" t="str">
            <v>مساعد مشرف الرقابة والتفتيش للثروة النباتية</v>
          </cell>
          <cell r="Q301" t="str">
            <v>الدرجة 7</v>
          </cell>
          <cell r="R301" t="str">
            <v>Class A</v>
          </cell>
          <cell r="S301" t="str">
            <v/>
          </cell>
          <cell r="T301" t="str">
            <v>دراسة نتائج تقييم التجربة</v>
          </cell>
          <cell r="U301" t="str">
            <v>التسجيل والمختبرات</v>
          </cell>
          <cell r="V301" t="str">
            <v>التراخيص</v>
          </cell>
          <cell r="W301" t="str">
            <v>Head Quarter</v>
          </cell>
          <cell r="X301" t="str">
            <v xml:space="preserve">المقر الرئيسي </v>
          </cell>
          <cell r="Y301">
            <v>44777</v>
          </cell>
          <cell r="Z301">
            <v>3.87</v>
          </cell>
          <cell r="AA301">
            <v>1413</v>
          </cell>
          <cell r="AB301" t="str">
            <v>نشط</v>
          </cell>
          <cell r="AC301" t="str">
            <v>400136</v>
          </cell>
          <cell r="AD301" t="str">
            <v>Mteeb Binbnothman</v>
          </cell>
          <cell r="AE301" t="str">
            <v>إعارة</v>
          </cell>
          <cell r="AF301" t="str">
            <v/>
          </cell>
          <cell r="AG301" t="str">
            <v/>
          </cell>
          <cell r="AH301" t="str">
            <v>انتاج نباتى</v>
          </cell>
          <cell r="AI301" t="str">
            <v>دبلوم</v>
          </cell>
          <cell r="AJ301">
            <v>4</v>
          </cell>
          <cell r="AK301">
            <v>2</v>
          </cell>
          <cell r="AL301">
            <v>1</v>
          </cell>
          <cell r="AM301">
            <v>1</v>
          </cell>
          <cell r="AN301" t="str">
            <v/>
          </cell>
          <cell r="AO301" t="str">
            <v>التسجيل</v>
          </cell>
          <cell r="AP301" t="str">
            <v>Arab National Bank</v>
          </cell>
          <cell r="AQ301" t="str">
            <v>SA4430400108010874000014</v>
          </cell>
          <cell r="AR301">
            <v>13505</v>
          </cell>
          <cell r="AS301" t="str">
            <v/>
          </cell>
          <cell r="AT301">
            <v>650.5</v>
          </cell>
          <cell r="AU301">
            <v>3376.25</v>
          </cell>
          <cell r="AV301" t="str">
            <v/>
          </cell>
        </row>
        <row r="302">
          <cell r="A302">
            <v>400121</v>
          </cell>
          <cell r="B302" t="str">
            <v/>
          </cell>
          <cell r="C302" t="str">
            <v>السيد</v>
          </cell>
          <cell r="D302" t="str">
            <v>Abdullah Saeed Misfer Almaliki</v>
          </cell>
          <cell r="E302" t="str">
            <v>عبدالله سعيد مسفر المالكي</v>
          </cell>
          <cell r="F302" t="str">
            <v>Male</v>
          </cell>
          <cell r="G302" t="str">
            <v>متزوج</v>
          </cell>
          <cell r="H302">
            <v>33748</v>
          </cell>
          <cell r="I302">
            <v>34</v>
          </cell>
          <cell r="J302">
            <v>12442</v>
          </cell>
          <cell r="K302" t="str">
            <v/>
          </cell>
          <cell r="L302" t="str">
            <v/>
          </cell>
          <cell r="M302" t="str">
            <v/>
          </cell>
          <cell r="N302" t="str">
            <v>المملكة العربية السعودية</v>
          </cell>
          <cell r="O302" t="str">
            <v>50000952</v>
          </cell>
          <cell r="P302" t="str">
            <v>مساعد مشرف الاستكشاف</v>
          </cell>
          <cell r="Q302" t="str">
            <v>الدرجة 7</v>
          </cell>
          <cell r="R302" t="str">
            <v>Class A</v>
          </cell>
          <cell r="S302" t="str">
            <v/>
          </cell>
          <cell r="T302" t="str">
            <v>الدراسة الفنية</v>
          </cell>
          <cell r="U302" t="str">
            <v>التسجيل والمختبرات</v>
          </cell>
          <cell r="V302" t="str">
            <v>التراخيص</v>
          </cell>
          <cell r="W302" t="str">
            <v>Head Quarter</v>
          </cell>
          <cell r="X302" t="str">
            <v xml:space="preserve">المقر الرئيسي </v>
          </cell>
          <cell r="Y302">
            <v>44777</v>
          </cell>
          <cell r="Z302">
            <v>3.87</v>
          </cell>
          <cell r="AA302">
            <v>1413</v>
          </cell>
          <cell r="AB302" t="str">
            <v>غير نشط</v>
          </cell>
          <cell r="AC302" t="str">
            <v>400040</v>
          </cell>
          <cell r="AD302" t="str">
            <v>Hani Barniyah</v>
          </cell>
          <cell r="AE302" t="str">
            <v>إعارة</v>
          </cell>
          <cell r="AF302">
            <v>45535</v>
          </cell>
          <cell r="AG302" t="str">
            <v/>
          </cell>
          <cell r="AH302" t="str">
            <v>هندسة زراعية</v>
          </cell>
          <cell r="AI302" t="str">
            <v>بكالوريوس</v>
          </cell>
          <cell r="AJ302">
            <v>4</v>
          </cell>
          <cell r="AK302">
            <v>1</v>
          </cell>
          <cell r="AL302">
            <v>1</v>
          </cell>
          <cell r="AM302">
            <v>2</v>
          </cell>
          <cell r="AN302" t="str">
            <v/>
          </cell>
          <cell r="AO302" t="str">
            <v>Corp Extension &amp; Protection</v>
          </cell>
          <cell r="AP302" t="str">
            <v>Bank Al Jazirah</v>
          </cell>
          <cell r="AQ302" t="str">
            <v>SA0560100007281190839001</v>
          </cell>
          <cell r="AR302">
            <v>11330</v>
          </cell>
          <cell r="AS302" t="str">
            <v/>
          </cell>
          <cell r="AT302">
            <v>433</v>
          </cell>
          <cell r="AU302">
            <v>2832.5</v>
          </cell>
          <cell r="AV302" t="str">
            <v/>
          </cell>
        </row>
        <row r="303">
          <cell r="A303">
            <v>400122</v>
          </cell>
          <cell r="B303" t="str">
            <v>1093368106</v>
          </cell>
          <cell r="C303" t="str">
            <v>السيد</v>
          </cell>
          <cell r="D303" t="str">
            <v>Sultan Saaud Abdalah Alotaibi</v>
          </cell>
          <cell r="E303" t="str">
            <v>سلطان سعود عبدالله العتيبي</v>
          </cell>
          <cell r="F303" t="str">
            <v>Male</v>
          </cell>
          <cell r="G303" t="str">
            <v>أعزب</v>
          </cell>
          <cell r="H303">
            <v>34516</v>
          </cell>
          <cell r="I303">
            <v>32</v>
          </cell>
          <cell r="J303">
            <v>11674</v>
          </cell>
          <cell r="K303" t="str">
            <v>Sultan.Alotaibi@agriserv.sa</v>
          </cell>
          <cell r="L303" t="str">
            <v>0565989985</v>
          </cell>
          <cell r="M303" t="str">
            <v/>
          </cell>
          <cell r="N303" t="str">
            <v>المملكة العربية السعودية</v>
          </cell>
          <cell r="O303" t="str">
            <v>50000953</v>
          </cell>
          <cell r="P303" t="str">
            <v>مساعد مشرف الاستكشاف</v>
          </cell>
          <cell r="Q303" t="str">
            <v>2A الدرجة</v>
          </cell>
          <cell r="R303" t="str">
            <v>Class A</v>
          </cell>
          <cell r="S303" t="str">
            <v>إدارة ومراقبة الوثائق</v>
          </cell>
          <cell r="T303" t="str">
            <v>الشؤون الإدارية</v>
          </cell>
          <cell r="U303" t="str">
            <v>الخدمات المشتركة</v>
          </cell>
          <cell r="V303" t="str">
            <v>الخدمات المشتركة</v>
          </cell>
          <cell r="W303" t="str">
            <v>Head Quarter</v>
          </cell>
          <cell r="X303" t="str">
            <v xml:space="preserve">المقر الرئيسي </v>
          </cell>
          <cell r="Y303">
            <v>44777</v>
          </cell>
          <cell r="Z303">
            <v>3.87</v>
          </cell>
          <cell r="AA303">
            <v>1413</v>
          </cell>
          <cell r="AB303" t="str">
            <v>غير نشط</v>
          </cell>
          <cell r="AC303" t="str">
            <v>100005</v>
          </cell>
          <cell r="AD303" t="str">
            <v>Khalid Alghannam</v>
          </cell>
          <cell r="AE303" t="str">
            <v>إعارة</v>
          </cell>
          <cell r="AF303">
            <v>45645</v>
          </cell>
          <cell r="AG303" t="str">
            <v/>
          </cell>
          <cell r="AH303" t="str">
            <v>علوم طبيعية</v>
          </cell>
          <cell r="AI303" t="str">
            <v>شهادة المدرسة الثانوية</v>
          </cell>
          <cell r="AJ303">
            <v>1</v>
          </cell>
          <cell r="AK303">
            <v>0</v>
          </cell>
          <cell r="AL303">
            <v>0</v>
          </cell>
          <cell r="AM303">
            <v>1</v>
          </cell>
          <cell r="AN303" t="str">
            <v/>
          </cell>
          <cell r="AO303" t="str">
            <v>Livestock Extension &amp; Protection</v>
          </cell>
          <cell r="AP303" t="str">
            <v>Al Rajhi Bank</v>
          </cell>
          <cell r="AQ303" t="str">
            <v>SA0380000392608010278675</v>
          </cell>
          <cell r="AR303">
            <v>5845</v>
          </cell>
          <cell r="AS303" t="str">
            <v/>
          </cell>
          <cell r="AT303">
            <v>84.5</v>
          </cell>
          <cell r="AU303">
            <v>1461.25</v>
          </cell>
          <cell r="AV303" t="str">
            <v/>
          </cell>
        </row>
        <row r="304">
          <cell r="A304">
            <v>400123</v>
          </cell>
          <cell r="B304" t="str">
            <v>1070291271</v>
          </cell>
          <cell r="C304" t="str">
            <v>السيد</v>
          </cell>
          <cell r="D304" t="str">
            <v>Amaar Wasel Abduallah Alqanbar</v>
          </cell>
          <cell r="E304" t="str">
            <v>عمار واصل عبدالله القنبر</v>
          </cell>
          <cell r="F304" t="str">
            <v>Male</v>
          </cell>
          <cell r="G304" t="str">
            <v>متزوج</v>
          </cell>
          <cell r="H304">
            <v>33055</v>
          </cell>
          <cell r="I304">
            <v>36</v>
          </cell>
          <cell r="J304">
            <v>13135</v>
          </cell>
          <cell r="K304" t="str">
            <v>Amaar.Alqanbar@agriserv.sa</v>
          </cell>
          <cell r="L304" t="str">
            <v>0544555804</v>
          </cell>
          <cell r="M304" t="str">
            <v/>
          </cell>
          <cell r="N304" t="str">
            <v>المملكة العربية السعودية</v>
          </cell>
          <cell r="O304" t="str">
            <v>50000954</v>
          </cell>
          <cell r="P304" t="str">
            <v>طبيب بيطري مساعد</v>
          </cell>
          <cell r="Q304" t="str">
            <v>2B الدرجة</v>
          </cell>
          <cell r="R304" t="str">
            <v>Class A</v>
          </cell>
          <cell r="S304" t="str">
            <v/>
          </cell>
          <cell r="T304" t="str">
            <v>عيادة بشمال الرياض</v>
          </cell>
          <cell r="U304" t="str">
            <v>عمليات الفروع</v>
          </cell>
          <cell r="V304" t="str">
            <v>الفروع</v>
          </cell>
          <cell r="W304" t="str">
            <v>Al Riyadh</v>
          </cell>
          <cell r="X304" t="str">
            <v xml:space="preserve">الفرع </v>
          </cell>
          <cell r="Y304">
            <v>44777</v>
          </cell>
          <cell r="Z304">
            <v>3.87</v>
          </cell>
          <cell r="AA304">
            <v>1413</v>
          </cell>
          <cell r="AB304" t="str">
            <v>نشط</v>
          </cell>
          <cell r="AC304" t="str">
            <v>400220</v>
          </cell>
          <cell r="AD304" t="str">
            <v>Nahedh Alhaydan</v>
          </cell>
          <cell r="AE304" t="str">
            <v>إعارة</v>
          </cell>
          <cell r="AF304" t="str">
            <v/>
          </cell>
          <cell r="AG304" t="str">
            <v/>
          </cell>
          <cell r="AH304" t="str">
            <v>طب بيطري</v>
          </cell>
          <cell r="AI304" t="str">
            <v>دبلوم</v>
          </cell>
          <cell r="AJ304">
            <v>5</v>
          </cell>
          <cell r="AK304">
            <v>2</v>
          </cell>
          <cell r="AL304">
            <v>1</v>
          </cell>
          <cell r="AM304">
            <v>2</v>
          </cell>
          <cell r="AN304" t="str">
            <v/>
          </cell>
          <cell r="AO304" t="str">
            <v>عمليات الفروع</v>
          </cell>
          <cell r="AP304" t="str">
            <v>Riyad Bank</v>
          </cell>
          <cell r="AQ304" t="str">
            <v>SA8420000003290851049940</v>
          </cell>
          <cell r="AR304">
            <v>9565</v>
          </cell>
          <cell r="AS304" t="str">
            <v/>
          </cell>
          <cell r="AT304">
            <v>100</v>
          </cell>
          <cell r="AU304">
            <v>2391.25</v>
          </cell>
          <cell r="AV304" t="str">
            <v/>
          </cell>
        </row>
        <row r="305">
          <cell r="A305">
            <v>400124</v>
          </cell>
          <cell r="B305" t="str">
            <v>1036321055</v>
          </cell>
          <cell r="C305" t="str">
            <v>السيد</v>
          </cell>
          <cell r="D305" t="str">
            <v>Rajeh Saud Mohammad Aldosari</v>
          </cell>
          <cell r="E305" t="str">
            <v>راجح سعود محمد الدوسري</v>
          </cell>
          <cell r="F305" t="str">
            <v>Male</v>
          </cell>
          <cell r="G305" t="str">
            <v>متزوج</v>
          </cell>
          <cell r="H305">
            <v>29602</v>
          </cell>
          <cell r="I305">
            <v>45</v>
          </cell>
          <cell r="J305">
            <v>16588</v>
          </cell>
          <cell r="K305" t="str">
            <v>Rajeh.Aldosari@agriserv.sa</v>
          </cell>
          <cell r="L305" t="str">
            <v>0559988121</v>
          </cell>
          <cell r="M305" t="str">
            <v/>
          </cell>
          <cell r="N305" t="str">
            <v>المملكة العربية السعودية</v>
          </cell>
          <cell r="O305" t="str">
            <v>50000955</v>
          </cell>
          <cell r="P305" t="str">
            <v>فني زراعي</v>
          </cell>
          <cell r="Q305" t="str">
            <v>2A الدرجة</v>
          </cell>
          <cell r="R305" t="str">
            <v>Class A</v>
          </cell>
          <cell r="S305" t="str">
            <v/>
          </cell>
          <cell r="T305" t="str">
            <v>محافظة  وادي الدواسر</v>
          </cell>
          <cell r="U305" t="str">
            <v>عمليات الفروع</v>
          </cell>
          <cell r="V305" t="str">
            <v>الفروع</v>
          </cell>
          <cell r="W305" t="str">
            <v>Al Riyadh</v>
          </cell>
          <cell r="X305" t="str">
            <v xml:space="preserve">الفرع </v>
          </cell>
          <cell r="Y305">
            <v>44777</v>
          </cell>
          <cell r="Z305">
            <v>3.87</v>
          </cell>
          <cell r="AA305">
            <v>1413</v>
          </cell>
          <cell r="AB305" t="str">
            <v>نشط</v>
          </cell>
          <cell r="AC305" t="str">
            <v>400252</v>
          </cell>
          <cell r="AD305" t="str">
            <v>Adnan Alhashem</v>
          </cell>
          <cell r="AE305" t="str">
            <v>إعارة</v>
          </cell>
          <cell r="AF305" t="str">
            <v/>
          </cell>
          <cell r="AG305" t="str">
            <v/>
          </cell>
          <cell r="AH305" t="str">
            <v>ثانوية</v>
          </cell>
          <cell r="AI305" t="str">
            <v>شهادة المدرسة الثانوية</v>
          </cell>
          <cell r="AJ305">
            <v>5</v>
          </cell>
          <cell r="AK305">
            <v>3</v>
          </cell>
          <cell r="AL305">
            <v>1</v>
          </cell>
          <cell r="AM305">
            <v>1</v>
          </cell>
          <cell r="AN305" t="str">
            <v/>
          </cell>
          <cell r="AO305" t="str">
            <v>عمليات الفروع</v>
          </cell>
          <cell r="AP305" t="str">
            <v>Al Rajhi Bank</v>
          </cell>
          <cell r="AQ305" t="str">
            <v>SA4880000135608010195558</v>
          </cell>
          <cell r="AR305">
            <v>11745</v>
          </cell>
          <cell r="AS305" t="str">
            <v/>
          </cell>
          <cell r="AT305">
            <v>100</v>
          </cell>
          <cell r="AU305">
            <v>2936.25</v>
          </cell>
          <cell r="AV305" t="str">
            <v/>
          </cell>
        </row>
        <row r="306">
          <cell r="A306">
            <v>400125</v>
          </cell>
          <cell r="B306" t="str">
            <v>1015113804</v>
          </cell>
          <cell r="C306" t="str">
            <v>السيد</v>
          </cell>
          <cell r="D306" t="str">
            <v>Hussain Alwtyan</v>
          </cell>
          <cell r="E306" t="str">
            <v>حسين   الوطين</v>
          </cell>
          <cell r="F306" t="str">
            <v>Male</v>
          </cell>
          <cell r="G306" t="str">
            <v>أعزب</v>
          </cell>
          <cell r="H306">
            <v>31389</v>
          </cell>
          <cell r="I306">
            <v>41</v>
          </cell>
          <cell r="J306">
            <v>14801</v>
          </cell>
          <cell r="K306" t="str">
            <v>E23218@agriserv.com.sa</v>
          </cell>
          <cell r="L306" t="str">
            <v>0502996389</v>
          </cell>
          <cell r="M306" t="str">
            <v/>
          </cell>
          <cell r="N306" t="str">
            <v>المملكة العربية السعودية</v>
          </cell>
          <cell r="O306" t="str">
            <v>50000956</v>
          </cell>
          <cell r="P306" t="str">
            <v>مشرف الرقابة والتفتيش</v>
          </cell>
          <cell r="Q306" t="str">
            <v>الدرجة 6</v>
          </cell>
          <cell r="R306" t="str">
            <v/>
          </cell>
          <cell r="S306" t="str">
            <v/>
          </cell>
          <cell r="T306" t="str">
            <v>الرقابة والتفتيش للثروة الحيوانية</v>
          </cell>
          <cell r="U306" t="str">
            <v>الرقابة والتفتيش</v>
          </cell>
          <cell r="V306" t="str">
            <v>التراخيص</v>
          </cell>
          <cell r="W306" t="str">
            <v>Al Riyadh</v>
          </cell>
          <cell r="X306" t="str">
            <v xml:space="preserve">الفرع </v>
          </cell>
          <cell r="Y306">
            <v>44777</v>
          </cell>
          <cell r="Z306">
            <v>3.87</v>
          </cell>
          <cell r="AA306">
            <v>1413</v>
          </cell>
          <cell r="AB306" t="str">
            <v>غير نشط</v>
          </cell>
          <cell r="AC306" t="str">
            <v>400004</v>
          </cell>
          <cell r="AD306" t="str">
            <v>Ahmed Aladhab</v>
          </cell>
          <cell r="AE306" t="str">
            <v>إعارة</v>
          </cell>
          <cell r="AF306">
            <v>44985</v>
          </cell>
          <cell r="AG306" t="str">
            <v/>
          </cell>
          <cell r="AH306" t="str">
            <v/>
          </cell>
          <cell r="AI306" t="str">
            <v/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 t="str">
            <v/>
          </cell>
          <cell r="AO306" t="str">
            <v>Enforcement</v>
          </cell>
          <cell r="AP306" t="str">
            <v>Saudi Awwal Bank</v>
          </cell>
          <cell r="AQ306" t="str">
            <v>SA8845000000844027698001</v>
          </cell>
          <cell r="AR306">
            <v>12565</v>
          </cell>
          <cell r="AS306" t="str">
            <v/>
          </cell>
          <cell r="AT306">
            <v>556.5</v>
          </cell>
          <cell r="AU306">
            <v>3141.25</v>
          </cell>
          <cell r="AV306" t="str">
            <v/>
          </cell>
        </row>
        <row r="307">
          <cell r="A307">
            <v>400126</v>
          </cell>
          <cell r="B307" t="str">
            <v>1060998018</v>
          </cell>
          <cell r="C307" t="str">
            <v>السيد</v>
          </cell>
          <cell r="D307" t="str">
            <v>Saleh Fahad Saleh Aldhubaib</v>
          </cell>
          <cell r="E307" t="str">
            <v>صالح فهد صالح الضبيب</v>
          </cell>
          <cell r="F307" t="str">
            <v>Male</v>
          </cell>
          <cell r="G307" t="str">
            <v>متزوج</v>
          </cell>
          <cell r="H307">
            <v>32609</v>
          </cell>
          <cell r="I307">
            <v>37</v>
          </cell>
          <cell r="J307">
            <v>13581</v>
          </cell>
          <cell r="K307" t="str">
            <v>Saleh.Aldhubaib@agriserv.sa</v>
          </cell>
          <cell r="L307" t="str">
            <v>0500084690</v>
          </cell>
          <cell r="M307" t="str">
            <v/>
          </cell>
          <cell r="N307" t="str">
            <v>المملكة العربية السعودية</v>
          </cell>
          <cell r="O307" t="str">
            <v>50000957</v>
          </cell>
          <cell r="P307" t="str">
            <v>مهندس زراعي</v>
          </cell>
          <cell r="Q307" t="str">
            <v>الدرجة 3</v>
          </cell>
          <cell r="R307" t="str">
            <v>Class A</v>
          </cell>
          <cell r="S307" t="str">
            <v/>
          </cell>
          <cell r="T307" t="str">
            <v>محافظة  المجمعه</v>
          </cell>
          <cell r="U307" t="str">
            <v>عمليات الفروع</v>
          </cell>
          <cell r="V307" t="str">
            <v>الفروع</v>
          </cell>
          <cell r="W307" t="str">
            <v>Al Riyadh</v>
          </cell>
          <cell r="X307" t="str">
            <v xml:space="preserve">الفرع </v>
          </cell>
          <cell r="Y307">
            <v>44777</v>
          </cell>
          <cell r="Z307">
            <v>3.87</v>
          </cell>
          <cell r="AA307">
            <v>1413</v>
          </cell>
          <cell r="AB307" t="str">
            <v>غير نشط</v>
          </cell>
          <cell r="AC307" t="str">
            <v>400106</v>
          </cell>
          <cell r="AD307" t="str">
            <v>Turki Almukhaimer</v>
          </cell>
          <cell r="AE307" t="str">
            <v>إعارة</v>
          </cell>
          <cell r="AF307">
            <v>46013</v>
          </cell>
          <cell r="AG307" t="str">
            <v/>
          </cell>
          <cell r="AH307" t="str">
            <v>التسويق الغذائي</v>
          </cell>
          <cell r="AI307" t="str">
            <v>بكالوريوس</v>
          </cell>
          <cell r="AJ307">
            <v>4</v>
          </cell>
          <cell r="AK307">
            <v>1</v>
          </cell>
          <cell r="AL307">
            <v>1</v>
          </cell>
          <cell r="AM307">
            <v>2</v>
          </cell>
          <cell r="AN307" t="str">
            <v/>
          </cell>
          <cell r="AO307" t="str">
            <v>Certificates and Others Documents</v>
          </cell>
          <cell r="AP307" t="str">
            <v>Inma Bank</v>
          </cell>
          <cell r="AQ307" t="str">
            <v>SA5605000068201458365000</v>
          </cell>
          <cell r="AR307">
            <v>11155</v>
          </cell>
          <cell r="AS307" t="str">
            <v/>
          </cell>
          <cell r="AT307">
            <v>415.5</v>
          </cell>
          <cell r="AU307">
            <v>2788.75</v>
          </cell>
          <cell r="AV307" t="str">
            <v/>
          </cell>
        </row>
        <row r="308">
          <cell r="A308">
            <v>400127</v>
          </cell>
          <cell r="B308" t="str">
            <v>1049449794</v>
          </cell>
          <cell r="C308" t="str">
            <v>السيد</v>
          </cell>
          <cell r="D308" t="str">
            <v>Bader Sultan Husaiban Alotaibi</v>
          </cell>
          <cell r="E308" t="str">
            <v>بدر سلطان حصيبان العتيبي</v>
          </cell>
          <cell r="F308" t="str">
            <v>Male</v>
          </cell>
          <cell r="G308" t="str">
            <v>متزوج</v>
          </cell>
          <cell r="H308">
            <v>28647</v>
          </cell>
          <cell r="I308">
            <v>48</v>
          </cell>
          <cell r="J308">
            <v>17543</v>
          </cell>
          <cell r="K308" t="str">
            <v>Bader.Alotaibi@agriserv.sa</v>
          </cell>
          <cell r="L308" t="str">
            <v>0591220021</v>
          </cell>
          <cell r="M308" t="str">
            <v/>
          </cell>
          <cell r="N308" t="str">
            <v>المملكة العربية السعودية</v>
          </cell>
          <cell r="O308" t="str">
            <v>50000958</v>
          </cell>
          <cell r="P308" t="str">
            <v>مهندس زراعي</v>
          </cell>
          <cell r="Q308" t="str">
            <v>الدرجة 3</v>
          </cell>
          <cell r="R308" t="str">
            <v>Class A</v>
          </cell>
          <cell r="S308" t="str">
            <v/>
          </cell>
          <cell r="T308" t="str">
            <v>محافظة  الدوادمي</v>
          </cell>
          <cell r="U308" t="str">
            <v>عمليات الفروع</v>
          </cell>
          <cell r="V308" t="str">
            <v>الفروع</v>
          </cell>
          <cell r="W308" t="str">
            <v>Al Riyadh</v>
          </cell>
          <cell r="X308" t="str">
            <v xml:space="preserve">الفرع </v>
          </cell>
          <cell r="Y308">
            <v>44777</v>
          </cell>
          <cell r="Z308">
            <v>3.87</v>
          </cell>
          <cell r="AA308">
            <v>1413</v>
          </cell>
          <cell r="AB308" t="str">
            <v>نشط</v>
          </cell>
          <cell r="AC308" t="str">
            <v>400050</v>
          </cell>
          <cell r="AD308" t="str">
            <v>Moazzy Alharbi</v>
          </cell>
          <cell r="AE308" t="str">
            <v>إعارة</v>
          </cell>
          <cell r="AF308" t="str">
            <v/>
          </cell>
          <cell r="AG308" t="str">
            <v/>
          </cell>
          <cell r="AH308" t="str">
            <v>وقاية النبات</v>
          </cell>
          <cell r="AI308" t="str">
            <v>بكالوريوس</v>
          </cell>
          <cell r="AJ308">
            <v>9</v>
          </cell>
          <cell r="AK308">
            <v>6</v>
          </cell>
          <cell r="AL308">
            <v>2</v>
          </cell>
          <cell r="AM308">
            <v>1</v>
          </cell>
          <cell r="AN308" t="str">
            <v/>
          </cell>
          <cell r="AO308" t="str">
            <v>عمليات الفروع</v>
          </cell>
          <cell r="AP308" t="str">
            <v>Al Rajhi Bank</v>
          </cell>
          <cell r="AQ308" t="str">
            <v>SA0780000115608010192252</v>
          </cell>
          <cell r="AR308">
            <v>17425</v>
          </cell>
          <cell r="AS308" t="str">
            <v/>
          </cell>
          <cell r="AT308">
            <v>842.5</v>
          </cell>
          <cell r="AU308">
            <v>4356.25</v>
          </cell>
          <cell r="AV308" t="str">
            <v/>
          </cell>
        </row>
        <row r="309">
          <cell r="A309">
            <v>400128</v>
          </cell>
          <cell r="B309" t="str">
            <v>1126008422</v>
          </cell>
          <cell r="C309" t="str">
            <v>السيد</v>
          </cell>
          <cell r="D309" t="str">
            <v>Khaled Qahtan Musleh Almansouri</v>
          </cell>
          <cell r="E309" t="str">
            <v>خالد قحطان مصلح المنصوري</v>
          </cell>
          <cell r="F309" t="str">
            <v>Male</v>
          </cell>
          <cell r="G309" t="str">
            <v>أعزب</v>
          </cell>
          <cell r="H309">
            <v>28939</v>
          </cell>
          <cell r="I309">
            <v>47</v>
          </cell>
          <cell r="J309">
            <v>17251</v>
          </cell>
          <cell r="K309" t="str">
            <v>Khaled.Almansouri@agriserv.sa</v>
          </cell>
          <cell r="L309" t="str">
            <v>0555105227</v>
          </cell>
          <cell r="M309" t="str">
            <v/>
          </cell>
          <cell r="N309" t="str">
            <v>المملكة العربية السعودية</v>
          </cell>
          <cell r="O309" t="str">
            <v>50000959</v>
          </cell>
          <cell r="P309" t="str">
            <v>مهندس زراعي</v>
          </cell>
          <cell r="Q309" t="str">
            <v>الدرجة 3</v>
          </cell>
          <cell r="R309" t="str">
            <v>Class A</v>
          </cell>
          <cell r="S309" t="str">
            <v/>
          </cell>
          <cell r="T309" t="str">
            <v>محافظة  الخرج</v>
          </cell>
          <cell r="U309" t="str">
            <v>عمليات الفروع</v>
          </cell>
          <cell r="V309" t="str">
            <v>الفروع</v>
          </cell>
          <cell r="W309" t="str">
            <v>Al Riyadh</v>
          </cell>
          <cell r="X309" t="str">
            <v xml:space="preserve">الفرع </v>
          </cell>
          <cell r="Y309">
            <v>44777</v>
          </cell>
          <cell r="Z309">
            <v>3.87</v>
          </cell>
          <cell r="AA309">
            <v>1413</v>
          </cell>
          <cell r="AB309" t="str">
            <v>نشط</v>
          </cell>
          <cell r="AC309" t="str">
            <v>400233</v>
          </cell>
          <cell r="AD309" t="str">
            <v>Ahmed Alhajri</v>
          </cell>
          <cell r="AE309" t="str">
            <v>إعارة</v>
          </cell>
          <cell r="AF309" t="str">
            <v/>
          </cell>
          <cell r="AG309" t="str">
            <v/>
          </cell>
          <cell r="AH309" t="str">
            <v>علم الإحياء</v>
          </cell>
          <cell r="AI309" t="str">
            <v>بكالوريوس</v>
          </cell>
          <cell r="AJ309">
            <v>2</v>
          </cell>
          <cell r="AK309">
            <v>0</v>
          </cell>
          <cell r="AL309">
            <v>0</v>
          </cell>
          <cell r="AM309">
            <v>2</v>
          </cell>
          <cell r="AN309" t="str">
            <v/>
          </cell>
          <cell r="AO309" t="str">
            <v>عمليات الفروع</v>
          </cell>
          <cell r="AP309" t="str">
            <v>Saudi Investment Bank</v>
          </cell>
          <cell r="AQ309" t="str">
            <v>SA7665000000146310694001</v>
          </cell>
          <cell r="AR309">
            <v>16395</v>
          </cell>
          <cell r="AS309" t="str">
            <v/>
          </cell>
          <cell r="AT309">
            <v>939.5</v>
          </cell>
          <cell r="AU309">
            <v>4098.75</v>
          </cell>
          <cell r="AV309" t="str">
            <v/>
          </cell>
        </row>
        <row r="310">
          <cell r="A310">
            <v>400129</v>
          </cell>
          <cell r="B310" t="str">
            <v>1047551328</v>
          </cell>
          <cell r="C310" t="str">
            <v>السيد</v>
          </cell>
          <cell r="D310" t="str">
            <v>Marjan Salim Abduallah Almarjan</v>
          </cell>
          <cell r="E310" t="str">
            <v>مرجان سليم عبدالله المرجان</v>
          </cell>
          <cell r="F310" t="str">
            <v>Male</v>
          </cell>
          <cell r="G310" t="str">
            <v>متزوج</v>
          </cell>
          <cell r="H310">
            <v>27275</v>
          </cell>
          <cell r="I310">
            <v>52</v>
          </cell>
          <cell r="J310">
            <v>18915</v>
          </cell>
          <cell r="K310" t="str">
            <v>Marjan.Almarjan@agriserv.sa</v>
          </cell>
          <cell r="L310" t="str">
            <v>0557559399</v>
          </cell>
          <cell r="M310" t="str">
            <v/>
          </cell>
          <cell r="N310" t="str">
            <v>المملكة العربية السعودية</v>
          </cell>
          <cell r="O310" t="str">
            <v>50000960</v>
          </cell>
          <cell r="P310" t="str">
            <v>مهندس زراعي</v>
          </cell>
          <cell r="Q310" t="str">
            <v>الدرجة 3</v>
          </cell>
          <cell r="R310" t="str">
            <v>Class A</v>
          </cell>
          <cell r="S310" t="str">
            <v/>
          </cell>
          <cell r="T310" t="str">
            <v>محافظة ساجر</v>
          </cell>
          <cell r="U310" t="str">
            <v>عمليات الفروع</v>
          </cell>
          <cell r="V310" t="str">
            <v>الفروع</v>
          </cell>
          <cell r="W310" t="str">
            <v>Al Riyadh</v>
          </cell>
          <cell r="X310" t="str">
            <v xml:space="preserve">الفرع </v>
          </cell>
          <cell r="Y310">
            <v>44777</v>
          </cell>
          <cell r="Z310">
            <v>3.87</v>
          </cell>
          <cell r="AA310">
            <v>1413</v>
          </cell>
          <cell r="AB310" t="str">
            <v>نشط</v>
          </cell>
          <cell r="AC310" t="str">
            <v>400115</v>
          </cell>
          <cell r="AD310" t="str">
            <v>Hussain Alotaibi</v>
          </cell>
          <cell r="AE310" t="str">
            <v>إعارة</v>
          </cell>
          <cell r="AF310" t="str">
            <v/>
          </cell>
          <cell r="AG310" t="str">
            <v/>
          </cell>
          <cell r="AH310" t="str">
            <v>وقاية النبات</v>
          </cell>
          <cell r="AI310" t="str">
            <v>بكالوريوس</v>
          </cell>
          <cell r="AJ310">
            <v>5</v>
          </cell>
          <cell r="AK310">
            <v>4</v>
          </cell>
          <cell r="AL310">
            <v>1</v>
          </cell>
          <cell r="AM310">
            <v>0</v>
          </cell>
          <cell r="AN310" t="str">
            <v/>
          </cell>
          <cell r="AO310" t="str">
            <v>عمليات الفروع</v>
          </cell>
          <cell r="AP310" t="str">
            <v>Saudi Investment Bank</v>
          </cell>
          <cell r="AQ310" t="str">
            <v>SA7465000000149431806001</v>
          </cell>
          <cell r="AR310">
            <v>17415</v>
          </cell>
          <cell r="AS310" t="str">
            <v/>
          </cell>
          <cell r="AT310">
            <v>1041.5</v>
          </cell>
          <cell r="AU310">
            <v>4353.75</v>
          </cell>
          <cell r="AV310" t="str">
            <v/>
          </cell>
        </row>
        <row r="311">
          <cell r="A311">
            <v>400130</v>
          </cell>
          <cell r="B311" t="str">
            <v>1047074917</v>
          </cell>
          <cell r="C311" t="str">
            <v>السيد</v>
          </cell>
          <cell r="D311" t="str">
            <v>Hassan Hajji Abdulaziz Alsiyafi</v>
          </cell>
          <cell r="E311" t="str">
            <v>حسن حجي عبدالعزيز السيافي</v>
          </cell>
          <cell r="F311" t="str">
            <v>Male</v>
          </cell>
          <cell r="G311" t="str">
            <v>متزوج</v>
          </cell>
          <cell r="H311">
            <v>32066</v>
          </cell>
          <cell r="I311">
            <v>39</v>
          </cell>
          <cell r="J311">
            <v>14124</v>
          </cell>
          <cell r="K311" t="str">
            <v>Hassan.Alsiyafi@agriserv.sa</v>
          </cell>
          <cell r="L311" t="str">
            <v>0565143479</v>
          </cell>
          <cell r="M311" t="str">
            <v/>
          </cell>
          <cell r="N311" t="str">
            <v>المملكة العربية السعودية</v>
          </cell>
          <cell r="O311" t="str">
            <v>50000961</v>
          </cell>
          <cell r="P311" t="str">
            <v>طبيب بيطري مساعد</v>
          </cell>
          <cell r="Q311" t="str">
            <v>2B الدرجة</v>
          </cell>
          <cell r="R311" t="str">
            <v>Class A</v>
          </cell>
          <cell r="S311" t="str">
            <v/>
          </cell>
          <cell r="T311" t="str">
            <v>رماح</v>
          </cell>
          <cell r="U311" t="str">
            <v>عمليات الفروع</v>
          </cell>
          <cell r="V311" t="str">
            <v>الفروع</v>
          </cell>
          <cell r="W311" t="str">
            <v>Al Riyadh</v>
          </cell>
          <cell r="X311" t="str">
            <v xml:space="preserve">الفرع </v>
          </cell>
          <cell r="Y311">
            <v>44777</v>
          </cell>
          <cell r="Z311">
            <v>3.87</v>
          </cell>
          <cell r="AA311">
            <v>1413</v>
          </cell>
          <cell r="AB311" t="str">
            <v>نشط</v>
          </cell>
          <cell r="AC311" t="str">
            <v>400226</v>
          </cell>
          <cell r="AD311" t="str">
            <v>Ahmad Alabbad</v>
          </cell>
          <cell r="AE311" t="str">
            <v>إعارة</v>
          </cell>
          <cell r="AF311" t="str">
            <v/>
          </cell>
          <cell r="AG311" t="str">
            <v/>
          </cell>
          <cell r="AH311" t="str">
            <v>طب بيطري</v>
          </cell>
          <cell r="AI311" t="str">
            <v>دبلوم</v>
          </cell>
          <cell r="AJ311">
            <v>6</v>
          </cell>
          <cell r="AK311">
            <v>3</v>
          </cell>
          <cell r="AL311">
            <v>1</v>
          </cell>
          <cell r="AM311">
            <v>2</v>
          </cell>
          <cell r="AN311" t="str">
            <v/>
          </cell>
          <cell r="AO311" t="str">
            <v>عمليات الفروع</v>
          </cell>
          <cell r="AP311" t="str">
            <v>Riyad Bank</v>
          </cell>
          <cell r="AQ311" t="str">
            <v>SA8920000002162092989940</v>
          </cell>
          <cell r="AR311">
            <v>9565</v>
          </cell>
          <cell r="AS311" t="str">
            <v/>
          </cell>
          <cell r="AT311">
            <v>100</v>
          </cell>
          <cell r="AU311">
            <v>2391.25</v>
          </cell>
          <cell r="AV311" t="str">
            <v/>
          </cell>
        </row>
        <row r="312">
          <cell r="A312">
            <v>400131</v>
          </cell>
          <cell r="B312" t="str">
            <v>1026439941</v>
          </cell>
          <cell r="C312" t="str">
            <v>السيد</v>
          </cell>
          <cell r="D312" t="str">
            <v>Maher Hassan Ahmed Alkadhim</v>
          </cell>
          <cell r="E312" t="str">
            <v>ماهر حسن احمد الكاظم</v>
          </cell>
          <cell r="F312" t="str">
            <v>Male</v>
          </cell>
          <cell r="G312" t="str">
            <v>متزوج</v>
          </cell>
          <cell r="H312">
            <v>29983</v>
          </cell>
          <cell r="I312">
            <v>44</v>
          </cell>
          <cell r="J312">
            <v>16207</v>
          </cell>
          <cell r="K312" t="str">
            <v>Maher.AlKadhim@agriserv.sa</v>
          </cell>
          <cell r="L312" t="str">
            <v>0503803871</v>
          </cell>
          <cell r="M312" t="str">
            <v/>
          </cell>
          <cell r="N312" t="str">
            <v>المملكة العربية السعودية</v>
          </cell>
          <cell r="O312" t="str">
            <v>50000962</v>
          </cell>
          <cell r="P312" t="str">
            <v>مساعد مشرف الاستكشاف</v>
          </cell>
          <cell r="Q312" t="str">
            <v>2A الدرجة</v>
          </cell>
          <cell r="R312" t="str">
            <v>Class A</v>
          </cell>
          <cell r="S312" t="str">
            <v/>
          </cell>
          <cell r="T312" t="str">
            <v/>
          </cell>
          <cell r="U312" t="str">
            <v>عمليات الفروع</v>
          </cell>
          <cell r="V312" t="str">
            <v>الفروع</v>
          </cell>
          <cell r="W312" t="str">
            <v>Al Riyadh</v>
          </cell>
          <cell r="X312" t="str">
            <v xml:space="preserve">الفرع </v>
          </cell>
          <cell r="Y312">
            <v>44777</v>
          </cell>
          <cell r="Z312">
            <v>3.87</v>
          </cell>
          <cell r="AA312">
            <v>1413</v>
          </cell>
          <cell r="AB312" t="str">
            <v>غير نشط</v>
          </cell>
          <cell r="AC312" t="str">
            <v>100036</v>
          </cell>
          <cell r="AD312" t="str">
            <v>Ibrahim Alkhuzam</v>
          </cell>
          <cell r="AE312" t="str">
            <v>إعارة</v>
          </cell>
          <cell r="AF312">
            <v>45506</v>
          </cell>
          <cell r="AG312" t="str">
            <v/>
          </cell>
          <cell r="AH312" t="str">
            <v>ثانوية</v>
          </cell>
          <cell r="AI312" t="str">
            <v>شهادة المدرسة الثانوية</v>
          </cell>
          <cell r="AJ312">
            <v>2</v>
          </cell>
          <cell r="AK312">
            <v>1</v>
          </cell>
          <cell r="AL312">
            <v>1</v>
          </cell>
          <cell r="AM312">
            <v>0</v>
          </cell>
          <cell r="AN312" t="str">
            <v/>
          </cell>
          <cell r="AO312" t="str">
            <v>Licensing Department</v>
          </cell>
          <cell r="AP312" t="str">
            <v>Riyad Bank</v>
          </cell>
          <cell r="AQ312" t="str">
            <v>SA4220000003150831419940</v>
          </cell>
          <cell r="AR312">
            <v>10915</v>
          </cell>
          <cell r="AS312" t="str">
            <v/>
          </cell>
          <cell r="AT312">
            <v>100</v>
          </cell>
          <cell r="AU312">
            <v>2728.75</v>
          </cell>
          <cell r="AV312" t="str">
            <v/>
          </cell>
        </row>
        <row r="313">
          <cell r="A313">
            <v>400132</v>
          </cell>
          <cell r="B313" t="str">
            <v>1015548322</v>
          </cell>
          <cell r="C313" t="str">
            <v>السيد</v>
          </cell>
          <cell r="D313" t="str">
            <v>Fahad Yousef Ahmed Alomair</v>
          </cell>
          <cell r="E313" t="str">
            <v>فهد يوسف احمد العمير</v>
          </cell>
          <cell r="F313" t="str">
            <v>Male</v>
          </cell>
          <cell r="G313" t="str">
            <v>أعزب</v>
          </cell>
          <cell r="H313">
            <v>31501</v>
          </cell>
          <cell r="I313">
            <v>40</v>
          </cell>
          <cell r="J313">
            <v>14689</v>
          </cell>
          <cell r="K313" t="str">
            <v>FALOMIR@agriserv.com.sa</v>
          </cell>
          <cell r="L313" t="str">
            <v>0559255582</v>
          </cell>
          <cell r="M313" t="str">
            <v/>
          </cell>
          <cell r="N313" t="str">
            <v>المملكة العربية السعودية</v>
          </cell>
          <cell r="O313" t="str">
            <v>50000963</v>
          </cell>
          <cell r="P313" t="str">
            <v>مساعد مشرف الاستكشاف</v>
          </cell>
          <cell r="Q313" t="str">
            <v>2A الدرجة</v>
          </cell>
          <cell r="R313" t="str">
            <v/>
          </cell>
          <cell r="S313" t="str">
            <v/>
          </cell>
          <cell r="T313" t="str">
            <v/>
          </cell>
          <cell r="U313" t="str">
            <v>عمليات الفروع</v>
          </cell>
          <cell r="V313" t="str">
            <v>الفروع</v>
          </cell>
          <cell r="W313" t="str">
            <v>Al Riyadh</v>
          </cell>
          <cell r="X313" t="str">
            <v xml:space="preserve">الفرع </v>
          </cell>
          <cell r="Y313">
            <v>44777</v>
          </cell>
          <cell r="Z313">
            <v>3.87</v>
          </cell>
          <cell r="AA313">
            <v>1413</v>
          </cell>
          <cell r="AB313" t="str">
            <v>غير نشط</v>
          </cell>
          <cell r="AC313" t="str">
            <v>100071</v>
          </cell>
          <cell r="AD313" t="str">
            <v>ABDULRAHMAN ALJUNAYDIL</v>
          </cell>
          <cell r="AE313" t="str">
            <v>إعارة</v>
          </cell>
          <cell r="AF313">
            <v>45469</v>
          </cell>
          <cell r="AG313" t="str">
            <v/>
          </cell>
          <cell r="AH313" t="str">
            <v/>
          </cell>
          <cell r="AI313" t="str">
            <v/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 t="str">
            <v/>
          </cell>
          <cell r="AO313" t="str">
            <v>Licensing Department</v>
          </cell>
          <cell r="AP313" t="str">
            <v>Al Rajhi Bank</v>
          </cell>
          <cell r="AQ313" t="str">
            <v>SA5380000195608010321672</v>
          </cell>
          <cell r="AR313">
            <v>8810</v>
          </cell>
          <cell r="AS313" t="str">
            <v/>
          </cell>
          <cell r="AT313">
            <v>100</v>
          </cell>
          <cell r="AU313">
            <v>2202.5</v>
          </cell>
          <cell r="AV313" t="str">
            <v/>
          </cell>
        </row>
        <row r="314">
          <cell r="A314">
            <v>400133</v>
          </cell>
          <cell r="B314" t="str">
            <v>1063605933</v>
          </cell>
          <cell r="C314" t="str">
            <v>السيد</v>
          </cell>
          <cell r="D314" t="str">
            <v>Adil Hajed Faisal Alnofeai</v>
          </cell>
          <cell r="E314" t="str">
            <v>عادل هاجد فيصل النفيعي</v>
          </cell>
          <cell r="F314" t="str">
            <v>Male</v>
          </cell>
          <cell r="G314" t="str">
            <v>متزوج</v>
          </cell>
          <cell r="H314">
            <v>30977</v>
          </cell>
          <cell r="I314">
            <v>42</v>
          </cell>
          <cell r="J314">
            <v>15213</v>
          </cell>
          <cell r="K314" t="str">
            <v>Adil.Alnofeai@agriserv.sa</v>
          </cell>
          <cell r="L314" t="str">
            <v>0593444436</v>
          </cell>
          <cell r="M314" t="str">
            <v/>
          </cell>
          <cell r="N314" t="str">
            <v>المملكة العربية السعودية</v>
          </cell>
          <cell r="O314" t="str">
            <v>50000964</v>
          </cell>
          <cell r="P314" t="str">
            <v>مساعد مشرف الاستكشاف</v>
          </cell>
          <cell r="Q314" t="str">
            <v>2A الدرجة</v>
          </cell>
          <cell r="R314" t="str">
            <v>Class A</v>
          </cell>
          <cell r="S314" t="str">
            <v>محجر الخيل</v>
          </cell>
          <cell r="T314" t="str">
            <v>خدمات المحجر</v>
          </cell>
          <cell r="U314" t="str">
            <v>الاذونات وخدمات المحاجر</v>
          </cell>
          <cell r="V314" t="str">
            <v>العمليات</v>
          </cell>
          <cell r="W314" t="str">
            <v>Al Riyadh</v>
          </cell>
          <cell r="X314" t="str">
            <v xml:space="preserve">الفرع </v>
          </cell>
          <cell r="Y314">
            <v>44777</v>
          </cell>
          <cell r="Z314">
            <v>3.87</v>
          </cell>
          <cell r="AA314">
            <v>1413</v>
          </cell>
          <cell r="AB314" t="str">
            <v>نشط</v>
          </cell>
          <cell r="AC314" t="str">
            <v>100051</v>
          </cell>
          <cell r="AD314" t="str">
            <v>Mohammed Alrajban</v>
          </cell>
          <cell r="AE314" t="str">
            <v>إعارة</v>
          </cell>
          <cell r="AF314" t="str">
            <v/>
          </cell>
          <cell r="AG314" t="str">
            <v/>
          </cell>
          <cell r="AH314" t="str">
            <v>سيارات</v>
          </cell>
          <cell r="AI314" t="str">
            <v>دبلوم</v>
          </cell>
          <cell r="AJ314">
            <v>6</v>
          </cell>
          <cell r="AK314">
            <v>5</v>
          </cell>
          <cell r="AL314">
            <v>1</v>
          </cell>
          <cell r="AM314">
            <v>0</v>
          </cell>
          <cell r="AN314" t="str">
            <v/>
          </cell>
          <cell r="AO314" t="str">
            <v>الاذونات وخدمات المحاجر</v>
          </cell>
          <cell r="AP314" t="str">
            <v>Arab National Bank</v>
          </cell>
          <cell r="AQ314" t="str">
            <v>SA0630400108071459240010</v>
          </cell>
          <cell r="AR314">
            <v>14915</v>
          </cell>
          <cell r="AS314" t="str">
            <v/>
          </cell>
          <cell r="AT314">
            <v>100</v>
          </cell>
          <cell r="AU314">
            <v>3728.75</v>
          </cell>
          <cell r="AV314" t="str">
            <v/>
          </cell>
        </row>
        <row r="315">
          <cell r="A315">
            <v>400134</v>
          </cell>
          <cell r="B315" t="str">
            <v>1039922461</v>
          </cell>
          <cell r="C315" t="str">
            <v>السيد</v>
          </cell>
          <cell r="D315" t="str">
            <v>Awadh Ghazzai Ayedh Alotaibi</v>
          </cell>
          <cell r="E315" t="str">
            <v>عواض غزاي عايض العتيبي</v>
          </cell>
          <cell r="F315" t="str">
            <v>Male</v>
          </cell>
          <cell r="G315" t="str">
            <v>متزوج</v>
          </cell>
          <cell r="H315">
            <v>26875</v>
          </cell>
          <cell r="I315">
            <v>53</v>
          </cell>
          <cell r="J315">
            <v>19315</v>
          </cell>
          <cell r="K315" t="str">
            <v>Awadh.Alotaibi@agriserv.sa</v>
          </cell>
          <cell r="L315" t="str">
            <v>0566122283</v>
          </cell>
          <cell r="M315" t="str">
            <v/>
          </cell>
          <cell r="N315" t="str">
            <v>المملكة العربية السعودية</v>
          </cell>
          <cell r="O315" t="str">
            <v>50000965</v>
          </cell>
          <cell r="P315" t="str">
            <v>مهندس زراعي</v>
          </cell>
          <cell r="Q315" t="str">
            <v>الدرجة 3</v>
          </cell>
          <cell r="R315" t="str">
            <v>Class A</v>
          </cell>
          <cell r="S315" t="str">
            <v/>
          </cell>
          <cell r="T315" t="str">
            <v>محافظة ساجر</v>
          </cell>
          <cell r="U315" t="str">
            <v>عمليات الفروع</v>
          </cell>
          <cell r="V315" t="str">
            <v>الفروع</v>
          </cell>
          <cell r="W315" t="str">
            <v>Al Riyadh</v>
          </cell>
          <cell r="X315" t="str">
            <v xml:space="preserve">الفرع </v>
          </cell>
          <cell r="Y315">
            <v>44777</v>
          </cell>
          <cell r="Z315">
            <v>3.87</v>
          </cell>
          <cell r="AA315">
            <v>1413</v>
          </cell>
          <cell r="AB315" t="str">
            <v>نشط</v>
          </cell>
          <cell r="AC315" t="str">
            <v>400115</v>
          </cell>
          <cell r="AD315" t="str">
            <v>Hussain Alotaibi</v>
          </cell>
          <cell r="AE315" t="str">
            <v>إعارة</v>
          </cell>
          <cell r="AF315" t="str">
            <v/>
          </cell>
          <cell r="AG315" t="str">
            <v/>
          </cell>
          <cell r="AH315" t="str">
            <v>محاصيل حقليه</v>
          </cell>
          <cell r="AI315" t="str">
            <v>بكالوريوس</v>
          </cell>
          <cell r="AJ315">
            <v>5</v>
          </cell>
          <cell r="AK315">
            <v>4</v>
          </cell>
          <cell r="AL315">
            <v>1</v>
          </cell>
          <cell r="AM315">
            <v>0</v>
          </cell>
          <cell r="AN315" t="str">
            <v/>
          </cell>
          <cell r="AO315" t="str">
            <v>عمليات الفروع</v>
          </cell>
          <cell r="AP315" t="str">
            <v>Arab National Bank</v>
          </cell>
          <cell r="AQ315" t="str">
            <v>SA3730400108009162310010</v>
          </cell>
          <cell r="AR315">
            <v>18705</v>
          </cell>
          <cell r="AS315" t="str">
            <v/>
          </cell>
          <cell r="AT315">
            <v>970.5</v>
          </cell>
          <cell r="AU315">
            <v>4676.25</v>
          </cell>
          <cell r="AV315" t="str">
            <v/>
          </cell>
        </row>
        <row r="316">
          <cell r="A316">
            <v>400135</v>
          </cell>
          <cell r="B316" t="str">
            <v/>
          </cell>
          <cell r="C316" t="str">
            <v>السيد</v>
          </cell>
          <cell r="D316" t="str">
            <v>Abdullah Ibrahim Saleh Aldawood</v>
          </cell>
          <cell r="E316" t="str">
            <v>عبدالله ابراهيم صالح الداوود</v>
          </cell>
          <cell r="F316" t="str">
            <v>Male</v>
          </cell>
          <cell r="G316" t="str">
            <v>متزوج</v>
          </cell>
          <cell r="H316">
            <v>32178</v>
          </cell>
          <cell r="I316">
            <v>38</v>
          </cell>
          <cell r="J316">
            <v>14012</v>
          </cell>
          <cell r="K316" t="str">
            <v/>
          </cell>
          <cell r="L316" t="str">
            <v/>
          </cell>
          <cell r="M316" t="str">
            <v/>
          </cell>
          <cell r="N316" t="str">
            <v>المملكة العربية السعودية</v>
          </cell>
          <cell r="O316" t="str">
            <v>50000966</v>
          </cell>
          <cell r="P316" t="str">
            <v>مساعد مشرف المكافحة</v>
          </cell>
          <cell r="Q316" t="str">
            <v>الدرجة 7</v>
          </cell>
          <cell r="R316" t="str">
            <v>Class A</v>
          </cell>
          <cell r="S316" t="str">
            <v/>
          </cell>
          <cell r="T316" t="str">
            <v>الدراسة الفنية</v>
          </cell>
          <cell r="U316" t="str">
            <v>التسجيل والمختبرات</v>
          </cell>
          <cell r="V316" t="str">
            <v>التراخيص</v>
          </cell>
          <cell r="W316" t="str">
            <v>Head Quarter</v>
          </cell>
          <cell r="X316" t="str">
            <v xml:space="preserve">المقر الرئيسي </v>
          </cell>
          <cell r="Y316">
            <v>44777</v>
          </cell>
          <cell r="Z316">
            <v>3.87</v>
          </cell>
          <cell r="AA316">
            <v>1413</v>
          </cell>
          <cell r="AB316" t="str">
            <v>غير نشط</v>
          </cell>
          <cell r="AC316" t="str">
            <v>400040</v>
          </cell>
          <cell r="AD316" t="str">
            <v>Hani Barniyah</v>
          </cell>
          <cell r="AE316" t="str">
            <v>إعارة</v>
          </cell>
          <cell r="AF316">
            <v>45535</v>
          </cell>
          <cell r="AG316" t="str">
            <v/>
          </cell>
          <cell r="AH316" t="str">
            <v>انتاج حيواني</v>
          </cell>
          <cell r="AI316" t="str">
            <v>بكالوريوس</v>
          </cell>
          <cell r="AJ316">
            <v>4</v>
          </cell>
          <cell r="AK316">
            <v>1</v>
          </cell>
          <cell r="AL316">
            <v>1</v>
          </cell>
          <cell r="AM316">
            <v>2</v>
          </cell>
          <cell r="AN316" t="str">
            <v/>
          </cell>
          <cell r="AO316" t="str">
            <v>Corp Extension &amp; Protection</v>
          </cell>
          <cell r="AP316" t="str">
            <v>Al Rajhi Bank</v>
          </cell>
          <cell r="AQ316" t="str">
            <v>SA4580000647608016017948</v>
          </cell>
          <cell r="AR316">
            <v>10085</v>
          </cell>
          <cell r="AS316" t="str">
            <v/>
          </cell>
          <cell r="AT316">
            <v>308.5</v>
          </cell>
          <cell r="AU316">
            <v>2521.25</v>
          </cell>
          <cell r="AV316">
            <v>500</v>
          </cell>
        </row>
        <row r="317">
          <cell r="A317">
            <v>400136</v>
          </cell>
          <cell r="B317" t="str">
            <v>1085848735</v>
          </cell>
          <cell r="C317" t="str">
            <v>السيد</v>
          </cell>
          <cell r="D317" t="str">
            <v>Mteeb Naseer Fahad Binbnothman</v>
          </cell>
          <cell r="E317" t="str">
            <v>متعب ناصر فهد بن عثمان</v>
          </cell>
          <cell r="F317" t="str">
            <v>Male</v>
          </cell>
          <cell r="G317" t="str">
            <v>متزوج</v>
          </cell>
          <cell r="H317">
            <v>32001</v>
          </cell>
          <cell r="I317">
            <v>39</v>
          </cell>
          <cell r="J317">
            <v>14189</v>
          </cell>
          <cell r="K317" t="str">
            <v>Muteb.Alothman@agriserv.sa</v>
          </cell>
          <cell r="L317" t="str">
            <v>0553343044</v>
          </cell>
          <cell r="M317" t="str">
            <v>3413</v>
          </cell>
          <cell r="N317" t="str">
            <v>المملكة العربية السعودية</v>
          </cell>
          <cell r="O317" t="str">
            <v>50000967</v>
          </cell>
          <cell r="P317" t="str">
            <v>مساعد مشرف مختبرات الثروة النباتية</v>
          </cell>
          <cell r="Q317" t="str">
            <v>8 الدرجة</v>
          </cell>
          <cell r="R317" t="str">
            <v>Class VIP</v>
          </cell>
          <cell r="S317" t="str">
            <v/>
          </cell>
          <cell r="T317" t="str">
            <v>دراسة نتائج تقييم التجربة</v>
          </cell>
          <cell r="U317" t="str">
            <v>التسجيل والمختبرات</v>
          </cell>
          <cell r="V317" t="str">
            <v>التراخيص</v>
          </cell>
          <cell r="W317" t="str">
            <v>Head Quarter</v>
          </cell>
          <cell r="X317" t="str">
            <v xml:space="preserve">المقر الرئيسي </v>
          </cell>
          <cell r="Y317">
            <v>44777</v>
          </cell>
          <cell r="Z317">
            <v>3.87</v>
          </cell>
          <cell r="AA317">
            <v>1413</v>
          </cell>
          <cell r="AB317" t="str">
            <v>نشط</v>
          </cell>
          <cell r="AC317" t="str">
            <v>100145</v>
          </cell>
          <cell r="AD317" t="str">
            <v>Hani Barniyah</v>
          </cell>
          <cell r="AE317" t="str">
            <v>إعارة</v>
          </cell>
          <cell r="AF317" t="str">
            <v/>
          </cell>
          <cell r="AG317" t="str">
            <v/>
          </cell>
          <cell r="AH317" t="str">
            <v>مختبرات كيميائيه</v>
          </cell>
          <cell r="AI317" t="str">
            <v>دبلوم</v>
          </cell>
          <cell r="AJ317">
            <v>3</v>
          </cell>
          <cell r="AK317">
            <v>2</v>
          </cell>
          <cell r="AL317">
            <v>1</v>
          </cell>
          <cell r="AM317">
            <v>0</v>
          </cell>
          <cell r="AN317" t="str">
            <v/>
          </cell>
          <cell r="AO317" t="str">
            <v>التسجيل</v>
          </cell>
          <cell r="AP317" t="str">
            <v>Al Rajhi Bank</v>
          </cell>
          <cell r="AQ317" t="str">
            <v>SA5580000237608010066269</v>
          </cell>
          <cell r="AR317">
            <v>13505</v>
          </cell>
          <cell r="AS317" t="str">
            <v/>
          </cell>
          <cell r="AT317">
            <v>650.5</v>
          </cell>
          <cell r="AU317">
            <v>3376.25</v>
          </cell>
          <cell r="AV317" t="str">
            <v/>
          </cell>
        </row>
        <row r="318">
          <cell r="A318">
            <v>400137</v>
          </cell>
          <cell r="B318" t="str">
            <v>1049607086</v>
          </cell>
          <cell r="C318" t="str">
            <v>السيد</v>
          </cell>
          <cell r="D318" t="str">
            <v>Fahad Abdulrahman Abdulah Alkhalaf</v>
          </cell>
          <cell r="E318" t="str">
            <v>فهد عبدالرحمن عبدالله الخلف</v>
          </cell>
          <cell r="F318" t="str">
            <v>Male</v>
          </cell>
          <cell r="G318" t="str">
            <v>متزوج</v>
          </cell>
          <cell r="H318">
            <v>25387</v>
          </cell>
          <cell r="I318">
            <v>57</v>
          </cell>
          <cell r="J318">
            <v>20803</v>
          </cell>
          <cell r="K318" t="str">
            <v>Fahad.Alkhalaf@agriserv.sa</v>
          </cell>
          <cell r="L318" t="str">
            <v>0555293315</v>
          </cell>
          <cell r="M318" t="str">
            <v>3204</v>
          </cell>
          <cell r="N318" t="str">
            <v>المملكة العربية السعودية</v>
          </cell>
          <cell r="O318" t="str">
            <v>50000968</v>
          </cell>
          <cell r="P318" t="str">
            <v>طبيب بيطري مساعد</v>
          </cell>
          <cell r="Q318" t="str">
            <v>2B الدرجة</v>
          </cell>
          <cell r="R318" t="str">
            <v>Class A</v>
          </cell>
          <cell r="S318" t="str">
            <v/>
          </cell>
          <cell r="T318" t="str">
            <v>العيادات البيطرية</v>
          </cell>
          <cell r="U318" t="str">
            <v>الخدمات البيطرية</v>
          </cell>
          <cell r="V318" t="str">
            <v>العمليات</v>
          </cell>
          <cell r="W318" t="str">
            <v>Head Quarter</v>
          </cell>
          <cell r="X318" t="str">
            <v xml:space="preserve">المقر الرئيسي </v>
          </cell>
          <cell r="Y318">
            <v>44777</v>
          </cell>
          <cell r="Z318">
            <v>3.87</v>
          </cell>
          <cell r="AA318">
            <v>1413</v>
          </cell>
          <cell r="AB318" t="str">
            <v>نشط</v>
          </cell>
          <cell r="AC318" t="str">
            <v>100188</v>
          </cell>
          <cell r="AD318" t="str">
            <v>Abdulmalik Alrothea</v>
          </cell>
          <cell r="AE318" t="str">
            <v>إعارة</v>
          </cell>
          <cell r="AF318" t="str">
            <v/>
          </cell>
          <cell r="AG318" t="str">
            <v/>
          </cell>
          <cell r="AH318" t="str">
            <v>طب بيطري</v>
          </cell>
          <cell r="AI318" t="str">
            <v>دبلوم</v>
          </cell>
          <cell r="AJ318">
            <v>8</v>
          </cell>
          <cell r="AK318">
            <v>5</v>
          </cell>
          <cell r="AL318">
            <v>1</v>
          </cell>
          <cell r="AM318">
            <v>2</v>
          </cell>
          <cell r="AN318" t="str">
            <v/>
          </cell>
          <cell r="AO318" t="str">
            <v>الخدمات البيطرية</v>
          </cell>
          <cell r="AP318" t="str">
            <v>Saudi Investment Bank</v>
          </cell>
          <cell r="AQ318" t="str">
            <v>SA0265000000116171364001</v>
          </cell>
          <cell r="AR318">
            <v>18705</v>
          </cell>
          <cell r="AS318" t="str">
            <v/>
          </cell>
          <cell r="AT318" t="str">
            <v/>
          </cell>
          <cell r="AU318">
            <v>4676.25</v>
          </cell>
          <cell r="AV318" t="str">
            <v/>
          </cell>
        </row>
        <row r="319">
          <cell r="A319">
            <v>400138</v>
          </cell>
          <cell r="B319" t="str">
            <v>1064376617</v>
          </cell>
          <cell r="C319" t="str">
            <v>السيد</v>
          </cell>
          <cell r="D319" t="str">
            <v>Muath Abdullah Ali Alati</v>
          </cell>
          <cell r="E319" t="str">
            <v>معاذ عبدالله علي العتي</v>
          </cell>
          <cell r="F319" t="str">
            <v>Male</v>
          </cell>
          <cell r="G319" t="str">
            <v>متزوج</v>
          </cell>
          <cell r="H319">
            <v>32874</v>
          </cell>
          <cell r="I319">
            <v>36</v>
          </cell>
          <cell r="J319">
            <v>13316</v>
          </cell>
          <cell r="K319" t="str">
            <v>Muath.Alati@AgriServ.sa</v>
          </cell>
          <cell r="L319" t="str">
            <v>0554411966</v>
          </cell>
          <cell r="M319" t="str">
            <v>3414</v>
          </cell>
          <cell r="N319" t="str">
            <v>المملكة العربية السعودية</v>
          </cell>
          <cell r="O319" t="str">
            <v>50000969</v>
          </cell>
          <cell r="P319" t="str">
            <v>مساعد مشرف تسجيل المعدات واللوازم الزراعية</v>
          </cell>
          <cell r="Q319" t="str">
            <v>الدرجة 7</v>
          </cell>
          <cell r="R319" t="str">
            <v>Class A</v>
          </cell>
          <cell r="S319" t="str">
            <v/>
          </cell>
          <cell r="T319" t="str">
            <v>تدقيق ومراجعة المستندات</v>
          </cell>
          <cell r="U319" t="str">
            <v>التسجيل والمختبرات</v>
          </cell>
          <cell r="V319" t="str">
            <v>التراخيص</v>
          </cell>
          <cell r="W319" t="str">
            <v>Head Quarter</v>
          </cell>
          <cell r="X319" t="str">
            <v xml:space="preserve">المقر الرئيسي </v>
          </cell>
          <cell r="Y319">
            <v>44777</v>
          </cell>
          <cell r="Z319">
            <v>3.87</v>
          </cell>
          <cell r="AA319">
            <v>1413</v>
          </cell>
          <cell r="AB319" t="str">
            <v>نشط</v>
          </cell>
          <cell r="AC319" t="str">
            <v>100054</v>
          </cell>
          <cell r="AD319" t="str">
            <v>Nouf Bin Sultan</v>
          </cell>
          <cell r="AE319" t="str">
            <v>إعارة</v>
          </cell>
          <cell r="AF319" t="str">
            <v/>
          </cell>
          <cell r="AG319" t="str">
            <v/>
          </cell>
          <cell r="AH319" t="str">
            <v>مختبرات كيميائيه</v>
          </cell>
          <cell r="AI319" t="str">
            <v>دبلوم</v>
          </cell>
          <cell r="AJ319">
            <v>6</v>
          </cell>
          <cell r="AK319">
            <v>3</v>
          </cell>
          <cell r="AL319">
            <v>1</v>
          </cell>
          <cell r="AM319">
            <v>2</v>
          </cell>
          <cell r="AN319" t="str">
            <v/>
          </cell>
          <cell r="AO319" t="str">
            <v>التسجيل</v>
          </cell>
          <cell r="AP319" t="str">
            <v>Al Rajhi Bank</v>
          </cell>
          <cell r="AQ319" t="str">
            <v>SA9680000369608010352065</v>
          </cell>
          <cell r="AR319">
            <v>13505</v>
          </cell>
          <cell r="AS319" t="str">
            <v/>
          </cell>
          <cell r="AT319">
            <v>650.5</v>
          </cell>
          <cell r="AU319">
            <v>3376.25</v>
          </cell>
          <cell r="AV319" t="str">
            <v/>
          </cell>
        </row>
        <row r="320">
          <cell r="A320">
            <v>400139</v>
          </cell>
          <cell r="B320" t="str">
            <v>1079938500</v>
          </cell>
          <cell r="C320" t="str">
            <v>السيد</v>
          </cell>
          <cell r="D320" t="str">
            <v>Omar Rumaih Saleh Alrumaihi</v>
          </cell>
          <cell r="E320" t="str">
            <v>عمر رميح صالح الرميحي</v>
          </cell>
          <cell r="F320" t="str">
            <v>Male</v>
          </cell>
          <cell r="G320" t="str">
            <v>متزوج</v>
          </cell>
          <cell r="H320">
            <v>34326</v>
          </cell>
          <cell r="I320">
            <v>32</v>
          </cell>
          <cell r="J320">
            <v>11864</v>
          </cell>
          <cell r="K320" t="str">
            <v>Omar.AlRumaihi@agriserv.sa</v>
          </cell>
          <cell r="L320" t="str">
            <v>0509843377</v>
          </cell>
          <cell r="M320" t="str">
            <v>3202</v>
          </cell>
          <cell r="N320" t="str">
            <v>المملكة العربية السعودية</v>
          </cell>
          <cell r="O320" t="str">
            <v>50000970</v>
          </cell>
          <cell r="P320" t="str">
            <v>طبيب بيطري</v>
          </cell>
          <cell r="Q320" t="str">
            <v>الدرجة 4</v>
          </cell>
          <cell r="R320" t="str">
            <v>Class A</v>
          </cell>
          <cell r="S320" t="str">
            <v/>
          </cell>
          <cell r="T320" t="str">
            <v>الاذونات</v>
          </cell>
          <cell r="U320" t="str">
            <v>الاذونات وخدمات المحاجر</v>
          </cell>
          <cell r="V320" t="str">
            <v>العمليات</v>
          </cell>
          <cell r="W320" t="str">
            <v>Head Quarter</v>
          </cell>
          <cell r="X320" t="str">
            <v xml:space="preserve">المقر الرئيسي </v>
          </cell>
          <cell r="Y320">
            <v>44777</v>
          </cell>
          <cell r="Z320">
            <v>3.87</v>
          </cell>
          <cell r="AA320">
            <v>1413</v>
          </cell>
          <cell r="AB320" t="str">
            <v>نشط</v>
          </cell>
          <cell r="AC320" t="str">
            <v>100135</v>
          </cell>
          <cell r="AD320" t="str">
            <v>Abdulrahman Alzahrani</v>
          </cell>
          <cell r="AE320" t="str">
            <v>إعارة</v>
          </cell>
          <cell r="AF320" t="str">
            <v/>
          </cell>
          <cell r="AG320" t="str">
            <v/>
          </cell>
          <cell r="AH320" t="str">
            <v>طب بيطري</v>
          </cell>
          <cell r="AI320" t="str">
            <v>بكالوريوس</v>
          </cell>
          <cell r="AJ320">
            <v>3</v>
          </cell>
          <cell r="AK320">
            <v>1</v>
          </cell>
          <cell r="AL320">
            <v>1</v>
          </cell>
          <cell r="AM320">
            <v>1</v>
          </cell>
          <cell r="AN320" t="str">
            <v/>
          </cell>
          <cell r="AO320" t="str">
            <v>الاذونات وخدمات المحاجر</v>
          </cell>
          <cell r="AP320" t="str">
            <v>Al Rajhi Bank</v>
          </cell>
          <cell r="AQ320" t="str">
            <v>SA9780000493608010070658</v>
          </cell>
          <cell r="AR320">
            <v>12095</v>
          </cell>
          <cell r="AS320" t="str">
            <v/>
          </cell>
          <cell r="AT320">
            <v>509.5</v>
          </cell>
          <cell r="AU320">
            <v>3023.75</v>
          </cell>
          <cell r="AV320" t="str">
            <v/>
          </cell>
        </row>
        <row r="321">
          <cell r="A321">
            <v>400140</v>
          </cell>
          <cell r="B321" t="str">
            <v>1084408796</v>
          </cell>
          <cell r="C321" t="str">
            <v>السيد</v>
          </cell>
          <cell r="D321" t="str">
            <v>Abduallah Ali Mohammed Alshehri</v>
          </cell>
          <cell r="E321" t="str">
            <v>عبدالله علي محمد الشهري</v>
          </cell>
          <cell r="F321" t="str">
            <v>Male</v>
          </cell>
          <cell r="G321" t="str">
            <v>متزوج</v>
          </cell>
          <cell r="H321">
            <v>33512</v>
          </cell>
          <cell r="I321">
            <v>35</v>
          </cell>
          <cell r="J321">
            <v>12678</v>
          </cell>
          <cell r="K321" t="str">
            <v>Abdullah.Alshehri@agriserv.sa</v>
          </cell>
          <cell r="L321" t="str">
            <v>0500465388</v>
          </cell>
          <cell r="M321" t="str">
            <v>3000</v>
          </cell>
          <cell r="N321" t="str">
            <v>المملكة العربية السعودية</v>
          </cell>
          <cell r="O321" t="str">
            <v>50000971</v>
          </cell>
          <cell r="P321" t="str">
            <v>مساعد مشرف العيادات البيطرية</v>
          </cell>
          <cell r="Q321" t="str">
            <v>الدرجة 7</v>
          </cell>
          <cell r="R321" t="str">
            <v>Class A</v>
          </cell>
          <cell r="S321" t="str">
            <v/>
          </cell>
          <cell r="T321" t="str">
            <v>العيادات البيطرية</v>
          </cell>
          <cell r="U321" t="str">
            <v>الخدمات البيطرية</v>
          </cell>
          <cell r="V321" t="str">
            <v>العمليات</v>
          </cell>
          <cell r="W321" t="str">
            <v>Head Quarter</v>
          </cell>
          <cell r="X321" t="str">
            <v xml:space="preserve">المقر الرئيسي </v>
          </cell>
          <cell r="Y321">
            <v>44777</v>
          </cell>
          <cell r="Z321">
            <v>3.87</v>
          </cell>
          <cell r="AA321">
            <v>1413</v>
          </cell>
          <cell r="AB321" t="str">
            <v>نشط</v>
          </cell>
          <cell r="AC321" t="str">
            <v>100188</v>
          </cell>
          <cell r="AD321" t="str">
            <v>Abdulmalik Alrothea</v>
          </cell>
          <cell r="AE321" t="str">
            <v>إعارة</v>
          </cell>
          <cell r="AF321" t="str">
            <v/>
          </cell>
          <cell r="AG321" t="str">
            <v/>
          </cell>
          <cell r="AH321" t="str">
            <v>طب بيطري</v>
          </cell>
          <cell r="AI321" t="str">
            <v>دبلوم</v>
          </cell>
          <cell r="AJ321">
            <v>6</v>
          </cell>
          <cell r="AK321">
            <v>3</v>
          </cell>
          <cell r="AL321">
            <v>1</v>
          </cell>
          <cell r="AM321">
            <v>2</v>
          </cell>
          <cell r="AN321" t="str">
            <v/>
          </cell>
          <cell r="AO321" t="str">
            <v>الخدمات البيطرية</v>
          </cell>
          <cell r="AP321" t="str">
            <v>Saudi Investment Bank</v>
          </cell>
          <cell r="AQ321" t="str">
            <v>SA5365000000138582000001</v>
          </cell>
          <cell r="AR321">
            <v>9565</v>
          </cell>
          <cell r="AS321" t="str">
            <v/>
          </cell>
          <cell r="AT321">
            <v>256.5</v>
          </cell>
          <cell r="AU321">
            <v>2391.25</v>
          </cell>
          <cell r="AV321" t="str">
            <v/>
          </cell>
        </row>
        <row r="322">
          <cell r="A322">
            <v>400141</v>
          </cell>
          <cell r="B322" t="str">
            <v>1014377004</v>
          </cell>
          <cell r="C322" t="str">
            <v>السيد</v>
          </cell>
          <cell r="D322" t="str">
            <v>Hussain Ghazi Ali Lulu</v>
          </cell>
          <cell r="E322" t="str">
            <v>حسين غازي علي لؤلؤ</v>
          </cell>
          <cell r="F322" t="str">
            <v>Male</v>
          </cell>
          <cell r="G322" t="str">
            <v>متزوج</v>
          </cell>
          <cell r="H322">
            <v>30809</v>
          </cell>
          <cell r="I322">
            <v>42</v>
          </cell>
          <cell r="J322">
            <v>15381</v>
          </cell>
          <cell r="K322" t="str">
            <v>Hussain.Lulu@agriserv.sa</v>
          </cell>
          <cell r="L322" t="str">
            <v>0536066907</v>
          </cell>
          <cell r="M322" t="str">
            <v>3203</v>
          </cell>
          <cell r="N322" t="str">
            <v>المملكة العربية السعودية</v>
          </cell>
          <cell r="O322" t="str">
            <v>50000972</v>
          </cell>
          <cell r="P322" t="str">
            <v>مساعد مشرف العيادات البيطرية</v>
          </cell>
          <cell r="Q322" t="str">
            <v>الدرجة 7</v>
          </cell>
          <cell r="R322" t="str">
            <v>Class A</v>
          </cell>
          <cell r="S322" t="str">
            <v/>
          </cell>
          <cell r="T322" t="str">
            <v>مكافحة الامراض الحيوانية</v>
          </cell>
          <cell r="U322" t="str">
            <v>الخدمات البيطرية</v>
          </cell>
          <cell r="V322" t="str">
            <v>العمليات</v>
          </cell>
          <cell r="W322" t="str">
            <v>Head Quarter</v>
          </cell>
          <cell r="X322" t="str">
            <v xml:space="preserve">المقر الرئيسي </v>
          </cell>
          <cell r="Y322">
            <v>44777</v>
          </cell>
          <cell r="Z322">
            <v>3.87</v>
          </cell>
          <cell r="AA322">
            <v>1413</v>
          </cell>
          <cell r="AB322" t="str">
            <v>نشط</v>
          </cell>
          <cell r="AC322" t="str">
            <v>400003</v>
          </cell>
          <cell r="AD322" t="str">
            <v>Ibrahim Bukhari</v>
          </cell>
          <cell r="AE322" t="str">
            <v>إعارة</v>
          </cell>
          <cell r="AF322" t="str">
            <v/>
          </cell>
          <cell r="AG322" t="str">
            <v/>
          </cell>
          <cell r="AH322" t="str">
            <v>طب بيطري</v>
          </cell>
          <cell r="AI322" t="str">
            <v>بكالوريوس</v>
          </cell>
          <cell r="AJ322">
            <v>5</v>
          </cell>
          <cell r="AK322">
            <v>3</v>
          </cell>
          <cell r="AL322">
            <v>1</v>
          </cell>
          <cell r="AM322">
            <v>1</v>
          </cell>
          <cell r="AN322" t="str">
            <v/>
          </cell>
          <cell r="AO322" t="str">
            <v>الخدمات البيطرية</v>
          </cell>
          <cell r="AP322" t="str">
            <v>Inma Bank</v>
          </cell>
          <cell r="AQ322" t="str">
            <v>SA4105000068201760529000</v>
          </cell>
          <cell r="AR322">
            <v>11745</v>
          </cell>
          <cell r="AS322" t="str">
            <v/>
          </cell>
          <cell r="AT322">
            <v>474.5</v>
          </cell>
          <cell r="AU322">
            <v>2936.25</v>
          </cell>
          <cell r="AV322" t="str">
            <v/>
          </cell>
        </row>
        <row r="323">
          <cell r="A323">
            <v>400142</v>
          </cell>
          <cell r="B323" t="str">
            <v>1064927567</v>
          </cell>
          <cell r="C323" t="str">
            <v>السيد</v>
          </cell>
          <cell r="D323" t="str">
            <v>Mohammed Awwadh Saleh Alkhudaydi</v>
          </cell>
          <cell r="E323" t="str">
            <v>محمد عواض صالح الخديدي</v>
          </cell>
          <cell r="F323" t="str">
            <v>Male</v>
          </cell>
          <cell r="G323" t="str">
            <v>أعزب</v>
          </cell>
          <cell r="H323">
            <v>32915</v>
          </cell>
          <cell r="I323">
            <v>36</v>
          </cell>
          <cell r="J323">
            <v>13275</v>
          </cell>
          <cell r="K323" t="str">
            <v>Mohammed.Alkhudaydi@agriserv.sa</v>
          </cell>
          <cell r="L323" t="str">
            <v>0557428414</v>
          </cell>
          <cell r="M323" t="str">
            <v>3409</v>
          </cell>
          <cell r="N323" t="str">
            <v>المملكة العربية السعودية</v>
          </cell>
          <cell r="O323" t="str">
            <v>50000973</v>
          </cell>
          <cell r="P323" t="str">
            <v>أخصائي الأمن الحيوي للثروة السمكية</v>
          </cell>
          <cell r="Q323" t="str">
            <v>الدرجة ٥</v>
          </cell>
          <cell r="R323" t="str">
            <v>Class A</v>
          </cell>
          <cell r="S323" t="str">
            <v/>
          </cell>
          <cell r="T323" t="str">
            <v>تدقيق ومراجعة المستندات</v>
          </cell>
          <cell r="U323" t="str">
            <v>التسجيل والمختبرات</v>
          </cell>
          <cell r="V323" t="str">
            <v>التراخيص</v>
          </cell>
          <cell r="W323" t="str">
            <v>Head Quarter</v>
          </cell>
          <cell r="X323" t="str">
            <v xml:space="preserve">المقر الرئيسي </v>
          </cell>
          <cell r="Y323">
            <v>44777</v>
          </cell>
          <cell r="Z323">
            <v>3.87</v>
          </cell>
          <cell r="AA323">
            <v>1413</v>
          </cell>
          <cell r="AB323" t="str">
            <v>نشط</v>
          </cell>
          <cell r="AC323" t="str">
            <v>100054</v>
          </cell>
          <cell r="AD323" t="str">
            <v>Nouf Bin Sultan</v>
          </cell>
          <cell r="AE323" t="str">
            <v>إعارة</v>
          </cell>
          <cell r="AF323" t="str">
            <v/>
          </cell>
          <cell r="AG323" t="str">
            <v/>
          </cell>
          <cell r="AH323" t="str">
            <v>التقنية الحيوية</v>
          </cell>
          <cell r="AI323" t="str">
            <v>بكالوريوس</v>
          </cell>
          <cell r="AJ323">
            <v>2</v>
          </cell>
          <cell r="AK323">
            <v>0</v>
          </cell>
          <cell r="AL323">
            <v>0</v>
          </cell>
          <cell r="AM323">
            <v>2</v>
          </cell>
          <cell r="AN323" t="str">
            <v/>
          </cell>
          <cell r="AO323" t="str">
            <v>التسجيل</v>
          </cell>
          <cell r="AP323" t="str">
            <v>Al Rajhi Bank</v>
          </cell>
          <cell r="AQ323" t="str">
            <v>SA6180000232608010371573</v>
          </cell>
          <cell r="AR323">
            <v>12565</v>
          </cell>
          <cell r="AS323" t="str">
            <v/>
          </cell>
          <cell r="AT323">
            <v>556.5</v>
          </cell>
          <cell r="AU323">
            <v>3141.25</v>
          </cell>
          <cell r="AV323" t="str">
            <v/>
          </cell>
        </row>
        <row r="324">
          <cell r="A324">
            <v>400143</v>
          </cell>
          <cell r="B324" t="str">
            <v>1060058722</v>
          </cell>
          <cell r="C324" t="str">
            <v>السيد</v>
          </cell>
          <cell r="D324" t="str">
            <v>Raed Ali Saleh Hassan</v>
          </cell>
          <cell r="E324" t="str">
            <v>رائد علي صالح الحسن</v>
          </cell>
          <cell r="F324" t="str">
            <v>Male</v>
          </cell>
          <cell r="G324" t="str">
            <v>أعزب</v>
          </cell>
          <cell r="H324">
            <v>30625</v>
          </cell>
          <cell r="I324">
            <v>43</v>
          </cell>
          <cell r="J324">
            <v>15565</v>
          </cell>
          <cell r="K324" t="str">
            <v>RALHASSAN@agriserv.com.sa</v>
          </cell>
          <cell r="L324" t="str">
            <v>0540282599</v>
          </cell>
          <cell r="M324" t="str">
            <v/>
          </cell>
          <cell r="N324" t="str">
            <v>المملكة العربية السعودية</v>
          </cell>
          <cell r="O324" t="str">
            <v>50000974</v>
          </cell>
          <cell r="P324" t="str">
            <v>مشرف مختبرات الثروة السمكية</v>
          </cell>
          <cell r="Q324" t="str">
            <v>8 الدرجة</v>
          </cell>
          <cell r="R324" t="str">
            <v/>
          </cell>
          <cell r="S324" t="str">
            <v/>
          </cell>
          <cell r="T324" t="str">
            <v/>
          </cell>
          <cell r="U324" t="str">
            <v>التراخيص</v>
          </cell>
          <cell r="V324" t="str">
            <v>التراخيص</v>
          </cell>
          <cell r="W324" t="str">
            <v>Head Quarter</v>
          </cell>
          <cell r="X324" t="str">
            <v xml:space="preserve">المقر الرئيسي </v>
          </cell>
          <cell r="Y324">
            <v>44777</v>
          </cell>
          <cell r="Z324">
            <v>3.87</v>
          </cell>
          <cell r="AA324">
            <v>1413</v>
          </cell>
          <cell r="AB324" t="str">
            <v>غير نشط</v>
          </cell>
          <cell r="AC324" t="str">
            <v>400002</v>
          </cell>
          <cell r="AD324" t="str">
            <v>Abdulaziz Alkhamshi</v>
          </cell>
          <cell r="AE324" t="str">
            <v>إعارة</v>
          </cell>
          <cell r="AF324">
            <v>45273</v>
          </cell>
          <cell r="AG324" t="str">
            <v/>
          </cell>
          <cell r="AH324" t="str">
            <v/>
          </cell>
          <cell r="AI324" t="str">
            <v/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 t="str">
            <v/>
          </cell>
          <cell r="AO324" t="str">
            <v>Fisheries Extension &amp; Protection</v>
          </cell>
          <cell r="AP324" t="str">
            <v>Saudi National Bank</v>
          </cell>
          <cell r="AQ324" t="str">
            <v>SA5410000067800000719809</v>
          </cell>
          <cell r="AR324">
            <v>14355</v>
          </cell>
          <cell r="AS324" t="str">
            <v/>
          </cell>
          <cell r="AT324">
            <v>735.5</v>
          </cell>
          <cell r="AU324">
            <v>3588.75</v>
          </cell>
          <cell r="AV324" t="str">
            <v/>
          </cell>
        </row>
        <row r="325">
          <cell r="A325">
            <v>400144</v>
          </cell>
          <cell r="B325" t="str">
            <v>1069547063</v>
          </cell>
          <cell r="C325" t="str">
            <v>السيد</v>
          </cell>
          <cell r="D325" t="str">
            <v>Hosam Jamaan Ahmad ALZahrani</v>
          </cell>
          <cell r="E325" t="str">
            <v>حسام جمعان احمد الزهراني</v>
          </cell>
          <cell r="F325" t="str">
            <v>Male</v>
          </cell>
          <cell r="G325" t="str">
            <v>متزوج</v>
          </cell>
          <cell r="H325">
            <v>33147</v>
          </cell>
          <cell r="I325">
            <v>36</v>
          </cell>
          <cell r="J325">
            <v>13043</v>
          </cell>
          <cell r="K325" t="str">
            <v>Hosam.Alzhrani@agriserv.sa</v>
          </cell>
          <cell r="L325" t="str">
            <v>0509833398</v>
          </cell>
          <cell r="M325" t="str">
            <v/>
          </cell>
          <cell r="N325" t="str">
            <v>المملكة العربية السعودية</v>
          </cell>
          <cell r="O325" t="str">
            <v>50000975</v>
          </cell>
          <cell r="P325" t="str">
            <v>أخصائي تقييم مخاطر الثروة السمكية</v>
          </cell>
          <cell r="Q325" t="str">
            <v>الدرجة ٥</v>
          </cell>
          <cell r="R325" t="str">
            <v>Class A</v>
          </cell>
          <cell r="S325" t="str">
            <v>محجر ميناء الملك عبدالله رابغ</v>
          </cell>
          <cell r="T325" t="str">
            <v>خدمات المحجر</v>
          </cell>
          <cell r="U325" t="str">
            <v>الاذونات وخدمات المحاجر</v>
          </cell>
          <cell r="V325" t="str">
            <v>العمليات</v>
          </cell>
          <cell r="W325" t="str">
            <v>Makkah</v>
          </cell>
          <cell r="X325" t="str">
            <v xml:space="preserve">الفرع </v>
          </cell>
          <cell r="Y325">
            <v>44777</v>
          </cell>
          <cell r="Z325">
            <v>3.87</v>
          </cell>
          <cell r="AA325">
            <v>1413</v>
          </cell>
          <cell r="AB325" t="str">
            <v>نشط</v>
          </cell>
          <cell r="AC325" t="str">
            <v>400275</v>
          </cell>
          <cell r="AD325" t="str">
            <v>Tareq Almalekei</v>
          </cell>
          <cell r="AE325" t="str">
            <v>إعارة</v>
          </cell>
          <cell r="AF325" t="str">
            <v/>
          </cell>
          <cell r="AG325" t="str">
            <v/>
          </cell>
          <cell r="AH325" t="str">
            <v>علم الإحياء</v>
          </cell>
          <cell r="AI325" t="str">
            <v>بكالوريوس</v>
          </cell>
          <cell r="AJ325">
            <v>5</v>
          </cell>
          <cell r="AK325">
            <v>2</v>
          </cell>
          <cell r="AL325">
            <v>1</v>
          </cell>
          <cell r="AM325">
            <v>2</v>
          </cell>
          <cell r="AN325" t="str">
            <v/>
          </cell>
          <cell r="AO325" t="str">
            <v>الاذونات وخدمات المحاجر</v>
          </cell>
          <cell r="AP325" t="str">
            <v>Al Rajhi Bank</v>
          </cell>
          <cell r="AQ325" t="str">
            <v>SA9680000112608010540776</v>
          </cell>
          <cell r="AR325">
            <v>10915</v>
          </cell>
          <cell r="AS325" t="str">
            <v/>
          </cell>
          <cell r="AT325">
            <v>391.5</v>
          </cell>
          <cell r="AU325">
            <v>2728.75</v>
          </cell>
          <cell r="AV325" t="str">
            <v/>
          </cell>
        </row>
        <row r="326">
          <cell r="A326">
            <v>400145</v>
          </cell>
          <cell r="B326" t="str">
            <v>1047545387</v>
          </cell>
          <cell r="C326" t="str">
            <v>السيد</v>
          </cell>
          <cell r="D326" t="str">
            <v>Ahmad Mohammd Hussain Alabdallateef</v>
          </cell>
          <cell r="E326" t="str">
            <v>احمد محمد حسين العبداللطيف</v>
          </cell>
          <cell r="F326" t="str">
            <v>Male</v>
          </cell>
          <cell r="G326" t="str">
            <v>متزوج</v>
          </cell>
          <cell r="H326">
            <v>31844</v>
          </cell>
          <cell r="I326">
            <v>39</v>
          </cell>
          <cell r="J326">
            <v>14346</v>
          </cell>
          <cell r="K326" t="str">
            <v>ahmed.alabdullatif@agriserv.sa</v>
          </cell>
          <cell r="L326" t="str">
            <v>0569385596</v>
          </cell>
          <cell r="M326" t="str">
            <v/>
          </cell>
          <cell r="N326" t="str">
            <v>المملكة العربية السعودية</v>
          </cell>
          <cell r="O326" t="str">
            <v>50000976</v>
          </cell>
          <cell r="P326" t="str">
            <v>أخصائي أول البرامج الوقائية</v>
          </cell>
          <cell r="Q326" t="str">
            <v>الدرجة ٥</v>
          </cell>
          <cell r="R326" t="str">
            <v>Class A</v>
          </cell>
          <cell r="S326" t="str">
            <v/>
          </cell>
          <cell r="T326" t="str">
            <v/>
          </cell>
          <cell r="U326" t="str">
            <v>عمليات الفروع</v>
          </cell>
          <cell r="V326" t="str">
            <v>الفروع</v>
          </cell>
          <cell r="W326" t="str">
            <v>Al Riyadh</v>
          </cell>
          <cell r="X326" t="str">
            <v xml:space="preserve">الفرع </v>
          </cell>
          <cell r="Y326">
            <v>44777</v>
          </cell>
          <cell r="Z326">
            <v>3.87</v>
          </cell>
          <cell r="AA326">
            <v>1413</v>
          </cell>
          <cell r="AB326" t="str">
            <v>غير نشط</v>
          </cell>
          <cell r="AC326" t="str">
            <v>100036</v>
          </cell>
          <cell r="AD326" t="str">
            <v>Ibrahim Alkhuzam</v>
          </cell>
          <cell r="AE326" t="str">
            <v>إعارة</v>
          </cell>
          <cell r="AF326">
            <v>45526</v>
          </cell>
          <cell r="AG326" t="str">
            <v/>
          </cell>
          <cell r="AH326" t="str">
            <v>طب بيطري</v>
          </cell>
          <cell r="AI326" t="str">
            <v>بكالوريوس</v>
          </cell>
          <cell r="AJ326">
            <v>3</v>
          </cell>
          <cell r="AK326">
            <v>0</v>
          </cell>
          <cell r="AL326">
            <v>1</v>
          </cell>
          <cell r="AM326">
            <v>2</v>
          </cell>
          <cell r="AN326" t="str">
            <v/>
          </cell>
          <cell r="AO326" t="str">
            <v>Livestock Extension &amp; Protection</v>
          </cell>
          <cell r="AP326" t="str">
            <v>Saudi National Bank</v>
          </cell>
          <cell r="AQ326" t="str">
            <v>SA3710000005854865000109</v>
          </cell>
          <cell r="AR326">
            <v>9274</v>
          </cell>
          <cell r="AS326" t="str">
            <v/>
          </cell>
          <cell r="AT326">
            <v>427.4</v>
          </cell>
          <cell r="AU326">
            <v>2318.5</v>
          </cell>
          <cell r="AV326" t="str">
            <v/>
          </cell>
        </row>
        <row r="327">
          <cell r="A327">
            <v>400146</v>
          </cell>
          <cell r="B327" t="str">
            <v>1120200801</v>
          </cell>
          <cell r="C327" t="str">
            <v>السيد</v>
          </cell>
          <cell r="D327" t="str">
            <v>Talal Muhammad Khalaf Alotaibi</v>
          </cell>
          <cell r="E327" t="str">
            <v>طلال محمد خلف العتيبي</v>
          </cell>
          <cell r="F327" t="str">
            <v>Male</v>
          </cell>
          <cell r="G327" t="str">
            <v>متزوج</v>
          </cell>
          <cell r="H327">
            <v>33541</v>
          </cell>
          <cell r="I327">
            <v>35</v>
          </cell>
          <cell r="J327">
            <v>12649</v>
          </cell>
          <cell r="K327" t="str">
            <v>Talal.AlOtaibi@agriserv.sa</v>
          </cell>
          <cell r="L327" t="str">
            <v>0500988929</v>
          </cell>
          <cell r="M327" t="str">
            <v>5200</v>
          </cell>
          <cell r="N327" t="str">
            <v>المملكة العربية السعودية</v>
          </cell>
          <cell r="O327" t="str">
            <v>50000977</v>
          </cell>
          <cell r="P327" t="str">
            <v>أخصائي أول مكافحة الأمراض</v>
          </cell>
          <cell r="Q327" t="str">
            <v>الدرجة ٥</v>
          </cell>
          <cell r="R327" t="str">
            <v>Class A</v>
          </cell>
          <cell r="S327" t="str">
            <v/>
          </cell>
          <cell r="T327" t="str">
            <v>عيادة جنوب الرياض</v>
          </cell>
          <cell r="U327" t="str">
            <v>عمليات الفروع</v>
          </cell>
          <cell r="V327" t="str">
            <v>الفروع</v>
          </cell>
          <cell r="W327" t="str">
            <v>Head Quarter</v>
          </cell>
          <cell r="X327" t="str">
            <v xml:space="preserve">المقر الرئيسي </v>
          </cell>
          <cell r="Y327">
            <v>44777</v>
          </cell>
          <cell r="Z327">
            <v>3.87</v>
          </cell>
          <cell r="AA327">
            <v>1413</v>
          </cell>
          <cell r="AB327" t="str">
            <v>نشط</v>
          </cell>
          <cell r="AC327" t="str">
            <v>100063</v>
          </cell>
          <cell r="AD327" t="str">
            <v>Hazza Alruwaili</v>
          </cell>
          <cell r="AE327" t="str">
            <v>إعارة</v>
          </cell>
          <cell r="AF327" t="str">
            <v/>
          </cell>
          <cell r="AG327" t="str">
            <v/>
          </cell>
          <cell r="AH327" t="str">
            <v>ثانوية</v>
          </cell>
          <cell r="AI327" t="str">
            <v>شهادة المدرسة الثانوية</v>
          </cell>
          <cell r="AJ327">
            <v>4</v>
          </cell>
          <cell r="AK327">
            <v>1</v>
          </cell>
          <cell r="AL327">
            <v>1</v>
          </cell>
          <cell r="AM327">
            <v>2</v>
          </cell>
          <cell r="AN327" t="str">
            <v/>
          </cell>
          <cell r="AO327" t="str">
            <v>عمليات الفروع</v>
          </cell>
          <cell r="AP327" t="str">
            <v>Al Rajhi Bank</v>
          </cell>
          <cell r="AQ327" t="str">
            <v>SA3980000493608010016024</v>
          </cell>
          <cell r="AR327">
            <v>9934</v>
          </cell>
          <cell r="AS327" t="str">
            <v/>
          </cell>
          <cell r="AT327">
            <v>493.4</v>
          </cell>
          <cell r="AU327">
            <v>2483.5</v>
          </cell>
          <cell r="AV327" t="str">
            <v/>
          </cell>
        </row>
        <row r="328">
          <cell r="A328">
            <v>400147</v>
          </cell>
          <cell r="B328" t="str">
            <v>1066694942</v>
          </cell>
          <cell r="C328" t="str">
            <v>السيد</v>
          </cell>
          <cell r="D328" t="str">
            <v>Hussain Alhumoud</v>
          </cell>
          <cell r="E328" t="str">
            <v>حسين   الحمود</v>
          </cell>
          <cell r="F328" t="str">
            <v>Male</v>
          </cell>
          <cell r="G328" t="str">
            <v>أعزب</v>
          </cell>
          <cell r="H328">
            <v>33034</v>
          </cell>
          <cell r="I328">
            <v>36</v>
          </cell>
          <cell r="J328">
            <v>13156</v>
          </cell>
          <cell r="K328" t="str">
            <v>HALHUMOUD@agriserv.com.sa</v>
          </cell>
          <cell r="L328" t="str">
            <v>0595049426</v>
          </cell>
          <cell r="M328" t="str">
            <v/>
          </cell>
          <cell r="N328" t="str">
            <v>المملكة العربية السعودية</v>
          </cell>
          <cell r="O328" t="str">
            <v>50000978</v>
          </cell>
          <cell r="P328" t="str">
            <v>طبيب بيطري</v>
          </cell>
          <cell r="Q328" t="str">
            <v>الدرجة 3</v>
          </cell>
          <cell r="R328" t="str">
            <v/>
          </cell>
          <cell r="S328" t="str">
            <v/>
          </cell>
          <cell r="T328" t="str">
            <v>المنشآت البيطرية</v>
          </cell>
          <cell r="U328" t="str">
            <v>الخدمات الصحية و الإرشاد ودعم التسويق للثروة الحيوانية</v>
          </cell>
          <cell r="V328" t="str">
            <v>العمليات</v>
          </cell>
          <cell r="W328" t="str">
            <v>Al Riyadh</v>
          </cell>
          <cell r="X328" t="str">
            <v xml:space="preserve">الفرع </v>
          </cell>
          <cell r="Y328">
            <v>44777</v>
          </cell>
          <cell r="Z328">
            <v>3.87</v>
          </cell>
          <cell r="AA328">
            <v>1413</v>
          </cell>
          <cell r="AB328" t="str">
            <v>غير نشط</v>
          </cell>
          <cell r="AC328" t="str">
            <v>400209</v>
          </cell>
          <cell r="AD328" t="str">
            <v>Yagoub Aljraid</v>
          </cell>
          <cell r="AE328" t="str">
            <v>إعارة</v>
          </cell>
          <cell r="AF328">
            <v>45055</v>
          </cell>
          <cell r="AG328" t="str">
            <v/>
          </cell>
          <cell r="AH328" t="str">
            <v/>
          </cell>
          <cell r="AI328" t="str">
            <v/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 t="str">
            <v/>
          </cell>
          <cell r="AO328" t="str">
            <v>Livestock Extension &amp; Protection</v>
          </cell>
          <cell r="AP328" t="str">
            <v>Saudi National Bank</v>
          </cell>
          <cell r="AQ328" t="str">
            <v>SA8410000011100056089607</v>
          </cell>
          <cell r="AR328">
            <v>8330</v>
          </cell>
          <cell r="AS328" t="str">
            <v/>
          </cell>
          <cell r="AT328">
            <v>333</v>
          </cell>
          <cell r="AU328">
            <v>2082.5</v>
          </cell>
          <cell r="AV328" t="str">
            <v/>
          </cell>
        </row>
        <row r="329">
          <cell r="A329">
            <v>400148</v>
          </cell>
          <cell r="B329" t="str">
            <v>1078606702</v>
          </cell>
          <cell r="C329" t="str">
            <v>السيد</v>
          </cell>
          <cell r="D329" t="str">
            <v>Abdulhadi Mohammed Abdualrhman Alsuliman</v>
          </cell>
          <cell r="E329" t="str">
            <v>عبدالهادي محمد عبدالرحمن السليمان</v>
          </cell>
          <cell r="F329" t="str">
            <v>Male</v>
          </cell>
          <cell r="G329" t="str">
            <v>متزوج</v>
          </cell>
          <cell r="H329">
            <v>34221</v>
          </cell>
          <cell r="I329">
            <v>33</v>
          </cell>
          <cell r="J329">
            <v>11969</v>
          </cell>
          <cell r="K329" t="str">
            <v>Abdulhadi.Alsuliman@agriserv.sa</v>
          </cell>
          <cell r="L329" t="str">
            <v>0509439066</v>
          </cell>
          <cell r="M329" t="str">
            <v/>
          </cell>
          <cell r="N329" t="str">
            <v>المملكة العربية السعودية</v>
          </cell>
          <cell r="O329" t="str">
            <v>50000979</v>
          </cell>
          <cell r="P329" t="str">
            <v>طبيب بيطري</v>
          </cell>
          <cell r="Q329" t="str">
            <v>الدرجة 3</v>
          </cell>
          <cell r="R329" t="str">
            <v>Class A</v>
          </cell>
          <cell r="S329" t="str">
            <v/>
          </cell>
          <cell r="T329" t="str">
            <v>عيادة جنوب الرياض</v>
          </cell>
          <cell r="U329" t="str">
            <v>عمليات الفروع</v>
          </cell>
          <cell r="V329" t="str">
            <v>الفروع</v>
          </cell>
          <cell r="W329" t="str">
            <v>Al Riyadh</v>
          </cell>
          <cell r="X329" t="str">
            <v xml:space="preserve">الفرع </v>
          </cell>
          <cell r="Y329">
            <v>44777</v>
          </cell>
          <cell r="Z329">
            <v>3.87</v>
          </cell>
          <cell r="AA329">
            <v>1413</v>
          </cell>
          <cell r="AB329" t="str">
            <v>غير نشط</v>
          </cell>
          <cell r="AC329" t="str">
            <v>400186</v>
          </cell>
          <cell r="AD329" t="str">
            <v>Ali Albahrani</v>
          </cell>
          <cell r="AE329" t="str">
            <v>إعارة</v>
          </cell>
          <cell r="AF329">
            <v>45757</v>
          </cell>
          <cell r="AG329" t="str">
            <v/>
          </cell>
          <cell r="AH329" t="str">
            <v>ثانوية</v>
          </cell>
          <cell r="AI329" t="str">
            <v>شهادة المدرسة الثانوية</v>
          </cell>
          <cell r="AJ329">
            <v>5</v>
          </cell>
          <cell r="AK329">
            <v>2</v>
          </cell>
          <cell r="AL329">
            <v>1</v>
          </cell>
          <cell r="AM329">
            <v>2</v>
          </cell>
          <cell r="AN329" t="str">
            <v/>
          </cell>
          <cell r="AO329" t="str">
            <v>Livestock Extension &amp; Protection</v>
          </cell>
          <cell r="AP329" t="str">
            <v>Al Rajhi Bank</v>
          </cell>
          <cell r="AQ329" t="str">
            <v>SA1580000371608010106558</v>
          </cell>
          <cell r="AR329">
            <v>9644</v>
          </cell>
          <cell r="AS329" t="str">
            <v/>
          </cell>
          <cell r="AT329">
            <v>464.4</v>
          </cell>
          <cell r="AU329">
            <v>2411</v>
          </cell>
          <cell r="AV329" t="str">
            <v/>
          </cell>
        </row>
        <row r="330">
          <cell r="A330">
            <v>400149</v>
          </cell>
          <cell r="B330" t="str">
            <v>1077947503</v>
          </cell>
          <cell r="C330" t="str">
            <v>السيد</v>
          </cell>
          <cell r="D330" t="str">
            <v>Abdulrahman Ibrahim Abdulrahman Alkhamis</v>
          </cell>
          <cell r="E330" t="str">
            <v>عبدالرحمن ابراهيم عبدالرحمن الخميس</v>
          </cell>
          <cell r="F330" t="str">
            <v>Male</v>
          </cell>
          <cell r="G330" t="str">
            <v>أعزب</v>
          </cell>
          <cell r="H330">
            <v>34192</v>
          </cell>
          <cell r="I330">
            <v>33</v>
          </cell>
          <cell r="J330">
            <v>11998</v>
          </cell>
          <cell r="K330" t="str">
            <v>Abdulrahman.Alkhamis@agriserv.sa</v>
          </cell>
          <cell r="L330" t="str">
            <v>0531901197</v>
          </cell>
          <cell r="M330" t="str">
            <v>3417</v>
          </cell>
          <cell r="N330" t="str">
            <v>المملكة العربية السعودية</v>
          </cell>
          <cell r="O330" t="str">
            <v>50000980</v>
          </cell>
          <cell r="P330" t="str">
            <v>فني مختبرات</v>
          </cell>
          <cell r="Q330" t="str">
            <v>2A الدرجة</v>
          </cell>
          <cell r="R330" t="str">
            <v>Class A</v>
          </cell>
          <cell r="S330" t="str">
            <v/>
          </cell>
          <cell r="T330" t="str">
            <v>تدقيق ومراجعة المستندات</v>
          </cell>
          <cell r="U330" t="str">
            <v>التسجيل والمختبرات</v>
          </cell>
          <cell r="V330" t="str">
            <v>التراخيص</v>
          </cell>
          <cell r="W330" t="str">
            <v>Al Riyadh</v>
          </cell>
          <cell r="X330" t="str">
            <v xml:space="preserve">المقر الرئيسي </v>
          </cell>
          <cell r="Y330">
            <v>44777</v>
          </cell>
          <cell r="Z330">
            <v>3.87</v>
          </cell>
          <cell r="AA330">
            <v>1413</v>
          </cell>
          <cell r="AB330" t="str">
            <v>نشط</v>
          </cell>
          <cell r="AC330" t="str">
            <v>100054</v>
          </cell>
          <cell r="AD330" t="str">
            <v>Nouf Bin Sultan</v>
          </cell>
          <cell r="AE330" t="str">
            <v>إعارة</v>
          </cell>
          <cell r="AF330" t="str">
            <v/>
          </cell>
          <cell r="AG330" t="str">
            <v/>
          </cell>
          <cell r="AH330" t="str">
            <v>ثانوية</v>
          </cell>
          <cell r="AI330" t="str">
            <v>شهادة المدرسة الثانوية</v>
          </cell>
          <cell r="AJ330">
            <v>2</v>
          </cell>
          <cell r="AK330">
            <v>0</v>
          </cell>
          <cell r="AL330">
            <v>0</v>
          </cell>
          <cell r="AM330">
            <v>2</v>
          </cell>
          <cell r="AN330" t="str">
            <v/>
          </cell>
          <cell r="AO330" t="str">
            <v>التسجيل</v>
          </cell>
          <cell r="AP330" t="str">
            <v>Al Rajhi Bank</v>
          </cell>
          <cell r="AQ330" t="str">
            <v>SA1380000282608015136129</v>
          </cell>
          <cell r="AR330">
            <v>6498</v>
          </cell>
          <cell r="AS330" t="str">
            <v/>
          </cell>
          <cell r="AT330">
            <v>149.80000000000001</v>
          </cell>
          <cell r="AU330">
            <v>1624.5</v>
          </cell>
          <cell r="AV330" t="str">
            <v/>
          </cell>
        </row>
        <row r="331">
          <cell r="A331">
            <v>400150</v>
          </cell>
          <cell r="B331" t="str">
            <v>1073552224</v>
          </cell>
          <cell r="C331" t="str">
            <v>السيد</v>
          </cell>
          <cell r="D331" t="str">
            <v>Abdulrahman Nasser Abdulrahman Bin Jadid</v>
          </cell>
          <cell r="E331" t="str">
            <v>عبدالرحمن ناصر عبدالرحمن بن جديد</v>
          </cell>
          <cell r="F331" t="str">
            <v>Male</v>
          </cell>
          <cell r="G331" t="str">
            <v>أعزب</v>
          </cell>
          <cell r="H331">
            <v>33869</v>
          </cell>
          <cell r="I331">
            <v>34</v>
          </cell>
          <cell r="J331">
            <v>12321</v>
          </cell>
          <cell r="K331" t="str">
            <v>Abdulrahman.Aljadid@agriserv.sa</v>
          </cell>
          <cell r="L331" t="str">
            <v>0554103029</v>
          </cell>
          <cell r="M331" t="str">
            <v>3412</v>
          </cell>
          <cell r="N331" t="str">
            <v>المملكة العربية السعودية</v>
          </cell>
          <cell r="O331" t="str">
            <v>50000981</v>
          </cell>
          <cell r="P331" t="str">
            <v>فني مختبرات</v>
          </cell>
          <cell r="Q331" t="str">
            <v>2A الدرجة</v>
          </cell>
          <cell r="R331" t="str">
            <v>Class A</v>
          </cell>
          <cell r="S331" t="str">
            <v/>
          </cell>
          <cell r="T331" t="str">
            <v>دراسة نتائج تقييم التجربة</v>
          </cell>
          <cell r="U331" t="str">
            <v>التسجيل والمختبرات</v>
          </cell>
          <cell r="V331" t="str">
            <v>التراخيص</v>
          </cell>
          <cell r="W331" t="str">
            <v>Al Riyadh</v>
          </cell>
          <cell r="X331" t="str">
            <v xml:space="preserve">المقر الرئيسي </v>
          </cell>
          <cell r="Y331">
            <v>44777</v>
          </cell>
          <cell r="Z331">
            <v>3.87</v>
          </cell>
          <cell r="AA331">
            <v>1413</v>
          </cell>
          <cell r="AB331" t="str">
            <v>نشط</v>
          </cell>
          <cell r="AC331" t="str">
            <v>400136</v>
          </cell>
          <cell r="AD331" t="str">
            <v>Mteeb Binbnothman</v>
          </cell>
          <cell r="AE331" t="str">
            <v>إعارة</v>
          </cell>
          <cell r="AF331" t="str">
            <v/>
          </cell>
          <cell r="AG331" t="str">
            <v/>
          </cell>
          <cell r="AH331" t="str">
            <v>ثانوية</v>
          </cell>
          <cell r="AI331" t="str">
            <v>شهادة المدرسة الثانوية</v>
          </cell>
          <cell r="AJ331">
            <v>2</v>
          </cell>
          <cell r="AK331">
            <v>0</v>
          </cell>
          <cell r="AL331">
            <v>0</v>
          </cell>
          <cell r="AM331">
            <v>2</v>
          </cell>
          <cell r="AN331" t="str">
            <v/>
          </cell>
          <cell r="AO331" t="str">
            <v>التسجيل</v>
          </cell>
          <cell r="AP331" t="str">
            <v>Al Rajhi Bank</v>
          </cell>
          <cell r="AQ331" t="str">
            <v>SA7080000448608010255172</v>
          </cell>
          <cell r="AR331">
            <v>8692</v>
          </cell>
          <cell r="AS331" t="str">
            <v/>
          </cell>
          <cell r="AT331">
            <v>300</v>
          </cell>
          <cell r="AU331">
            <v>2173</v>
          </cell>
          <cell r="AV331" t="str">
            <v/>
          </cell>
        </row>
        <row r="332">
          <cell r="A332">
            <v>400151</v>
          </cell>
          <cell r="B332" t="str">
            <v>1068450673</v>
          </cell>
          <cell r="C332" t="str">
            <v>السيد</v>
          </cell>
          <cell r="D332" t="str">
            <v>Meshal Ibrahim Fahad Alawaji</v>
          </cell>
          <cell r="E332" t="str">
            <v>مشعل ابراهيم فهد العواجي</v>
          </cell>
          <cell r="F332" t="str">
            <v>Male</v>
          </cell>
          <cell r="G332" t="str">
            <v>أعزب</v>
          </cell>
          <cell r="H332">
            <v>33200</v>
          </cell>
          <cell r="I332">
            <v>36</v>
          </cell>
          <cell r="J332">
            <v>12990</v>
          </cell>
          <cell r="K332" t="str">
            <v>Meshal.alawaji@agriserv.sa</v>
          </cell>
          <cell r="L332" t="str">
            <v>0508224748</v>
          </cell>
          <cell r="M332" t="str">
            <v>3201</v>
          </cell>
          <cell r="N332" t="str">
            <v>المملكة العربية السعودية</v>
          </cell>
          <cell r="O332" t="str">
            <v>50000982</v>
          </cell>
          <cell r="P332" t="str">
            <v>مساعد مشرف العيادات البيطرية</v>
          </cell>
          <cell r="Q332" t="str">
            <v>الدرجة 7</v>
          </cell>
          <cell r="R332" t="str">
            <v>Class A</v>
          </cell>
          <cell r="S332" t="str">
            <v/>
          </cell>
          <cell r="T332" t="str">
            <v>مكافحة الامراض الحيوانية</v>
          </cell>
          <cell r="U332" t="str">
            <v>الخدمات البيطرية</v>
          </cell>
          <cell r="V332" t="str">
            <v>العمليات</v>
          </cell>
          <cell r="W332" t="str">
            <v>Head Quarter</v>
          </cell>
          <cell r="X332" t="str">
            <v xml:space="preserve">المقر الرئيسي </v>
          </cell>
          <cell r="Y332">
            <v>44777</v>
          </cell>
          <cell r="Z332">
            <v>3.87</v>
          </cell>
          <cell r="AA332">
            <v>1413</v>
          </cell>
          <cell r="AB332" t="str">
            <v>نشط</v>
          </cell>
          <cell r="AC332" t="str">
            <v>100188</v>
          </cell>
          <cell r="AD332" t="str">
            <v>Abdulmalik Alrothea</v>
          </cell>
          <cell r="AE332" t="str">
            <v>إعارة</v>
          </cell>
          <cell r="AF332" t="str">
            <v/>
          </cell>
          <cell r="AG332" t="str">
            <v/>
          </cell>
          <cell r="AH332" t="str">
            <v>ثانوية</v>
          </cell>
          <cell r="AI332" t="str">
            <v>شهادة المدرسة الثانوية</v>
          </cell>
          <cell r="AJ332">
            <v>1</v>
          </cell>
          <cell r="AK332">
            <v>0</v>
          </cell>
          <cell r="AL332">
            <v>0</v>
          </cell>
          <cell r="AM332">
            <v>1</v>
          </cell>
          <cell r="AN332" t="str">
            <v/>
          </cell>
          <cell r="AO332" t="str">
            <v>الخدمات البيطرية</v>
          </cell>
          <cell r="AP332" t="str">
            <v>Al Rajhi Bank</v>
          </cell>
          <cell r="AQ332" t="str">
            <v>SA8280000280608010654169</v>
          </cell>
          <cell r="AR332">
            <v>9932</v>
          </cell>
          <cell r="AS332" t="str">
            <v/>
          </cell>
          <cell r="AT332">
            <v>493.2</v>
          </cell>
          <cell r="AU332">
            <v>2483</v>
          </cell>
          <cell r="AV332" t="str">
            <v/>
          </cell>
        </row>
        <row r="333">
          <cell r="A333">
            <v>400152</v>
          </cell>
          <cell r="B333" t="str">
            <v>1079640031</v>
          </cell>
          <cell r="C333" t="str">
            <v>السيد</v>
          </cell>
          <cell r="D333" t="str">
            <v>MOATH Yaqoub Yusuf Albuhassan</v>
          </cell>
          <cell r="E333" t="str">
            <v>معاذ يعقوب يوسف البوحسن</v>
          </cell>
          <cell r="F333" t="str">
            <v>Male</v>
          </cell>
          <cell r="G333" t="str">
            <v>متزوج</v>
          </cell>
          <cell r="H333">
            <v>34309</v>
          </cell>
          <cell r="I333">
            <v>33</v>
          </cell>
          <cell r="J333">
            <v>11881</v>
          </cell>
          <cell r="K333" t="str">
            <v>Muath.Albohassan@agriserv.sa</v>
          </cell>
          <cell r="L333" t="str">
            <v>0543977272</v>
          </cell>
          <cell r="M333" t="str">
            <v/>
          </cell>
          <cell r="N333" t="str">
            <v>المملكة العربية السعودية</v>
          </cell>
          <cell r="O333" t="str">
            <v>50000983</v>
          </cell>
          <cell r="P333" t="str">
            <v>مساعد مشرف العيادات البيطرية</v>
          </cell>
          <cell r="Q333" t="str">
            <v>الدرجة 7</v>
          </cell>
          <cell r="R333" t="str">
            <v>Class A</v>
          </cell>
          <cell r="S333" t="str">
            <v/>
          </cell>
          <cell r="T333" t="str">
            <v>العيادات البيطرية</v>
          </cell>
          <cell r="U333" t="str">
            <v>الخدمات البيطرية</v>
          </cell>
          <cell r="V333" t="str">
            <v>العمليات</v>
          </cell>
          <cell r="W333" t="str">
            <v>Head Quarter</v>
          </cell>
          <cell r="X333" t="str">
            <v xml:space="preserve">المقر الرئيسي </v>
          </cell>
          <cell r="Y333">
            <v>44777</v>
          </cell>
          <cell r="Z333">
            <v>3.87</v>
          </cell>
          <cell r="AA333">
            <v>1413</v>
          </cell>
          <cell r="AB333" t="str">
            <v>نشط</v>
          </cell>
          <cell r="AC333" t="str">
            <v>400003</v>
          </cell>
          <cell r="AD333" t="str">
            <v>Ibrahim Bukhari</v>
          </cell>
          <cell r="AE333" t="str">
            <v>إعارة</v>
          </cell>
          <cell r="AF333" t="str">
            <v/>
          </cell>
          <cell r="AG333" t="str">
            <v/>
          </cell>
          <cell r="AH333" t="str">
            <v>ثانوية</v>
          </cell>
          <cell r="AI333" t="str">
            <v>شهادة المدرسة الثانوية</v>
          </cell>
          <cell r="AJ333">
            <v>3</v>
          </cell>
          <cell r="AK333">
            <v>0</v>
          </cell>
          <cell r="AL333">
            <v>1</v>
          </cell>
          <cell r="AM333">
            <v>2</v>
          </cell>
          <cell r="AN333" t="str">
            <v/>
          </cell>
          <cell r="AO333" t="str">
            <v>الخدمات البيطرية</v>
          </cell>
          <cell r="AP333" t="str">
            <v>Al Rajhi Bank</v>
          </cell>
          <cell r="AQ333" t="str">
            <v>SA0980000515608010101697</v>
          </cell>
          <cell r="AR333">
            <v>9932</v>
          </cell>
          <cell r="AS333" t="str">
            <v/>
          </cell>
          <cell r="AT333">
            <v>493.2</v>
          </cell>
          <cell r="AU333">
            <v>2483</v>
          </cell>
          <cell r="AV333" t="str">
            <v/>
          </cell>
        </row>
        <row r="334">
          <cell r="A334">
            <v>400153</v>
          </cell>
          <cell r="B334" t="str">
            <v>1070926272</v>
          </cell>
          <cell r="C334" t="str">
            <v>السيد</v>
          </cell>
          <cell r="D334" t="str">
            <v>Walid Abdullah Mohammed Alnafi</v>
          </cell>
          <cell r="E334" t="str">
            <v>وليد عبدالله محمد النافع</v>
          </cell>
          <cell r="F334" t="str">
            <v>Male</v>
          </cell>
          <cell r="G334" t="str">
            <v>متزوج</v>
          </cell>
          <cell r="H334">
            <v>33301</v>
          </cell>
          <cell r="I334">
            <v>35</v>
          </cell>
          <cell r="J334">
            <v>12889</v>
          </cell>
          <cell r="K334" t="str">
            <v>Walid.AlNafi@agriserv.sa</v>
          </cell>
          <cell r="L334" t="str">
            <v>0567639555</v>
          </cell>
          <cell r="M334" t="str">
            <v/>
          </cell>
          <cell r="N334" t="str">
            <v>المملكة العربية السعودية</v>
          </cell>
          <cell r="O334" t="str">
            <v>50000984</v>
          </cell>
          <cell r="P334" t="str">
            <v>أخصائي أول الرقابة والتفتيش للثروة السمكية</v>
          </cell>
          <cell r="Q334" t="str">
            <v>الدرجة ٥</v>
          </cell>
          <cell r="R334" t="str">
            <v>Class A</v>
          </cell>
          <cell r="S334" t="str">
            <v/>
          </cell>
          <cell r="T334" t="str">
            <v>محافظة  الغاط</v>
          </cell>
          <cell r="U334" t="str">
            <v>عمليات الفروع</v>
          </cell>
          <cell r="V334" t="str">
            <v>الفروع</v>
          </cell>
          <cell r="W334" t="str">
            <v>Al Riyadh</v>
          </cell>
          <cell r="X334" t="str">
            <v xml:space="preserve">الفرع </v>
          </cell>
          <cell r="Y334">
            <v>44777</v>
          </cell>
          <cell r="Z334">
            <v>3.87</v>
          </cell>
          <cell r="AA334">
            <v>1413</v>
          </cell>
          <cell r="AB334" t="str">
            <v>نشط</v>
          </cell>
          <cell r="AC334" t="str">
            <v>400183</v>
          </cell>
          <cell r="AD334" t="str">
            <v>Jehad Alkharraz</v>
          </cell>
          <cell r="AE334" t="str">
            <v>إعارة</v>
          </cell>
          <cell r="AF334" t="str">
            <v/>
          </cell>
          <cell r="AG334" t="str">
            <v/>
          </cell>
          <cell r="AH334" t="str">
            <v>ثانوية</v>
          </cell>
          <cell r="AI334" t="str">
            <v>شهادة المدرسة الثانوية</v>
          </cell>
          <cell r="AJ334">
            <v>5</v>
          </cell>
          <cell r="AK334">
            <v>3</v>
          </cell>
          <cell r="AL334">
            <v>1</v>
          </cell>
          <cell r="AM334">
            <v>1</v>
          </cell>
          <cell r="AN334" t="str">
            <v/>
          </cell>
          <cell r="AO334" t="str">
            <v>عمليات الفروع</v>
          </cell>
          <cell r="AP334" t="str">
            <v>Al Rajhi Bank</v>
          </cell>
          <cell r="AQ334" t="str">
            <v>SA5180000121608010311052</v>
          </cell>
          <cell r="AR334">
            <v>9932</v>
          </cell>
          <cell r="AS334" t="str">
            <v/>
          </cell>
          <cell r="AT334">
            <v>493.2</v>
          </cell>
          <cell r="AU334">
            <v>2483</v>
          </cell>
          <cell r="AV334" t="str">
            <v/>
          </cell>
        </row>
        <row r="335">
          <cell r="A335">
            <v>400154</v>
          </cell>
          <cell r="B335" t="str">
            <v>1075420164</v>
          </cell>
          <cell r="C335" t="str">
            <v>السيد</v>
          </cell>
          <cell r="D335" t="str">
            <v>Juma Yusuf Jumah Alsomali</v>
          </cell>
          <cell r="E335" t="str">
            <v>جمعه يوسف جمعه الصومالي</v>
          </cell>
          <cell r="F335" t="str">
            <v>Male</v>
          </cell>
          <cell r="G335" t="str">
            <v>أعزب</v>
          </cell>
          <cell r="H335">
            <v>33657</v>
          </cell>
          <cell r="I335">
            <v>34</v>
          </cell>
          <cell r="J335">
            <v>12533</v>
          </cell>
          <cell r="K335" t="str">
            <v>Jumah.AlSomali@agriserv.sa</v>
          </cell>
          <cell r="L335" t="str">
            <v>0501070414</v>
          </cell>
          <cell r="M335" t="str">
            <v>4104</v>
          </cell>
          <cell r="N335" t="str">
            <v>المملكة العربية السعودية</v>
          </cell>
          <cell r="O335" t="str">
            <v>50000985</v>
          </cell>
          <cell r="P335" t="str">
            <v>طبيب بيطري</v>
          </cell>
          <cell r="Q335" t="str">
            <v>الدرجة 3</v>
          </cell>
          <cell r="R335" t="str">
            <v>Class A</v>
          </cell>
          <cell r="S335" t="str">
            <v/>
          </cell>
          <cell r="T335" t="str">
            <v/>
          </cell>
          <cell r="U335" t="str">
            <v>التراخيص</v>
          </cell>
          <cell r="V335" t="str">
            <v>التراخيص</v>
          </cell>
          <cell r="W335" t="str">
            <v>Al Riyadh</v>
          </cell>
          <cell r="X335" t="str">
            <v xml:space="preserve">المقر الرئيسي </v>
          </cell>
          <cell r="Y335">
            <v>44777</v>
          </cell>
          <cell r="Z335">
            <v>3.87</v>
          </cell>
          <cell r="AA335">
            <v>1413</v>
          </cell>
          <cell r="AB335" t="str">
            <v>نشط</v>
          </cell>
          <cell r="AC335" t="str">
            <v>100128</v>
          </cell>
          <cell r="AD335" t="str">
            <v>Abdalaziz Alkhamshi</v>
          </cell>
          <cell r="AE335" t="str">
            <v>إعارة</v>
          </cell>
          <cell r="AF335" t="str">
            <v/>
          </cell>
          <cell r="AG335" t="str">
            <v/>
          </cell>
          <cell r="AH335" t="str">
            <v>ثانوية</v>
          </cell>
          <cell r="AI335" t="str">
            <v>شهادة المدرسة الثانوية</v>
          </cell>
          <cell r="AJ335">
            <v>1</v>
          </cell>
          <cell r="AK335">
            <v>0</v>
          </cell>
          <cell r="AL335">
            <v>0</v>
          </cell>
          <cell r="AM335">
            <v>1</v>
          </cell>
          <cell r="AN335" t="str">
            <v/>
          </cell>
          <cell r="AO335" t="str">
            <v>التراخيص والشهادات</v>
          </cell>
          <cell r="AP335" t="str">
            <v>Al Rajhi Bank</v>
          </cell>
          <cell r="AQ335" t="str">
            <v>SA8180000562608010116093</v>
          </cell>
          <cell r="AR335">
            <v>9932</v>
          </cell>
          <cell r="AS335" t="str">
            <v/>
          </cell>
          <cell r="AT335">
            <v>493.2</v>
          </cell>
          <cell r="AU335">
            <v>2483</v>
          </cell>
          <cell r="AV335" t="str">
            <v/>
          </cell>
        </row>
        <row r="336">
          <cell r="A336">
            <v>400155</v>
          </cell>
          <cell r="B336" t="str">
            <v>1066709237</v>
          </cell>
          <cell r="C336" t="str">
            <v>السيد</v>
          </cell>
          <cell r="D336" t="str">
            <v>Ahmed Musaad Madloul Alsahli</v>
          </cell>
          <cell r="E336" t="str">
            <v>أحمد مساعد مدلول السهلي</v>
          </cell>
          <cell r="F336" t="str">
            <v>Male</v>
          </cell>
          <cell r="G336" t="str">
            <v>أعزب</v>
          </cell>
          <cell r="H336">
            <v>32839</v>
          </cell>
          <cell r="I336">
            <v>37</v>
          </cell>
          <cell r="J336">
            <v>13351</v>
          </cell>
          <cell r="K336" t="str">
            <v>ahmad.alsuhalei@agriserv.sa</v>
          </cell>
          <cell r="L336" t="str">
            <v>0500383636</v>
          </cell>
          <cell r="M336" t="str">
            <v/>
          </cell>
          <cell r="N336" t="str">
            <v>المملكة العربية السعودية</v>
          </cell>
          <cell r="O336" t="str">
            <v>50000986</v>
          </cell>
          <cell r="P336" t="str">
            <v>مهندس زراعي</v>
          </cell>
          <cell r="Q336" t="str">
            <v>الدرجة 3</v>
          </cell>
          <cell r="R336" t="str">
            <v>Class A</v>
          </cell>
          <cell r="S336" t="str">
            <v/>
          </cell>
          <cell r="T336" t="str">
            <v>محافظة   ثادق</v>
          </cell>
          <cell r="U336" t="str">
            <v>عمليات الفروع</v>
          </cell>
          <cell r="V336" t="str">
            <v>الفروع</v>
          </cell>
          <cell r="W336" t="str">
            <v>Al Riyadh</v>
          </cell>
          <cell r="X336" t="str">
            <v xml:space="preserve">الفرع </v>
          </cell>
          <cell r="Y336">
            <v>44777</v>
          </cell>
          <cell r="Z336">
            <v>3.87</v>
          </cell>
          <cell r="AA336">
            <v>1413</v>
          </cell>
          <cell r="AB336" t="str">
            <v>نشط</v>
          </cell>
          <cell r="AC336" t="str">
            <v>400246</v>
          </cell>
          <cell r="AD336" t="str">
            <v>Hassan Alnakhli</v>
          </cell>
          <cell r="AE336" t="str">
            <v>إعارة</v>
          </cell>
          <cell r="AF336" t="str">
            <v/>
          </cell>
          <cell r="AG336" t="str">
            <v/>
          </cell>
          <cell r="AH336" t="str">
            <v>وقاية النبات</v>
          </cell>
          <cell r="AI336" t="str">
            <v>بكالوريوس</v>
          </cell>
          <cell r="AJ336">
            <v>2</v>
          </cell>
          <cell r="AK336">
            <v>0</v>
          </cell>
          <cell r="AL336">
            <v>0</v>
          </cell>
          <cell r="AM336">
            <v>2</v>
          </cell>
          <cell r="AN336" t="str">
            <v/>
          </cell>
          <cell r="AO336" t="str">
            <v>عمليات الفروع</v>
          </cell>
          <cell r="AP336" t="str">
            <v>Al Rajhi Bank</v>
          </cell>
          <cell r="AQ336" t="str">
            <v>SA2180000470608010053776</v>
          </cell>
          <cell r="AR336">
            <v>8609</v>
          </cell>
          <cell r="AS336" t="str">
            <v/>
          </cell>
          <cell r="AT336">
            <v>360.9</v>
          </cell>
          <cell r="AU336">
            <v>2152.25</v>
          </cell>
          <cell r="AV336" t="str">
            <v/>
          </cell>
        </row>
        <row r="337">
          <cell r="A337">
            <v>400156</v>
          </cell>
          <cell r="B337" t="str">
            <v>1006516551</v>
          </cell>
          <cell r="C337" t="str">
            <v>السيد</v>
          </cell>
          <cell r="D337" t="str">
            <v>Sultan Alhdidi</v>
          </cell>
          <cell r="E337" t="str">
            <v>سلطان   الحديدي</v>
          </cell>
          <cell r="F337" t="str">
            <v>Male</v>
          </cell>
          <cell r="G337" t="str">
            <v>أعزب</v>
          </cell>
          <cell r="H337">
            <v>27938</v>
          </cell>
          <cell r="I337">
            <v>50</v>
          </cell>
          <cell r="J337">
            <v>18252</v>
          </cell>
          <cell r="K337" t="str">
            <v>SALHDIDI@agriserv.com.sa</v>
          </cell>
          <cell r="L337" t="str">
            <v/>
          </cell>
          <cell r="M337" t="str">
            <v/>
          </cell>
          <cell r="N337" t="str">
            <v>المملكة العربية السعودية</v>
          </cell>
          <cell r="O337" t="str">
            <v>50000987</v>
          </cell>
          <cell r="P337" t="str">
            <v>مساعد مشرف مكافحة الآفات وسوسة النخيل الحمراء</v>
          </cell>
          <cell r="Q337" t="str">
            <v>الدرجة 7</v>
          </cell>
          <cell r="R337" t="str">
            <v/>
          </cell>
          <cell r="S337" t="str">
            <v/>
          </cell>
          <cell r="T337" t="str">
            <v/>
          </cell>
          <cell r="U337" t="str">
            <v>الخدمات الصحية و الإرشاد ودعم التسويق للثروة النباتية</v>
          </cell>
          <cell r="V337" t="str">
            <v>العمليات</v>
          </cell>
          <cell r="W337" t="str">
            <v>Head Quarter</v>
          </cell>
          <cell r="X337" t="str">
            <v xml:space="preserve">المقر الرئيسي </v>
          </cell>
          <cell r="Y337">
            <v>44805</v>
          </cell>
          <cell r="Z337">
            <v>3.79</v>
          </cell>
          <cell r="AA337">
            <v>1385</v>
          </cell>
          <cell r="AB337" t="str">
            <v>غير نشط</v>
          </cell>
          <cell r="AC337" t="str">
            <v/>
          </cell>
          <cell r="AD337" t="str">
            <v xml:space="preserve"> </v>
          </cell>
          <cell r="AE337" t="str">
            <v>إعارة</v>
          </cell>
          <cell r="AF337">
            <v>44915</v>
          </cell>
          <cell r="AG337" t="str">
            <v/>
          </cell>
          <cell r="AH337" t="str">
            <v/>
          </cell>
          <cell r="AI337" t="str">
            <v/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 t="str">
            <v/>
          </cell>
          <cell r="AO337" t="str">
            <v>Corp Extension &amp; Protection</v>
          </cell>
          <cell r="AP337" t="str">
            <v>Arab National Bank</v>
          </cell>
          <cell r="AQ337" t="str">
            <v>SA1430400108051726030025</v>
          </cell>
          <cell r="AR337">
            <v>14865</v>
          </cell>
          <cell r="AS337" t="str">
            <v/>
          </cell>
          <cell r="AT337">
            <v>786.5</v>
          </cell>
          <cell r="AU337">
            <v>3716.25</v>
          </cell>
          <cell r="AV337" t="str">
            <v/>
          </cell>
        </row>
        <row r="338">
          <cell r="A338">
            <v>400157</v>
          </cell>
          <cell r="B338" t="str">
            <v>1020615983</v>
          </cell>
          <cell r="C338" t="str">
            <v>السيد</v>
          </cell>
          <cell r="D338" t="str">
            <v>Khaled Saad Rashed Abuhaimed</v>
          </cell>
          <cell r="E338" t="str">
            <v>خالد سعد راشد أبو حيمد</v>
          </cell>
          <cell r="F338" t="str">
            <v>Male</v>
          </cell>
          <cell r="G338" t="str">
            <v>متزوج</v>
          </cell>
          <cell r="H338">
            <v>29591</v>
          </cell>
          <cell r="I338">
            <v>45</v>
          </cell>
          <cell r="J338">
            <v>16599</v>
          </cell>
          <cell r="K338" t="str">
            <v>Khaled.Abuhaimed@agriserv.sa</v>
          </cell>
          <cell r="L338" t="str">
            <v>0504216881</v>
          </cell>
          <cell r="M338" t="str">
            <v>4201</v>
          </cell>
          <cell r="N338" t="str">
            <v>المملكة العربية السعودية</v>
          </cell>
          <cell r="O338" t="str">
            <v>50000988</v>
          </cell>
          <cell r="P338" t="str">
            <v>مساعد مشرف الشهادات والمستندات الرسمية للثروة الحيوانية</v>
          </cell>
          <cell r="Q338" t="str">
            <v>الدرجة 7</v>
          </cell>
          <cell r="R338" t="str">
            <v>Class A</v>
          </cell>
          <cell r="S338" t="str">
            <v/>
          </cell>
          <cell r="T338" t="str">
            <v/>
          </cell>
          <cell r="U338" t="str">
            <v>الشهادات</v>
          </cell>
          <cell r="V338" t="str">
            <v>التراخيص</v>
          </cell>
          <cell r="W338" t="str">
            <v>Head Quarter</v>
          </cell>
          <cell r="X338" t="str">
            <v xml:space="preserve">المقر الرئيسي </v>
          </cell>
          <cell r="Y338">
            <v>44805</v>
          </cell>
          <cell r="Z338">
            <v>3.79</v>
          </cell>
          <cell r="AA338">
            <v>1385</v>
          </cell>
          <cell r="AB338" t="str">
            <v>نشط</v>
          </cell>
          <cell r="AC338" t="str">
            <v>100127</v>
          </cell>
          <cell r="AD338" t="str">
            <v>Abdullah Alotaibi</v>
          </cell>
          <cell r="AE338" t="str">
            <v>إعارة</v>
          </cell>
          <cell r="AF338" t="str">
            <v/>
          </cell>
          <cell r="AG338" t="str">
            <v/>
          </cell>
          <cell r="AH338" t="str">
            <v>طب بيطري</v>
          </cell>
          <cell r="AI338" t="str">
            <v>بكالوريوس</v>
          </cell>
          <cell r="AJ338">
            <v>4</v>
          </cell>
          <cell r="AK338">
            <v>3</v>
          </cell>
          <cell r="AL338">
            <v>1</v>
          </cell>
          <cell r="AM338">
            <v>0</v>
          </cell>
          <cell r="AN338" t="str">
            <v/>
          </cell>
          <cell r="AO338" t="str">
            <v>التراخيص والشهادات</v>
          </cell>
          <cell r="AP338" t="str">
            <v>Al Rajhi Bank</v>
          </cell>
          <cell r="AQ338" t="str">
            <v>SA8080000371608010024587</v>
          </cell>
          <cell r="AR338">
            <v>20275</v>
          </cell>
          <cell r="AS338" t="str">
            <v/>
          </cell>
          <cell r="AT338">
            <v>1127.5</v>
          </cell>
          <cell r="AU338">
            <v>5068.75</v>
          </cell>
          <cell r="AV338" t="str">
            <v/>
          </cell>
        </row>
        <row r="339">
          <cell r="A339">
            <v>400158</v>
          </cell>
          <cell r="B339" t="str">
            <v/>
          </cell>
          <cell r="C339" t="str">
            <v>السيد</v>
          </cell>
          <cell r="D339" t="str">
            <v>Abdulrahman Ali Abdullah Alzahrani</v>
          </cell>
          <cell r="E339" t="str">
            <v>عبدالرحمن علي عبدالله الزهراني</v>
          </cell>
          <cell r="F339" t="str">
            <v>Male</v>
          </cell>
          <cell r="G339" t="str">
            <v>متزوج</v>
          </cell>
          <cell r="H339">
            <v>30215</v>
          </cell>
          <cell r="I339">
            <v>44</v>
          </cell>
          <cell r="J339">
            <v>15975</v>
          </cell>
          <cell r="K339" t="str">
            <v/>
          </cell>
          <cell r="L339" t="str">
            <v/>
          </cell>
          <cell r="M339" t="str">
            <v/>
          </cell>
          <cell r="N339" t="str">
            <v>المملكة العربية السعودية</v>
          </cell>
          <cell r="O339" t="str">
            <v>50000989</v>
          </cell>
          <cell r="P339" t="str">
            <v>مشرف محاجر الثروة الحيوانية</v>
          </cell>
          <cell r="Q339" t="str">
            <v>8 الدرجة</v>
          </cell>
          <cell r="R339" t="str">
            <v>Class VIP</v>
          </cell>
          <cell r="S339" t="str">
            <v/>
          </cell>
          <cell r="T339" t="str">
            <v>الفسح المركزي</v>
          </cell>
          <cell r="U339" t="str">
            <v>الاذونات وخدمات المحاجر</v>
          </cell>
          <cell r="V339" t="str">
            <v>العمليات</v>
          </cell>
          <cell r="W339" t="str">
            <v>Head Quarter</v>
          </cell>
          <cell r="X339" t="str">
            <v xml:space="preserve">المقر الرئيسي </v>
          </cell>
          <cell r="Y339">
            <v>44805</v>
          </cell>
          <cell r="Z339">
            <v>3.79</v>
          </cell>
          <cell r="AA339">
            <v>1385</v>
          </cell>
          <cell r="AB339" t="str">
            <v>غير نشط</v>
          </cell>
          <cell r="AC339" t="str">
            <v>400028</v>
          </cell>
          <cell r="AD339" t="str">
            <v>Ibrahim Alnuwaiser</v>
          </cell>
          <cell r="AE339" t="str">
            <v>إعارة</v>
          </cell>
          <cell r="AF339">
            <v>45535</v>
          </cell>
          <cell r="AG339" t="str">
            <v/>
          </cell>
          <cell r="AH339" t="str">
            <v>طب بيطري</v>
          </cell>
          <cell r="AI339" t="str">
            <v>بكالوريوس</v>
          </cell>
          <cell r="AJ339">
            <v>3</v>
          </cell>
          <cell r="AK339">
            <v>2</v>
          </cell>
          <cell r="AL339">
            <v>1</v>
          </cell>
          <cell r="AM339">
            <v>0</v>
          </cell>
          <cell r="AN339" t="str">
            <v/>
          </cell>
          <cell r="AO339" t="str">
            <v>Livestock Extension &amp; Protection</v>
          </cell>
          <cell r="AP339" t="str">
            <v>Saudi Investment Bank</v>
          </cell>
          <cell r="AQ339" t="str">
            <v>SA5365000000202068306001</v>
          </cell>
          <cell r="AR339">
            <v>16395</v>
          </cell>
          <cell r="AS339" t="str">
            <v/>
          </cell>
          <cell r="AT339">
            <v>939.5</v>
          </cell>
          <cell r="AU339">
            <v>4098.75</v>
          </cell>
          <cell r="AV339">
            <v>500</v>
          </cell>
        </row>
        <row r="340">
          <cell r="A340">
            <v>400159</v>
          </cell>
          <cell r="B340" t="str">
            <v>1013054216</v>
          </cell>
          <cell r="C340" t="str">
            <v>السيد</v>
          </cell>
          <cell r="D340" t="str">
            <v>Abdullah Saud Abdullah Alareefi</v>
          </cell>
          <cell r="E340" t="str">
            <v>عبدالله سعود عبدالله العريفي</v>
          </cell>
          <cell r="F340" t="str">
            <v>Male</v>
          </cell>
          <cell r="G340" t="str">
            <v>متزوج</v>
          </cell>
          <cell r="H340">
            <v>25518</v>
          </cell>
          <cell r="I340">
            <v>57</v>
          </cell>
          <cell r="J340">
            <v>20672</v>
          </cell>
          <cell r="K340" t="str">
            <v>Abdullah.Areefi@agriserv.sa</v>
          </cell>
          <cell r="L340" t="str">
            <v>0504407238</v>
          </cell>
          <cell r="M340" t="str">
            <v>3104</v>
          </cell>
          <cell r="N340" t="str">
            <v>المملكة العربية السعودية</v>
          </cell>
          <cell r="O340" t="str">
            <v>50000990</v>
          </cell>
          <cell r="P340" t="str">
            <v>مشرف مختبرات الثروة السمكية</v>
          </cell>
          <cell r="Q340" t="str">
            <v>8 الدرجة</v>
          </cell>
          <cell r="R340" t="str">
            <v>Class VIP</v>
          </cell>
          <cell r="S340" t="str">
            <v/>
          </cell>
          <cell r="T340" t="str">
            <v>الاستشارات النباتية</v>
          </cell>
          <cell r="U340" t="str">
            <v>الخدمات النباتيةِ</v>
          </cell>
          <cell r="V340" t="str">
            <v>العمليات</v>
          </cell>
          <cell r="W340" t="str">
            <v>Head Quarter</v>
          </cell>
          <cell r="X340" t="str">
            <v xml:space="preserve">المقر الرئيسي </v>
          </cell>
          <cell r="Y340">
            <v>44805</v>
          </cell>
          <cell r="Z340">
            <v>3.79</v>
          </cell>
          <cell r="AA340">
            <v>1385</v>
          </cell>
          <cell r="AB340" t="str">
            <v>نشط</v>
          </cell>
          <cell r="AC340" t="str">
            <v>100136</v>
          </cell>
          <cell r="AD340" t="str">
            <v>Yagoub Aljraid</v>
          </cell>
          <cell r="AE340" t="str">
            <v>إعارة</v>
          </cell>
          <cell r="AF340" t="str">
            <v/>
          </cell>
          <cell r="AG340" t="str">
            <v/>
          </cell>
          <cell r="AH340" t="str">
            <v>علم الزراعة</v>
          </cell>
          <cell r="AI340" t="str">
            <v>دبلوم</v>
          </cell>
          <cell r="AJ340">
            <v>1</v>
          </cell>
          <cell r="AK340">
            <v>0</v>
          </cell>
          <cell r="AL340">
            <v>1</v>
          </cell>
          <cell r="AM340">
            <v>0</v>
          </cell>
          <cell r="AN340" t="str">
            <v/>
          </cell>
          <cell r="AO340" t="str">
            <v>الخدمات النباتيةِ</v>
          </cell>
          <cell r="AP340" t="str">
            <v>Saudi Awwal Bank</v>
          </cell>
          <cell r="AQ340" t="str">
            <v>SA9745000000015049125001</v>
          </cell>
          <cell r="AR340">
            <v>14915</v>
          </cell>
          <cell r="AS340" t="str">
            <v/>
          </cell>
          <cell r="AT340">
            <v>791.5</v>
          </cell>
          <cell r="AU340">
            <v>3728.75</v>
          </cell>
          <cell r="AV340" t="str">
            <v/>
          </cell>
        </row>
        <row r="341">
          <cell r="A341">
            <v>400160</v>
          </cell>
          <cell r="B341" t="str">
            <v>1013635337</v>
          </cell>
          <cell r="C341" t="str">
            <v>السيد</v>
          </cell>
          <cell r="D341" t="str">
            <v>Sulaiman Aldarweesh</v>
          </cell>
          <cell r="E341" t="str">
            <v>سليمان   الدريويش</v>
          </cell>
          <cell r="F341" t="str">
            <v>Male</v>
          </cell>
          <cell r="G341" t="str">
            <v>أعزب</v>
          </cell>
          <cell r="H341">
            <v>23686</v>
          </cell>
          <cell r="I341">
            <v>62</v>
          </cell>
          <cell r="J341">
            <v>22504</v>
          </cell>
          <cell r="K341" t="str">
            <v>SUSALDARWEESH@agriserv.com.sa</v>
          </cell>
          <cell r="L341" t="str">
            <v/>
          </cell>
          <cell r="M341" t="str">
            <v/>
          </cell>
          <cell r="N341" t="str">
            <v>المملكة العربية السعودية</v>
          </cell>
          <cell r="O341" t="str">
            <v>50000991</v>
          </cell>
          <cell r="P341" t="str">
            <v>فني زراعي</v>
          </cell>
          <cell r="Q341" t="str">
            <v>2A الدرجة</v>
          </cell>
          <cell r="R341" t="str">
            <v/>
          </cell>
          <cell r="S341" t="str">
            <v/>
          </cell>
          <cell r="T341" t="str">
            <v>السيطرة على أمراض الثروة النباتية ومكافحتها</v>
          </cell>
          <cell r="U341" t="str">
            <v>الخدمات الصحية و الإرشاد ودعم التسويق للثروة النباتية</v>
          </cell>
          <cell r="V341" t="str">
            <v>العمليات</v>
          </cell>
          <cell r="W341" t="str">
            <v>Al Riyadh</v>
          </cell>
          <cell r="X341" t="str">
            <v xml:space="preserve">الفرع </v>
          </cell>
          <cell r="Y341">
            <v>44805</v>
          </cell>
          <cell r="Z341">
            <v>3.79</v>
          </cell>
          <cell r="AA341">
            <v>1385</v>
          </cell>
          <cell r="AB341" t="str">
            <v>غير نشط</v>
          </cell>
          <cell r="AC341" t="str">
            <v/>
          </cell>
          <cell r="AD341" t="str">
            <v xml:space="preserve"> </v>
          </cell>
          <cell r="AE341" t="str">
            <v>إعارة</v>
          </cell>
          <cell r="AF341">
            <v>44925</v>
          </cell>
          <cell r="AG341" t="str">
            <v/>
          </cell>
          <cell r="AH341" t="str">
            <v/>
          </cell>
          <cell r="AI341" t="str">
            <v/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 t="str">
            <v/>
          </cell>
          <cell r="AO341" t="str">
            <v>Corp Extension &amp; Protection</v>
          </cell>
          <cell r="AP341" t="str">
            <v>Riyad Bank</v>
          </cell>
          <cell r="AQ341" t="str">
            <v>SA1620000006191315369940</v>
          </cell>
          <cell r="AR341">
            <v>18705</v>
          </cell>
          <cell r="AS341" t="str">
            <v/>
          </cell>
          <cell r="AT341" t="str">
            <v/>
          </cell>
          <cell r="AU341">
            <v>4676.25</v>
          </cell>
          <cell r="AV341" t="str">
            <v/>
          </cell>
        </row>
        <row r="342">
          <cell r="A342">
            <v>400161</v>
          </cell>
          <cell r="B342" t="str">
            <v>1002987467</v>
          </cell>
          <cell r="C342" t="str">
            <v>السيد</v>
          </cell>
          <cell r="D342" t="str">
            <v>Kathem Abbas Yaseen Aljaber</v>
          </cell>
          <cell r="E342" t="str">
            <v>كاظم عباس ياسين الجابر</v>
          </cell>
          <cell r="F342" t="str">
            <v>Male</v>
          </cell>
          <cell r="G342" t="str">
            <v>أعزب</v>
          </cell>
          <cell r="H342">
            <v>33490</v>
          </cell>
          <cell r="I342">
            <v>35</v>
          </cell>
          <cell r="J342">
            <v>12700</v>
          </cell>
          <cell r="K342" t="str">
            <v>E2274@agriserv.com.sa</v>
          </cell>
          <cell r="L342" t="str">
            <v>0501239393</v>
          </cell>
          <cell r="M342" t="str">
            <v/>
          </cell>
          <cell r="N342" t="str">
            <v>المملكة العربية السعودية</v>
          </cell>
          <cell r="O342" t="str">
            <v>50000992</v>
          </cell>
          <cell r="P342" t="str">
            <v>طبيب بيطري مساعد</v>
          </cell>
          <cell r="Q342" t="str">
            <v>2B الدرجة</v>
          </cell>
          <cell r="R342" t="str">
            <v/>
          </cell>
          <cell r="S342" t="str">
            <v/>
          </cell>
          <cell r="T342" t="str">
            <v>مختبرات الثروة الحيوانية</v>
          </cell>
          <cell r="U342" t="str">
            <v>الخدمات الصحية و الإرشاد ودعم التسويق للثروة الحيوانية</v>
          </cell>
          <cell r="V342" t="str">
            <v>العمليات</v>
          </cell>
          <cell r="W342" t="str">
            <v>Al Riyadh</v>
          </cell>
          <cell r="X342" t="str">
            <v xml:space="preserve">الفرع </v>
          </cell>
          <cell r="Y342">
            <v>44805</v>
          </cell>
          <cell r="Z342">
            <v>3.79</v>
          </cell>
          <cell r="AA342">
            <v>1385</v>
          </cell>
          <cell r="AB342" t="str">
            <v>غير نشط</v>
          </cell>
          <cell r="AC342" t="str">
            <v>400114</v>
          </cell>
          <cell r="AD342" t="str">
            <v>Marshad Alaqil</v>
          </cell>
          <cell r="AE342" t="str">
            <v>إعارة</v>
          </cell>
          <cell r="AF342">
            <v>45208</v>
          </cell>
          <cell r="AG342" t="str">
            <v/>
          </cell>
          <cell r="AH342" t="str">
            <v/>
          </cell>
          <cell r="AI342" t="str">
            <v/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 t="str">
            <v/>
          </cell>
          <cell r="AO342" t="str">
            <v>Livestock Extension &amp; Protection</v>
          </cell>
          <cell r="AP342" t="str">
            <v>Saudi National Bank</v>
          </cell>
          <cell r="AQ342" t="str">
            <v>SA4110000073700000032503</v>
          </cell>
          <cell r="AR342">
            <v>16905</v>
          </cell>
          <cell r="AS342" t="str">
            <v/>
          </cell>
          <cell r="AT342">
            <v>100</v>
          </cell>
          <cell r="AU342">
            <v>4226.25</v>
          </cell>
          <cell r="AV342" t="str">
            <v/>
          </cell>
        </row>
        <row r="343">
          <cell r="A343">
            <v>400162</v>
          </cell>
          <cell r="B343" t="str">
            <v>1038283048</v>
          </cell>
          <cell r="C343" t="str">
            <v>السيد</v>
          </cell>
          <cell r="D343" t="str">
            <v>Fahad Jahaz Jafeen Almutairi</v>
          </cell>
          <cell r="E343" t="str">
            <v>فهد جهز جفين المطيري</v>
          </cell>
          <cell r="F343" t="str">
            <v>Male</v>
          </cell>
          <cell r="G343" t="str">
            <v>متزوج</v>
          </cell>
          <cell r="H343">
            <v>29526</v>
          </cell>
          <cell r="I343">
            <v>46</v>
          </cell>
          <cell r="J343">
            <v>16664</v>
          </cell>
          <cell r="K343" t="str">
            <v>Fahad.Almutairi@agriserv.sa</v>
          </cell>
          <cell r="L343" t="str">
            <v>0500027101</v>
          </cell>
          <cell r="M343" t="str">
            <v/>
          </cell>
          <cell r="N343" t="str">
            <v>المملكة العربية السعودية</v>
          </cell>
          <cell r="O343" t="str">
            <v>50000993</v>
          </cell>
          <cell r="P343" t="str">
            <v>فني مختبرات</v>
          </cell>
          <cell r="Q343" t="str">
            <v>2A الدرجة</v>
          </cell>
          <cell r="R343" t="str">
            <v>Class A</v>
          </cell>
          <cell r="S343" t="str">
            <v/>
          </cell>
          <cell r="T343" t="str">
            <v>محافظة ضرماء</v>
          </cell>
          <cell r="U343" t="str">
            <v>عمليات الفروع</v>
          </cell>
          <cell r="V343" t="str">
            <v>الفروع</v>
          </cell>
          <cell r="W343" t="str">
            <v>Al Riyadh</v>
          </cell>
          <cell r="X343" t="str">
            <v xml:space="preserve">الفرع </v>
          </cell>
          <cell r="Y343">
            <v>44805</v>
          </cell>
          <cell r="Z343">
            <v>3.79</v>
          </cell>
          <cell r="AA343">
            <v>1385</v>
          </cell>
          <cell r="AB343" t="str">
            <v>نشط</v>
          </cell>
          <cell r="AC343" t="str">
            <v>400244</v>
          </cell>
          <cell r="AD343" t="str">
            <v>Ridha Aldalwi</v>
          </cell>
          <cell r="AE343" t="str">
            <v>إعارة</v>
          </cell>
          <cell r="AF343" t="str">
            <v/>
          </cell>
          <cell r="AG343" t="str">
            <v/>
          </cell>
          <cell r="AH343" t="str">
            <v>مختبرات طبيه</v>
          </cell>
          <cell r="AI343" t="str">
            <v>دبلوم</v>
          </cell>
          <cell r="AJ343">
            <v>7</v>
          </cell>
          <cell r="AK343">
            <v>4</v>
          </cell>
          <cell r="AL343">
            <v>1</v>
          </cell>
          <cell r="AM343">
            <v>2</v>
          </cell>
          <cell r="AN343" t="str">
            <v/>
          </cell>
          <cell r="AO343" t="str">
            <v>عمليات الفروع</v>
          </cell>
          <cell r="AP343" t="str">
            <v>Saudi National Bank</v>
          </cell>
          <cell r="AQ343" t="str">
            <v>SA2410000044454540000107</v>
          </cell>
          <cell r="AR343">
            <v>16395</v>
          </cell>
          <cell r="AS343" t="str">
            <v/>
          </cell>
          <cell r="AT343">
            <v>100</v>
          </cell>
          <cell r="AU343">
            <v>4098.75</v>
          </cell>
          <cell r="AV343" t="str">
            <v/>
          </cell>
        </row>
        <row r="344">
          <cell r="A344">
            <v>400163</v>
          </cell>
          <cell r="B344" t="str">
            <v>1046474837</v>
          </cell>
          <cell r="C344" t="str">
            <v>السيد</v>
          </cell>
          <cell r="D344" t="str">
            <v>Abdulmonem Alosebea</v>
          </cell>
          <cell r="E344" t="str">
            <v>عبد   الوصيبعى</v>
          </cell>
          <cell r="F344" t="str">
            <v>Male</v>
          </cell>
          <cell r="G344" t="str">
            <v>أعزب</v>
          </cell>
          <cell r="H344">
            <v>24040</v>
          </cell>
          <cell r="I344">
            <v>61</v>
          </cell>
          <cell r="J344">
            <v>22150</v>
          </cell>
          <cell r="K344" t="str">
            <v>E441@agriserv.com.sa</v>
          </cell>
          <cell r="L344" t="str">
            <v>0505930628</v>
          </cell>
          <cell r="M344" t="str">
            <v/>
          </cell>
          <cell r="N344" t="str">
            <v>المملكة العربية السعودية</v>
          </cell>
          <cell r="O344" t="str">
            <v>50000994</v>
          </cell>
          <cell r="P344" t="str">
            <v>طبيب بيطري</v>
          </cell>
          <cell r="Q344" t="str">
            <v>الدرجة 3</v>
          </cell>
          <cell r="R344" t="str">
            <v/>
          </cell>
          <cell r="S344" t="str">
            <v/>
          </cell>
          <cell r="T344" t="str">
            <v>السيطرة على أمراض الثروة النباتية ومكافحتها</v>
          </cell>
          <cell r="U344" t="str">
            <v>الخدمات الصحية و الإرشاد ودعم التسويق للثروة النباتية</v>
          </cell>
          <cell r="V344" t="str">
            <v>العمليات</v>
          </cell>
          <cell r="W344" t="str">
            <v>Al Riyadh</v>
          </cell>
          <cell r="X344" t="str">
            <v xml:space="preserve">الفرع </v>
          </cell>
          <cell r="Y344">
            <v>44805</v>
          </cell>
          <cell r="Z344">
            <v>3.79</v>
          </cell>
          <cell r="AA344">
            <v>1385</v>
          </cell>
          <cell r="AB344" t="str">
            <v>غير نشط</v>
          </cell>
          <cell r="AC344" t="str">
            <v>400209</v>
          </cell>
          <cell r="AD344" t="str">
            <v>Yagoub Aljraid</v>
          </cell>
          <cell r="AE344" t="str">
            <v>إعارة</v>
          </cell>
          <cell r="AF344">
            <v>45169</v>
          </cell>
          <cell r="AG344" t="str">
            <v/>
          </cell>
          <cell r="AH344" t="str">
            <v/>
          </cell>
          <cell r="AI344" t="str">
            <v/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 t="str">
            <v/>
          </cell>
          <cell r="AO344" t="str">
            <v>Livestock Extension &amp; Protection</v>
          </cell>
          <cell r="AP344" t="str">
            <v>Riyad Bank</v>
          </cell>
          <cell r="AQ344" t="str">
            <v>SA4720000002051434289940</v>
          </cell>
          <cell r="AR344">
            <v>20275</v>
          </cell>
          <cell r="AS344" t="str">
            <v/>
          </cell>
          <cell r="AT344">
            <v>1100</v>
          </cell>
          <cell r="AU344">
            <v>5068.75</v>
          </cell>
          <cell r="AV344" t="str">
            <v/>
          </cell>
        </row>
        <row r="345">
          <cell r="A345">
            <v>400164</v>
          </cell>
          <cell r="B345" t="str">
            <v>1022009094</v>
          </cell>
          <cell r="C345" t="str">
            <v>السيد</v>
          </cell>
          <cell r="D345" t="str">
            <v>Sami Abdulhadi Ali Albugshi</v>
          </cell>
          <cell r="E345" t="str">
            <v>سامى عبدالهادي على البقشى</v>
          </cell>
          <cell r="F345" t="str">
            <v>Male</v>
          </cell>
          <cell r="G345" t="str">
            <v>متزوج</v>
          </cell>
          <cell r="H345">
            <v>24749</v>
          </cell>
          <cell r="I345">
            <v>59</v>
          </cell>
          <cell r="J345">
            <v>21441</v>
          </cell>
          <cell r="K345" t="str">
            <v>Sami.Albugshi@agriserv.sa</v>
          </cell>
          <cell r="L345" t="str">
            <v>0504294270</v>
          </cell>
          <cell r="M345" t="str">
            <v/>
          </cell>
          <cell r="N345" t="str">
            <v>المملكة العربية السعودية</v>
          </cell>
          <cell r="O345" t="str">
            <v>50000995</v>
          </cell>
          <cell r="P345" t="str">
            <v>طبيب بيطري</v>
          </cell>
          <cell r="Q345" t="str">
            <v>الدرجة 3</v>
          </cell>
          <cell r="R345" t="str">
            <v>Class A</v>
          </cell>
          <cell r="S345" t="str">
            <v/>
          </cell>
          <cell r="T345" t="str">
            <v>محافظة  الخرج</v>
          </cell>
          <cell r="U345" t="str">
            <v>عمليات الفروع</v>
          </cell>
          <cell r="V345" t="str">
            <v>الفروع</v>
          </cell>
          <cell r="W345" t="str">
            <v>Al Riyadh</v>
          </cell>
          <cell r="X345" t="str">
            <v xml:space="preserve">الفرع </v>
          </cell>
          <cell r="Y345">
            <v>44805</v>
          </cell>
          <cell r="Z345">
            <v>3.79</v>
          </cell>
          <cell r="AA345">
            <v>1385</v>
          </cell>
          <cell r="AB345" t="str">
            <v>غير نشط</v>
          </cell>
          <cell r="AC345" t="str">
            <v>400233</v>
          </cell>
          <cell r="AD345" t="str">
            <v>Ahmed Alhajri</v>
          </cell>
          <cell r="AE345" t="str">
            <v>إعارة</v>
          </cell>
          <cell r="AF345">
            <v>46011</v>
          </cell>
          <cell r="AG345" t="str">
            <v/>
          </cell>
          <cell r="AH345" t="str">
            <v>طب بيطري</v>
          </cell>
          <cell r="AI345" t="str">
            <v>بكالوريوس</v>
          </cell>
          <cell r="AJ345">
            <v>5</v>
          </cell>
          <cell r="AK345">
            <v>4</v>
          </cell>
          <cell r="AL345">
            <v>1</v>
          </cell>
          <cell r="AM345">
            <v>0</v>
          </cell>
          <cell r="AN345" t="str">
            <v/>
          </cell>
          <cell r="AO345" t="str">
            <v>Livestock Extension &amp; Protection</v>
          </cell>
          <cell r="AP345" t="str">
            <v>Arab National Bank</v>
          </cell>
          <cell r="AQ345" t="str">
            <v>SA9130400108005750170011</v>
          </cell>
          <cell r="AR345">
            <v>20275</v>
          </cell>
          <cell r="AS345" t="str">
            <v/>
          </cell>
          <cell r="AT345">
            <v>1100</v>
          </cell>
          <cell r="AU345">
            <v>5068.75</v>
          </cell>
          <cell r="AV345" t="str">
            <v/>
          </cell>
        </row>
        <row r="346">
          <cell r="A346">
            <v>400165</v>
          </cell>
          <cell r="B346" t="str">
            <v>1012485890</v>
          </cell>
          <cell r="C346" t="str">
            <v>السيد</v>
          </cell>
          <cell r="D346" t="str">
            <v>Ahmad Budrees</v>
          </cell>
          <cell r="E346" t="str">
            <v>احمد   بودريس</v>
          </cell>
          <cell r="F346" t="str">
            <v>Male</v>
          </cell>
          <cell r="G346" t="str">
            <v>أعزب</v>
          </cell>
          <cell r="H346">
            <v>25104</v>
          </cell>
          <cell r="I346">
            <v>58</v>
          </cell>
          <cell r="J346">
            <v>21086</v>
          </cell>
          <cell r="K346" t="str">
            <v>E712@agriserv.com.sa</v>
          </cell>
          <cell r="L346" t="str">
            <v>0503905304</v>
          </cell>
          <cell r="M346" t="str">
            <v/>
          </cell>
          <cell r="N346" t="str">
            <v>المملكة العربية السعودية</v>
          </cell>
          <cell r="O346" t="str">
            <v>50000996</v>
          </cell>
          <cell r="P346" t="str">
            <v>طبيب بيطري</v>
          </cell>
          <cell r="Q346" t="str">
            <v>الدرجة 3</v>
          </cell>
          <cell r="R346" t="str">
            <v/>
          </cell>
          <cell r="S346" t="str">
            <v/>
          </cell>
          <cell r="T346" t="str">
            <v>المنشآت البيطرية</v>
          </cell>
          <cell r="U346" t="str">
            <v>الخدمات الصحية و الإرشاد ودعم التسويق للثروة الحيوانية</v>
          </cell>
          <cell r="V346" t="str">
            <v>العمليات</v>
          </cell>
          <cell r="W346" t="str">
            <v>Al Riyadh</v>
          </cell>
          <cell r="X346" t="str">
            <v xml:space="preserve">الفرع </v>
          </cell>
          <cell r="Y346">
            <v>44805</v>
          </cell>
          <cell r="Z346">
            <v>3.79</v>
          </cell>
          <cell r="AA346">
            <v>1385</v>
          </cell>
          <cell r="AB346" t="str">
            <v>غير نشط</v>
          </cell>
          <cell r="AC346" t="str">
            <v>400209</v>
          </cell>
          <cell r="AD346" t="str">
            <v>Yagoub Aljraid</v>
          </cell>
          <cell r="AE346" t="str">
            <v>إعارة</v>
          </cell>
          <cell r="AF346">
            <v>45016</v>
          </cell>
          <cell r="AG346" t="str">
            <v/>
          </cell>
          <cell r="AH346" t="str">
            <v/>
          </cell>
          <cell r="AI346" t="str">
            <v/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 t="str">
            <v/>
          </cell>
          <cell r="AO346" t="str">
            <v>Livestock Extension &amp; Protection</v>
          </cell>
          <cell r="AP346" t="str">
            <v>Arab National Bank</v>
          </cell>
          <cell r="AQ346" t="str">
            <v>SA4130400108005745670014</v>
          </cell>
          <cell r="AR346">
            <v>18705</v>
          </cell>
          <cell r="AS346" t="str">
            <v/>
          </cell>
          <cell r="AT346">
            <v>970.5</v>
          </cell>
          <cell r="AU346">
            <v>4676.25</v>
          </cell>
          <cell r="AV346" t="str">
            <v/>
          </cell>
        </row>
        <row r="347">
          <cell r="A347">
            <v>400166</v>
          </cell>
          <cell r="B347" t="str">
            <v>1037742325</v>
          </cell>
          <cell r="C347" t="str">
            <v>السيد</v>
          </cell>
          <cell r="D347" t="str">
            <v>Khalid Mohammed Salem Aldosari</v>
          </cell>
          <cell r="E347" t="str">
            <v>خالد محمد سالم الدوسري</v>
          </cell>
          <cell r="F347" t="str">
            <v>Male</v>
          </cell>
          <cell r="G347" t="str">
            <v>متزوج</v>
          </cell>
          <cell r="H347">
            <v>24749</v>
          </cell>
          <cell r="I347">
            <v>59</v>
          </cell>
          <cell r="J347">
            <v>21441</v>
          </cell>
          <cell r="K347" t="str">
            <v>Khalid.Aldosari@agriserv.sa</v>
          </cell>
          <cell r="L347" t="str">
            <v>0555244780</v>
          </cell>
          <cell r="M347" t="str">
            <v/>
          </cell>
          <cell r="N347" t="str">
            <v>المملكة العربية السعودية</v>
          </cell>
          <cell r="O347" t="str">
            <v>50000997</v>
          </cell>
          <cell r="P347" t="str">
            <v>مهندس زراعي</v>
          </cell>
          <cell r="Q347" t="str">
            <v>الدرجة 3</v>
          </cell>
          <cell r="R347" t="str">
            <v>Class A</v>
          </cell>
          <cell r="S347" t="str">
            <v/>
          </cell>
          <cell r="T347" t="str">
            <v>محافظة  الخرج</v>
          </cell>
          <cell r="U347" t="str">
            <v>عمليات الفروع</v>
          </cell>
          <cell r="V347" t="str">
            <v>الفروع</v>
          </cell>
          <cell r="W347" t="str">
            <v>Al Riyadh</v>
          </cell>
          <cell r="X347" t="str">
            <v xml:space="preserve">الفرع </v>
          </cell>
          <cell r="Y347">
            <v>44805</v>
          </cell>
          <cell r="Z347">
            <v>3.79</v>
          </cell>
          <cell r="AA347">
            <v>1385</v>
          </cell>
          <cell r="AB347" t="str">
            <v>غير نشط</v>
          </cell>
          <cell r="AC347" t="str">
            <v>400233</v>
          </cell>
          <cell r="AD347" t="str">
            <v>Ahmed Alhajri</v>
          </cell>
          <cell r="AE347" t="str">
            <v>إعارة</v>
          </cell>
          <cell r="AF347">
            <v>46011</v>
          </cell>
          <cell r="AG347" t="str">
            <v/>
          </cell>
          <cell r="AH347" t="str">
            <v>علم التربة</v>
          </cell>
          <cell r="AI347" t="str">
            <v>بكالوريوس</v>
          </cell>
          <cell r="AJ347">
            <v>6</v>
          </cell>
          <cell r="AK347">
            <v>5</v>
          </cell>
          <cell r="AL347">
            <v>1</v>
          </cell>
          <cell r="AM347">
            <v>0</v>
          </cell>
          <cell r="AN347" t="str">
            <v/>
          </cell>
          <cell r="AO347" t="str">
            <v>Corp Extension &amp; Protection</v>
          </cell>
          <cell r="AP347" t="str">
            <v>Arab National Bank</v>
          </cell>
          <cell r="AQ347" t="str">
            <v>SA2030400108005776590015</v>
          </cell>
          <cell r="AR347">
            <v>18705</v>
          </cell>
          <cell r="AS347" t="str">
            <v/>
          </cell>
          <cell r="AT347">
            <v>970.5</v>
          </cell>
          <cell r="AU347">
            <v>4676.25</v>
          </cell>
          <cell r="AV347" t="str">
            <v/>
          </cell>
        </row>
        <row r="348">
          <cell r="A348">
            <v>400167</v>
          </cell>
          <cell r="B348" t="str">
            <v>1013387814</v>
          </cell>
          <cell r="C348" t="str">
            <v>السيد</v>
          </cell>
          <cell r="D348" t="str">
            <v>Mohammad Ali Mohammad Almaiman</v>
          </cell>
          <cell r="E348" t="str">
            <v>محمد علي محمد الميمان</v>
          </cell>
          <cell r="F348" t="str">
            <v>Male</v>
          </cell>
          <cell r="G348" t="str">
            <v>متزوج</v>
          </cell>
          <cell r="H348">
            <v>28628</v>
          </cell>
          <cell r="I348">
            <v>48</v>
          </cell>
          <cell r="J348">
            <v>17562</v>
          </cell>
          <cell r="K348" t="str">
            <v>mohammad.almaiman@agriserv.sa</v>
          </cell>
          <cell r="L348" t="str">
            <v>0504183213</v>
          </cell>
          <cell r="M348" t="str">
            <v/>
          </cell>
          <cell r="N348" t="str">
            <v>المملكة العربية السعودية</v>
          </cell>
          <cell r="O348" t="str">
            <v>50000998</v>
          </cell>
          <cell r="P348" t="str">
            <v>مهندس زراعي</v>
          </cell>
          <cell r="Q348" t="str">
            <v>الدرجة 3</v>
          </cell>
          <cell r="R348" t="str">
            <v>Class A</v>
          </cell>
          <cell r="S348" t="str">
            <v/>
          </cell>
          <cell r="T348" t="str">
            <v>محافظة  الخرج</v>
          </cell>
          <cell r="U348" t="str">
            <v>عمليات الفروع</v>
          </cell>
          <cell r="V348" t="str">
            <v>الفروع</v>
          </cell>
          <cell r="W348" t="str">
            <v>Al Riyadh</v>
          </cell>
          <cell r="X348" t="str">
            <v xml:space="preserve">الفرع </v>
          </cell>
          <cell r="Y348">
            <v>44805</v>
          </cell>
          <cell r="Z348">
            <v>3.79</v>
          </cell>
          <cell r="AA348">
            <v>1385</v>
          </cell>
          <cell r="AB348" t="str">
            <v>نشط</v>
          </cell>
          <cell r="AC348" t="str">
            <v>400233</v>
          </cell>
          <cell r="AD348" t="str">
            <v>Ahmed Alhajri</v>
          </cell>
          <cell r="AE348" t="str">
            <v>إعارة</v>
          </cell>
          <cell r="AF348" t="str">
            <v/>
          </cell>
          <cell r="AG348" t="str">
            <v/>
          </cell>
          <cell r="AH348" t="str">
            <v>وقاية النبات</v>
          </cell>
          <cell r="AI348" t="str">
            <v>بكالوريوس</v>
          </cell>
          <cell r="AJ348">
            <v>4</v>
          </cell>
          <cell r="AK348">
            <v>3</v>
          </cell>
          <cell r="AL348">
            <v>1</v>
          </cell>
          <cell r="AM348">
            <v>0</v>
          </cell>
          <cell r="AN348" t="str">
            <v/>
          </cell>
          <cell r="AO348" t="str">
            <v>عمليات الفروع</v>
          </cell>
          <cell r="AP348" t="str">
            <v>Bank Al Bilad</v>
          </cell>
          <cell r="AQ348" t="str">
            <v>SA4215000422102955770005</v>
          </cell>
          <cell r="AR348">
            <v>17415</v>
          </cell>
          <cell r="AS348" t="str">
            <v/>
          </cell>
          <cell r="AT348">
            <v>1041.5</v>
          </cell>
          <cell r="AU348">
            <v>4353.75</v>
          </cell>
          <cell r="AV348" t="str">
            <v/>
          </cell>
        </row>
        <row r="349">
          <cell r="A349">
            <v>400168</v>
          </cell>
          <cell r="B349" t="str">
            <v>1003066220</v>
          </cell>
          <cell r="C349" t="str">
            <v>السيد</v>
          </cell>
          <cell r="D349" t="str">
            <v>Hasan Ahmad Taher Albetyan</v>
          </cell>
          <cell r="E349" t="str">
            <v>حسن احمد طاهر البطيان</v>
          </cell>
          <cell r="F349" t="str">
            <v>Male</v>
          </cell>
          <cell r="G349" t="str">
            <v>متزوج</v>
          </cell>
          <cell r="H349">
            <v>29569</v>
          </cell>
          <cell r="I349">
            <v>46</v>
          </cell>
          <cell r="J349">
            <v>16621</v>
          </cell>
          <cell r="K349" t="str">
            <v>Hasan.Albetyan@agriserv.sa</v>
          </cell>
          <cell r="L349" t="str">
            <v>0500856953</v>
          </cell>
          <cell r="M349" t="str">
            <v/>
          </cell>
          <cell r="N349" t="str">
            <v>المملكة العربية السعودية</v>
          </cell>
          <cell r="O349" t="str">
            <v>50000999</v>
          </cell>
          <cell r="P349" t="str">
            <v>طبيب بيطري</v>
          </cell>
          <cell r="Q349" t="str">
            <v>الدرجة 3</v>
          </cell>
          <cell r="R349" t="str">
            <v>Class A</v>
          </cell>
          <cell r="S349" t="str">
            <v/>
          </cell>
          <cell r="T349" t="str">
            <v>رماح</v>
          </cell>
          <cell r="U349" t="str">
            <v>عمليات الفروع</v>
          </cell>
          <cell r="V349" t="str">
            <v>الفروع</v>
          </cell>
          <cell r="W349" t="str">
            <v>Al Riyadh</v>
          </cell>
          <cell r="X349" t="str">
            <v xml:space="preserve">الفرع </v>
          </cell>
          <cell r="Y349">
            <v>44805</v>
          </cell>
          <cell r="Z349">
            <v>3.79</v>
          </cell>
          <cell r="AA349">
            <v>1385</v>
          </cell>
          <cell r="AB349" t="str">
            <v>غير نشط</v>
          </cell>
          <cell r="AC349" t="str">
            <v>400226</v>
          </cell>
          <cell r="AD349" t="str">
            <v>Ahmad Alabbad</v>
          </cell>
          <cell r="AE349" t="str">
            <v>إعارة</v>
          </cell>
          <cell r="AF349">
            <v>46067</v>
          </cell>
          <cell r="AG349" t="str">
            <v/>
          </cell>
          <cell r="AH349" t="str">
            <v>طب بيطري</v>
          </cell>
          <cell r="AI349" t="str">
            <v>بكالوريوس</v>
          </cell>
          <cell r="AJ349">
            <v>8</v>
          </cell>
          <cell r="AK349">
            <v>5</v>
          </cell>
          <cell r="AL349">
            <v>1</v>
          </cell>
          <cell r="AM349">
            <v>2</v>
          </cell>
          <cell r="AN349" t="str">
            <v/>
          </cell>
          <cell r="AO349" t="str">
            <v>Livestock Extension &amp; Protection</v>
          </cell>
          <cell r="AP349" t="str">
            <v>Riyad Bank</v>
          </cell>
          <cell r="AQ349" t="str">
            <v>SA2920000003044839779940</v>
          </cell>
          <cell r="AR349">
            <v>15855</v>
          </cell>
          <cell r="AS349" t="str">
            <v/>
          </cell>
          <cell r="AT349">
            <v>885.5</v>
          </cell>
          <cell r="AU349">
            <v>3963.75</v>
          </cell>
          <cell r="AV349" t="str">
            <v/>
          </cell>
        </row>
        <row r="350">
          <cell r="A350">
            <v>400169</v>
          </cell>
          <cell r="B350" t="str">
            <v>1057247908</v>
          </cell>
          <cell r="C350" t="str">
            <v>السيد</v>
          </cell>
          <cell r="D350" t="str">
            <v>Yousef Yaqoob Yousef Aljebeli</v>
          </cell>
          <cell r="E350" t="str">
            <v>يوسف يعقوب يوسف الجبيلي</v>
          </cell>
          <cell r="F350" t="str">
            <v>Male</v>
          </cell>
          <cell r="G350" t="str">
            <v>متزوج</v>
          </cell>
          <cell r="H350">
            <v>30319</v>
          </cell>
          <cell r="I350">
            <v>43</v>
          </cell>
          <cell r="J350">
            <v>15871</v>
          </cell>
          <cell r="K350" t="str">
            <v>Yousef.Aljebeli@agriserv.sa</v>
          </cell>
          <cell r="L350" t="str">
            <v>0551562180</v>
          </cell>
          <cell r="M350" t="str">
            <v/>
          </cell>
          <cell r="N350" t="str">
            <v>المملكة العربية السعودية</v>
          </cell>
          <cell r="O350" t="str">
            <v>50001000</v>
          </cell>
          <cell r="P350" t="str">
            <v>طبيب بيطري</v>
          </cell>
          <cell r="Q350" t="str">
            <v>الدرجة 3</v>
          </cell>
          <cell r="R350" t="str">
            <v>Class A</v>
          </cell>
          <cell r="S350" t="str">
            <v>محجر الخيل</v>
          </cell>
          <cell r="T350" t="str">
            <v>خدمات المحجر</v>
          </cell>
          <cell r="U350" t="str">
            <v>الاذونات وخدمات المحاجر</v>
          </cell>
          <cell r="V350" t="str">
            <v>العمليات</v>
          </cell>
          <cell r="W350" t="str">
            <v>Al Riyadh</v>
          </cell>
          <cell r="X350" t="str">
            <v xml:space="preserve">الفرع </v>
          </cell>
          <cell r="Y350">
            <v>44805</v>
          </cell>
          <cell r="Z350">
            <v>3.79</v>
          </cell>
          <cell r="AA350">
            <v>1385</v>
          </cell>
          <cell r="AB350" t="str">
            <v>نشط</v>
          </cell>
          <cell r="AC350" t="str">
            <v>100051</v>
          </cell>
          <cell r="AD350" t="str">
            <v>Mohammed Alrajban</v>
          </cell>
          <cell r="AE350" t="str">
            <v>إعارة</v>
          </cell>
          <cell r="AF350" t="str">
            <v/>
          </cell>
          <cell r="AG350" t="str">
            <v/>
          </cell>
          <cell r="AH350" t="str">
            <v>طب بيطري</v>
          </cell>
          <cell r="AI350" t="str">
            <v>بكالوريوس</v>
          </cell>
          <cell r="AJ350">
            <v>9</v>
          </cell>
          <cell r="AK350">
            <v>8</v>
          </cell>
          <cell r="AL350">
            <v>1</v>
          </cell>
          <cell r="AM350">
            <v>0</v>
          </cell>
          <cell r="AN350" t="str">
            <v/>
          </cell>
          <cell r="AO350" t="str">
            <v>الاذونات وخدمات المحاجر</v>
          </cell>
          <cell r="AP350" t="str">
            <v>Riyad Bank</v>
          </cell>
          <cell r="AQ350" t="str">
            <v>SA0820000003360421399941</v>
          </cell>
          <cell r="AR350">
            <v>15855</v>
          </cell>
          <cell r="AS350" t="str">
            <v/>
          </cell>
          <cell r="AT350">
            <v>885.5</v>
          </cell>
          <cell r="AU350">
            <v>3963.75</v>
          </cell>
          <cell r="AV350" t="str">
            <v/>
          </cell>
        </row>
        <row r="351">
          <cell r="A351">
            <v>400170</v>
          </cell>
          <cell r="B351" t="str">
            <v>1031389560</v>
          </cell>
          <cell r="C351" t="str">
            <v>السيد</v>
          </cell>
          <cell r="D351" t="str">
            <v>Abdulrahman Abdulaziz Abdulrahman Alsnedi</v>
          </cell>
          <cell r="E351" t="str">
            <v>عبدالرحمن عبدالعزيز عبدالرحمن السنيدي</v>
          </cell>
          <cell r="F351" t="str">
            <v>Male</v>
          </cell>
          <cell r="G351" t="str">
            <v>متزوج</v>
          </cell>
          <cell r="H351">
            <v>25458</v>
          </cell>
          <cell r="I351">
            <v>57</v>
          </cell>
          <cell r="J351">
            <v>20732</v>
          </cell>
          <cell r="K351" t="str">
            <v>Abdulrahman.Alsnedi@agriserv.sa</v>
          </cell>
          <cell r="L351" t="str">
            <v>0555346663</v>
          </cell>
          <cell r="M351" t="str">
            <v/>
          </cell>
          <cell r="N351" t="str">
            <v>المملكة العربية السعودية</v>
          </cell>
          <cell r="O351" t="str">
            <v>50001001</v>
          </cell>
          <cell r="P351" t="str">
            <v>طبيب بيطري مساعد</v>
          </cell>
          <cell r="Q351" t="str">
            <v>2B الدرجة</v>
          </cell>
          <cell r="R351" t="str">
            <v>Class A</v>
          </cell>
          <cell r="S351" t="str">
            <v/>
          </cell>
          <cell r="T351" t="str">
            <v>محافظة  شقراء</v>
          </cell>
          <cell r="U351" t="str">
            <v>عمليات الفروع</v>
          </cell>
          <cell r="V351" t="str">
            <v>الفروع</v>
          </cell>
          <cell r="W351" t="str">
            <v>Al Riyadh</v>
          </cell>
          <cell r="X351" t="str">
            <v xml:space="preserve">الفرع </v>
          </cell>
          <cell r="Y351">
            <v>44805</v>
          </cell>
          <cell r="Z351">
            <v>3.79</v>
          </cell>
          <cell r="AA351">
            <v>1385</v>
          </cell>
          <cell r="AB351" t="str">
            <v>نشط</v>
          </cell>
          <cell r="AC351" t="str">
            <v>400240</v>
          </cell>
          <cell r="AD351" t="str">
            <v>Abdulghani Almohsen</v>
          </cell>
          <cell r="AE351" t="str">
            <v>إعارة</v>
          </cell>
          <cell r="AF351" t="str">
            <v/>
          </cell>
          <cell r="AG351" t="str">
            <v/>
          </cell>
          <cell r="AH351" t="str">
            <v>طب بيطري</v>
          </cell>
          <cell r="AI351" t="str">
            <v>دبلوم</v>
          </cell>
          <cell r="AJ351">
            <v>4</v>
          </cell>
          <cell r="AK351">
            <v>2</v>
          </cell>
          <cell r="AL351">
            <v>1</v>
          </cell>
          <cell r="AM351">
            <v>1</v>
          </cell>
          <cell r="AN351" t="str">
            <v/>
          </cell>
          <cell r="AO351" t="str">
            <v>عمليات الفروع</v>
          </cell>
          <cell r="AP351" t="str">
            <v>Al Rajhi Bank</v>
          </cell>
          <cell r="AQ351" t="str">
            <v>SA1980000145608010877781</v>
          </cell>
          <cell r="AR351">
            <v>12990</v>
          </cell>
          <cell r="AS351" t="str">
            <v/>
          </cell>
          <cell r="AT351">
            <v>100</v>
          </cell>
          <cell r="AU351">
            <v>3247.5</v>
          </cell>
          <cell r="AV351" t="str">
            <v/>
          </cell>
        </row>
        <row r="352">
          <cell r="A352">
            <v>400171</v>
          </cell>
          <cell r="B352" t="str">
            <v>1037546205</v>
          </cell>
          <cell r="C352" t="str">
            <v>السيد</v>
          </cell>
          <cell r="D352" t="str">
            <v>Mefleh Abdulrahman Banyan Alshardan</v>
          </cell>
          <cell r="E352" t="str">
            <v>مفلح عبدالرحمن بنيان الشردان</v>
          </cell>
          <cell r="F352" t="str">
            <v>Male</v>
          </cell>
          <cell r="G352" t="str">
            <v>متزوج</v>
          </cell>
          <cell r="H352">
            <v>26167</v>
          </cell>
          <cell r="I352">
            <v>55</v>
          </cell>
          <cell r="J352">
            <v>20023</v>
          </cell>
          <cell r="K352" t="str">
            <v>Mefleh.Alshardan@agriserv.sa</v>
          </cell>
          <cell r="L352" t="str">
            <v>0550467885</v>
          </cell>
          <cell r="M352" t="str">
            <v/>
          </cell>
          <cell r="N352" t="str">
            <v>المملكة العربية السعودية</v>
          </cell>
          <cell r="O352" t="str">
            <v>50001002</v>
          </cell>
          <cell r="P352" t="str">
            <v>طبيب بيطري مساعد</v>
          </cell>
          <cell r="Q352" t="str">
            <v>2B الدرجة</v>
          </cell>
          <cell r="R352" t="str">
            <v>Class A</v>
          </cell>
          <cell r="S352" t="str">
            <v/>
          </cell>
          <cell r="T352" t="str">
            <v>محافظة  الافلاج</v>
          </cell>
          <cell r="U352" t="str">
            <v>عمليات الفروع</v>
          </cell>
          <cell r="V352" t="str">
            <v>الفروع</v>
          </cell>
          <cell r="W352" t="str">
            <v>Al Riyadh</v>
          </cell>
          <cell r="X352" t="str">
            <v xml:space="preserve">الفرع </v>
          </cell>
          <cell r="Y352">
            <v>44805</v>
          </cell>
          <cell r="Z352">
            <v>3.79</v>
          </cell>
          <cell r="AA352">
            <v>1385</v>
          </cell>
          <cell r="AB352" t="str">
            <v>نشط</v>
          </cell>
          <cell r="AC352" t="str">
            <v>400249</v>
          </cell>
          <cell r="AD352" t="str">
            <v>Mustafa Ahmed</v>
          </cell>
          <cell r="AE352" t="str">
            <v>إعارة</v>
          </cell>
          <cell r="AF352" t="str">
            <v/>
          </cell>
          <cell r="AG352" t="str">
            <v/>
          </cell>
          <cell r="AH352" t="str">
            <v>طب بيطري</v>
          </cell>
          <cell r="AI352" t="str">
            <v>دبلوم</v>
          </cell>
          <cell r="AJ352">
            <v>6</v>
          </cell>
          <cell r="AK352">
            <v>4</v>
          </cell>
          <cell r="AL352">
            <v>1</v>
          </cell>
          <cell r="AM352">
            <v>1</v>
          </cell>
          <cell r="AN352" t="str">
            <v/>
          </cell>
          <cell r="AO352" t="str">
            <v>عمليات الفروع</v>
          </cell>
          <cell r="AP352" t="str">
            <v>Saudi National Bank</v>
          </cell>
          <cell r="AQ352" t="str">
            <v>SA2910000027800000213106</v>
          </cell>
          <cell r="AR352">
            <v>14445</v>
          </cell>
          <cell r="AS352" t="str">
            <v/>
          </cell>
          <cell r="AT352">
            <v>100</v>
          </cell>
          <cell r="AU352">
            <v>3611.25</v>
          </cell>
          <cell r="AV352" t="str">
            <v/>
          </cell>
        </row>
        <row r="353">
          <cell r="A353">
            <v>400172</v>
          </cell>
          <cell r="B353" t="str">
            <v>1021848021</v>
          </cell>
          <cell r="C353" t="str">
            <v>السيد</v>
          </cell>
          <cell r="D353" t="str">
            <v>Khalid Alzwaidi</v>
          </cell>
          <cell r="E353" t="str">
            <v>خالد   الزويدي</v>
          </cell>
          <cell r="F353" t="str">
            <v>Male</v>
          </cell>
          <cell r="G353" t="str">
            <v>أعزب</v>
          </cell>
          <cell r="H353">
            <v>26535</v>
          </cell>
          <cell r="I353">
            <v>54</v>
          </cell>
          <cell r="J353">
            <v>19655</v>
          </cell>
          <cell r="K353" t="str">
            <v>KALZWAIDI@agriserv.com.sa</v>
          </cell>
          <cell r="L353" t="str">
            <v>0536655441</v>
          </cell>
          <cell r="M353" t="str">
            <v/>
          </cell>
          <cell r="N353" t="str">
            <v>المملكة العربية السعودية</v>
          </cell>
          <cell r="O353" t="str">
            <v>50001003</v>
          </cell>
          <cell r="P353" t="str">
            <v>طبيب بيطري مساعد</v>
          </cell>
          <cell r="Q353" t="str">
            <v>2B الدرجة</v>
          </cell>
          <cell r="R353" t="str">
            <v/>
          </cell>
          <cell r="S353" t="str">
            <v/>
          </cell>
          <cell r="T353" t="str">
            <v/>
          </cell>
          <cell r="U353" t="str">
            <v/>
          </cell>
          <cell r="V353" t="str">
            <v>التراخيص</v>
          </cell>
          <cell r="W353" t="str">
            <v>Al Riyadh</v>
          </cell>
          <cell r="X353" t="str">
            <v xml:space="preserve">الفرع </v>
          </cell>
          <cell r="Y353">
            <v>44805</v>
          </cell>
          <cell r="Z353">
            <v>3.79</v>
          </cell>
          <cell r="AA353">
            <v>1385</v>
          </cell>
          <cell r="AB353" t="str">
            <v>غير نشط</v>
          </cell>
          <cell r="AC353" t="str">
            <v>400004</v>
          </cell>
          <cell r="AD353" t="str">
            <v>Ahmed Aladhab</v>
          </cell>
          <cell r="AE353" t="str">
            <v>إعارة</v>
          </cell>
          <cell r="AF353">
            <v>45016</v>
          </cell>
          <cell r="AG353" t="str">
            <v/>
          </cell>
          <cell r="AH353" t="str">
            <v/>
          </cell>
          <cell r="AI353" t="str">
            <v/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 t="str">
            <v/>
          </cell>
          <cell r="AO353" t="str">
            <v>Vet Occupational &amp; Bus Licenses</v>
          </cell>
          <cell r="AP353" t="str">
            <v>Inma Bank</v>
          </cell>
          <cell r="AQ353" t="str">
            <v>SA7305000068201535334000</v>
          </cell>
          <cell r="AR353">
            <v>12575</v>
          </cell>
          <cell r="AS353" t="str">
            <v/>
          </cell>
          <cell r="AT353">
            <v>100</v>
          </cell>
          <cell r="AU353">
            <v>3143.75</v>
          </cell>
          <cell r="AV353" t="str">
            <v/>
          </cell>
        </row>
        <row r="354">
          <cell r="A354">
            <v>400173</v>
          </cell>
          <cell r="B354" t="str">
            <v>1019078706</v>
          </cell>
          <cell r="C354" t="str">
            <v>السيد</v>
          </cell>
          <cell r="D354" t="str">
            <v>Abdullah Nasser Hamad Alharnada</v>
          </cell>
          <cell r="E354" t="str">
            <v>عبد الله ناصر حمد الحرنداء</v>
          </cell>
          <cell r="F354" t="str">
            <v>Male</v>
          </cell>
          <cell r="G354" t="str">
            <v>أعزب</v>
          </cell>
          <cell r="H354">
            <v>25458</v>
          </cell>
          <cell r="I354">
            <v>57</v>
          </cell>
          <cell r="J354">
            <v>20732</v>
          </cell>
          <cell r="K354" t="str">
            <v>AALHARNADA@agriserv.com.sa</v>
          </cell>
          <cell r="L354" t="str">
            <v>0508990030</v>
          </cell>
          <cell r="M354" t="str">
            <v/>
          </cell>
          <cell r="N354" t="str">
            <v>المملكة العربية السعودية</v>
          </cell>
          <cell r="O354" t="str">
            <v>50001004</v>
          </cell>
          <cell r="P354" t="str">
            <v>طبيب بيطري مساعد</v>
          </cell>
          <cell r="Q354" t="str">
            <v>2B الدرجة</v>
          </cell>
          <cell r="R354" t="str">
            <v/>
          </cell>
          <cell r="S354" t="str">
            <v/>
          </cell>
          <cell r="T354" t="str">
            <v>محافظة  الغاط</v>
          </cell>
          <cell r="U354" t="str">
            <v>عمليات الفروع</v>
          </cell>
          <cell r="V354" t="str">
            <v>الفروع</v>
          </cell>
          <cell r="W354" t="str">
            <v>Al Riyadh</v>
          </cell>
          <cell r="X354" t="str">
            <v xml:space="preserve">الفرع </v>
          </cell>
          <cell r="Y354">
            <v>44805</v>
          </cell>
          <cell r="Z354">
            <v>3.79</v>
          </cell>
          <cell r="AA354">
            <v>1385</v>
          </cell>
          <cell r="AB354" t="str">
            <v>غير نشط</v>
          </cell>
          <cell r="AC354" t="str">
            <v>400183</v>
          </cell>
          <cell r="AD354" t="str">
            <v>Jehad Alkharraz</v>
          </cell>
          <cell r="AE354" t="str">
            <v>إعارة</v>
          </cell>
          <cell r="AF354">
            <v>45442</v>
          </cell>
          <cell r="AG354" t="str">
            <v/>
          </cell>
          <cell r="AH354" t="str">
            <v/>
          </cell>
          <cell r="AI354" t="str">
            <v/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 t="str">
            <v/>
          </cell>
          <cell r="AO354" t="str">
            <v>Livestock Extension &amp; Protection</v>
          </cell>
          <cell r="AP354" t="str">
            <v>Saudi National Bank</v>
          </cell>
          <cell r="AQ354" t="str">
            <v>SA5410000072600000518003</v>
          </cell>
          <cell r="AR354">
            <v>13035</v>
          </cell>
          <cell r="AS354" t="str">
            <v/>
          </cell>
          <cell r="AT354">
            <v>100</v>
          </cell>
          <cell r="AU354">
            <v>3258.75</v>
          </cell>
          <cell r="AV354" t="str">
            <v/>
          </cell>
        </row>
        <row r="355">
          <cell r="A355">
            <v>400174</v>
          </cell>
          <cell r="B355" t="str">
            <v>1043748811</v>
          </cell>
          <cell r="C355" t="str">
            <v>السيد</v>
          </cell>
          <cell r="D355" t="str">
            <v>Nasser Zaid Nasser Alablan</v>
          </cell>
          <cell r="E355" t="str">
            <v>ناصر زيد ناصر العبلان</v>
          </cell>
          <cell r="F355" t="str">
            <v>Male</v>
          </cell>
          <cell r="G355" t="str">
            <v>متزوج</v>
          </cell>
          <cell r="H355">
            <v>28817</v>
          </cell>
          <cell r="I355">
            <v>48</v>
          </cell>
          <cell r="J355">
            <v>17373</v>
          </cell>
          <cell r="K355" t="str">
            <v>Nasser.Alablan@agriserv.sa</v>
          </cell>
          <cell r="L355" t="str">
            <v>0555107976</v>
          </cell>
          <cell r="M355" t="str">
            <v/>
          </cell>
          <cell r="N355" t="str">
            <v>المملكة العربية السعودية</v>
          </cell>
          <cell r="O355" t="str">
            <v>50001005</v>
          </cell>
          <cell r="P355" t="str">
            <v>فني زراعي</v>
          </cell>
          <cell r="Q355" t="str">
            <v>2A الدرجة</v>
          </cell>
          <cell r="R355" t="str">
            <v>Class A</v>
          </cell>
          <cell r="S355" t="str">
            <v/>
          </cell>
          <cell r="T355" t="str">
            <v>محافظة  الخرج</v>
          </cell>
          <cell r="U355" t="str">
            <v>عمليات الفروع</v>
          </cell>
          <cell r="V355" t="str">
            <v>الفروع</v>
          </cell>
          <cell r="W355" t="str">
            <v>Al Riyadh</v>
          </cell>
          <cell r="X355" t="str">
            <v xml:space="preserve">الفرع </v>
          </cell>
          <cell r="Y355">
            <v>44805</v>
          </cell>
          <cell r="Z355">
            <v>3.79</v>
          </cell>
          <cell r="AA355">
            <v>1385</v>
          </cell>
          <cell r="AB355" t="str">
            <v>نشط</v>
          </cell>
          <cell r="AC355" t="str">
            <v>400233</v>
          </cell>
          <cell r="AD355" t="str">
            <v>Ahmed Alhajri</v>
          </cell>
          <cell r="AE355" t="str">
            <v>إعارة</v>
          </cell>
          <cell r="AF355" t="str">
            <v/>
          </cell>
          <cell r="AG355" t="str">
            <v/>
          </cell>
          <cell r="AH355" t="str">
            <v>ثانوية</v>
          </cell>
          <cell r="AI355" t="str">
            <v>شهادة المدرسة الثانوية</v>
          </cell>
          <cell r="AJ355">
            <v>7</v>
          </cell>
          <cell r="AK355">
            <v>4</v>
          </cell>
          <cell r="AL355">
            <v>1</v>
          </cell>
          <cell r="AM355">
            <v>2</v>
          </cell>
          <cell r="AN355" t="str">
            <v/>
          </cell>
          <cell r="AO355" t="str">
            <v>عمليات الفروع</v>
          </cell>
          <cell r="AP355" t="str">
            <v>Riyad Bank</v>
          </cell>
          <cell r="AQ355" t="str">
            <v>SA9820000002911515779940</v>
          </cell>
          <cell r="AR355">
            <v>14445</v>
          </cell>
          <cell r="AS355" t="str">
            <v/>
          </cell>
          <cell r="AT355">
            <v>100</v>
          </cell>
          <cell r="AU355">
            <v>3611.25</v>
          </cell>
          <cell r="AV355" t="str">
            <v/>
          </cell>
        </row>
        <row r="356">
          <cell r="A356">
            <v>400175</v>
          </cell>
          <cell r="B356" t="str">
            <v>1027530094</v>
          </cell>
          <cell r="C356" t="str">
            <v>السيد</v>
          </cell>
          <cell r="D356" t="str">
            <v>Bader Saqeer</v>
          </cell>
          <cell r="E356" t="str">
            <v>بدر   صقر</v>
          </cell>
          <cell r="F356" t="str">
            <v>Male</v>
          </cell>
          <cell r="G356" t="str">
            <v>أعزب</v>
          </cell>
          <cell r="H356">
            <v>28293</v>
          </cell>
          <cell r="I356">
            <v>49</v>
          </cell>
          <cell r="J356">
            <v>17897</v>
          </cell>
          <cell r="K356" t="str">
            <v>BSAQEER@agriserv.com.sa</v>
          </cell>
          <cell r="L356" t="str">
            <v>0580090066</v>
          </cell>
          <cell r="M356" t="str">
            <v/>
          </cell>
          <cell r="N356" t="str">
            <v>المملكة العربية السعودية</v>
          </cell>
          <cell r="O356" t="str">
            <v>50001006</v>
          </cell>
          <cell r="P356" t="str">
            <v>فني زراعي</v>
          </cell>
          <cell r="Q356" t="str">
            <v>2A الدرجة</v>
          </cell>
          <cell r="R356" t="str">
            <v/>
          </cell>
          <cell r="S356" t="str">
            <v/>
          </cell>
          <cell r="T356" t="str">
            <v/>
          </cell>
          <cell r="U356" t="str">
            <v/>
          </cell>
          <cell r="V356" t="str">
            <v>التراخيص</v>
          </cell>
          <cell r="W356" t="str">
            <v>Al Riyadh</v>
          </cell>
          <cell r="X356" t="str">
            <v xml:space="preserve">الفرع </v>
          </cell>
          <cell r="Y356">
            <v>44805</v>
          </cell>
          <cell r="Z356">
            <v>3.79</v>
          </cell>
          <cell r="AA356">
            <v>1385</v>
          </cell>
          <cell r="AB356" t="str">
            <v>غير نشط</v>
          </cell>
          <cell r="AC356" t="str">
            <v>400004</v>
          </cell>
          <cell r="AD356" t="str">
            <v>Ahmed Aladhab</v>
          </cell>
          <cell r="AE356" t="str">
            <v>إعارة</v>
          </cell>
          <cell r="AF356">
            <v>45016</v>
          </cell>
          <cell r="AG356" t="str">
            <v/>
          </cell>
          <cell r="AH356" t="str">
            <v/>
          </cell>
          <cell r="AI356" t="str">
            <v/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 t="str">
            <v/>
          </cell>
          <cell r="AO356" t="str">
            <v>Agri. Occupational &amp; Bus Licenses</v>
          </cell>
          <cell r="AP356" t="str">
            <v>Saudi Awwal Bank</v>
          </cell>
          <cell r="AQ356" t="str">
            <v>SA6445000000801000530001</v>
          </cell>
          <cell r="AR356">
            <v>11390</v>
          </cell>
          <cell r="AS356" t="str">
            <v/>
          </cell>
          <cell r="AT356">
            <v>100</v>
          </cell>
          <cell r="AU356">
            <v>2847.5</v>
          </cell>
          <cell r="AV356" t="str">
            <v/>
          </cell>
        </row>
        <row r="357">
          <cell r="A357">
            <v>400176</v>
          </cell>
          <cell r="B357" t="str">
            <v>1075195048</v>
          </cell>
          <cell r="C357" t="str">
            <v>السيد</v>
          </cell>
          <cell r="D357" t="str">
            <v>Ahmed Durayhim</v>
          </cell>
          <cell r="E357" t="str">
            <v>احمد   دريهم</v>
          </cell>
          <cell r="F357" t="str">
            <v>Male</v>
          </cell>
          <cell r="G357" t="str">
            <v>أعزب</v>
          </cell>
          <cell r="H357">
            <v>30543</v>
          </cell>
          <cell r="I357">
            <v>43</v>
          </cell>
          <cell r="J357">
            <v>15647</v>
          </cell>
          <cell r="K357" t="str">
            <v>AHDURAYHIM@agriserv.com.sa</v>
          </cell>
          <cell r="L357" t="str">
            <v>0555537355</v>
          </cell>
          <cell r="M357" t="str">
            <v/>
          </cell>
          <cell r="N357" t="str">
            <v>المملكة العربية السعودية</v>
          </cell>
          <cell r="O357" t="str">
            <v>50001007</v>
          </cell>
          <cell r="P357" t="str">
            <v>موظف دعم إداري</v>
          </cell>
          <cell r="Q357" t="str">
            <v>2A الدرجة</v>
          </cell>
          <cell r="R357" t="str">
            <v/>
          </cell>
          <cell r="S357" t="str">
            <v/>
          </cell>
          <cell r="T357" t="str">
            <v>التراخيص</v>
          </cell>
          <cell r="U357" t="str">
            <v>التراخيص</v>
          </cell>
          <cell r="V357" t="str">
            <v>التراخيص</v>
          </cell>
          <cell r="W357" t="str">
            <v>Al Riyadh</v>
          </cell>
          <cell r="X357" t="str">
            <v xml:space="preserve">الفرع </v>
          </cell>
          <cell r="Y357">
            <v>44805</v>
          </cell>
          <cell r="Z357">
            <v>3.79</v>
          </cell>
          <cell r="AA357">
            <v>1385</v>
          </cell>
          <cell r="AB357" t="str">
            <v>غير نشط</v>
          </cell>
          <cell r="AC357" t="str">
            <v>400054</v>
          </cell>
          <cell r="AD357" t="str">
            <v>Mahdi Bujbara</v>
          </cell>
          <cell r="AE357" t="str">
            <v>إعارة</v>
          </cell>
          <cell r="AF357">
            <v>44957</v>
          </cell>
          <cell r="AG357" t="str">
            <v/>
          </cell>
          <cell r="AH357" t="str">
            <v/>
          </cell>
          <cell r="AI357" t="str">
            <v/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 t="str">
            <v/>
          </cell>
          <cell r="AO357" t="str">
            <v>Agri. Occupational &amp; Bus Licenses</v>
          </cell>
          <cell r="AP357" t="str">
            <v>Bank Al Bilad</v>
          </cell>
          <cell r="AQ357" t="str">
            <v>SA7515000425103448890004</v>
          </cell>
          <cell r="AR357">
            <v>11330</v>
          </cell>
          <cell r="AS357" t="str">
            <v/>
          </cell>
          <cell r="AT357">
            <v>100</v>
          </cell>
          <cell r="AU357">
            <v>2832.5</v>
          </cell>
          <cell r="AV357" t="str">
            <v/>
          </cell>
        </row>
        <row r="358">
          <cell r="A358">
            <v>400177</v>
          </cell>
          <cell r="B358" t="str">
            <v>1016211961</v>
          </cell>
          <cell r="C358" t="str">
            <v>السيد</v>
          </cell>
          <cell r="D358" t="str">
            <v>Bandar Mohammad Nasser Albakr</v>
          </cell>
          <cell r="E358" t="str">
            <v>بندر محمد ناصر البكر</v>
          </cell>
          <cell r="F358" t="str">
            <v>Male</v>
          </cell>
          <cell r="G358" t="str">
            <v>متزوج</v>
          </cell>
          <cell r="H358">
            <v>28987</v>
          </cell>
          <cell r="I358">
            <v>47</v>
          </cell>
          <cell r="J358">
            <v>17203</v>
          </cell>
          <cell r="K358" t="str">
            <v>Bandar.Albakr@agriserv.sa</v>
          </cell>
          <cell r="L358" t="str">
            <v>0554200662</v>
          </cell>
          <cell r="M358" t="str">
            <v/>
          </cell>
          <cell r="N358" t="str">
            <v>المملكة العربية السعودية</v>
          </cell>
          <cell r="O358" t="str">
            <v>50001008</v>
          </cell>
          <cell r="P358" t="str">
            <v>أخصائي المكافحة</v>
          </cell>
          <cell r="Q358" t="str">
            <v>الدرجة 4</v>
          </cell>
          <cell r="R358" t="str">
            <v>Class A</v>
          </cell>
          <cell r="S358" t="str">
            <v/>
          </cell>
          <cell r="T358" t="str">
            <v>محافظة  الغاط</v>
          </cell>
          <cell r="U358" t="str">
            <v>عمليات الفروع</v>
          </cell>
          <cell r="V358" t="str">
            <v>الفروع</v>
          </cell>
          <cell r="W358" t="str">
            <v>Al Riyadh</v>
          </cell>
          <cell r="X358" t="str">
            <v xml:space="preserve">الفرع </v>
          </cell>
          <cell r="Y358">
            <v>44805</v>
          </cell>
          <cell r="Z358">
            <v>3.79</v>
          </cell>
          <cell r="AA358">
            <v>1385</v>
          </cell>
          <cell r="AB358" t="str">
            <v>نشط</v>
          </cell>
          <cell r="AC358" t="str">
            <v>400183</v>
          </cell>
          <cell r="AD358" t="str">
            <v>Jehad Alkharraz</v>
          </cell>
          <cell r="AE358" t="str">
            <v>إعارة</v>
          </cell>
          <cell r="AF358" t="str">
            <v/>
          </cell>
          <cell r="AG358" t="str">
            <v/>
          </cell>
          <cell r="AH358" t="str">
            <v>وقاية النبات</v>
          </cell>
          <cell r="AI358" t="str">
            <v>بكالوريوس</v>
          </cell>
          <cell r="AJ358">
            <v>7</v>
          </cell>
          <cell r="AK358">
            <v>4</v>
          </cell>
          <cell r="AL358">
            <v>1</v>
          </cell>
          <cell r="AM358">
            <v>2</v>
          </cell>
          <cell r="AN358" t="str">
            <v/>
          </cell>
          <cell r="AO358" t="str">
            <v>عمليات الفروع</v>
          </cell>
          <cell r="AP358" t="str">
            <v>Bank Al Bilad</v>
          </cell>
          <cell r="AQ358" t="str">
            <v>SA5315000565643291930001</v>
          </cell>
          <cell r="AR358">
            <v>16905</v>
          </cell>
          <cell r="AS358" t="str">
            <v/>
          </cell>
          <cell r="AT358">
            <v>990.5</v>
          </cell>
          <cell r="AU358">
            <v>4226.25</v>
          </cell>
          <cell r="AV358" t="str">
            <v/>
          </cell>
        </row>
        <row r="359">
          <cell r="A359">
            <v>400178</v>
          </cell>
          <cell r="B359" t="str">
            <v>1074416999</v>
          </cell>
          <cell r="C359" t="str">
            <v>السيد</v>
          </cell>
          <cell r="D359" t="str">
            <v>Khaled Alkhtanee</v>
          </cell>
          <cell r="E359" t="str">
            <v>خالد   القحطاني</v>
          </cell>
          <cell r="F359" t="str">
            <v>Male</v>
          </cell>
          <cell r="G359" t="str">
            <v>أعزب</v>
          </cell>
          <cell r="H359">
            <v>32422</v>
          </cell>
          <cell r="I359">
            <v>38</v>
          </cell>
          <cell r="J359">
            <v>13768</v>
          </cell>
          <cell r="K359" t="str">
            <v>E20719@agriserv.com.sa</v>
          </cell>
          <cell r="L359" t="str">
            <v>0555202355</v>
          </cell>
          <cell r="M359" t="str">
            <v/>
          </cell>
          <cell r="N359" t="str">
            <v>المملكة العربية السعودية</v>
          </cell>
          <cell r="O359" t="str">
            <v>50001009</v>
          </cell>
          <cell r="P359" t="str">
            <v>فني مختبرات</v>
          </cell>
          <cell r="Q359" t="str">
            <v>2A الدرجة</v>
          </cell>
          <cell r="R359" t="str">
            <v/>
          </cell>
          <cell r="S359" t="str">
            <v/>
          </cell>
          <cell r="T359" t="str">
            <v>مختبرات الثروة السمكية</v>
          </cell>
          <cell r="U359" t="str">
            <v>الخدمات الصحية و الإرشاد ودعم التسويق للثروة السمكية</v>
          </cell>
          <cell r="V359" t="str">
            <v>العمليات</v>
          </cell>
          <cell r="W359" t="str">
            <v>Al Riyadh</v>
          </cell>
          <cell r="X359" t="str">
            <v xml:space="preserve">الفرع </v>
          </cell>
          <cell r="Y359">
            <v>44805</v>
          </cell>
          <cell r="Z359">
            <v>3.79</v>
          </cell>
          <cell r="AA359">
            <v>1385</v>
          </cell>
          <cell r="AB359" t="str">
            <v>غير نشط</v>
          </cell>
          <cell r="AC359" t="str">
            <v>400208</v>
          </cell>
          <cell r="AD359" t="str">
            <v>Hani Alrashid</v>
          </cell>
          <cell r="AE359" t="str">
            <v>إعارة</v>
          </cell>
          <cell r="AF359">
            <v>45016</v>
          </cell>
          <cell r="AG359" t="str">
            <v/>
          </cell>
          <cell r="AH359" t="str">
            <v/>
          </cell>
          <cell r="AI359" t="str">
            <v/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 t="str">
            <v/>
          </cell>
          <cell r="AO359" t="str">
            <v>Fisheries Extension &amp; Protection</v>
          </cell>
          <cell r="AP359" t="str">
            <v>Bank Al Bilad</v>
          </cell>
          <cell r="AQ359" t="str">
            <v>SA6715000441599867650002</v>
          </cell>
          <cell r="AR359">
            <v>11025</v>
          </cell>
          <cell r="AS359" t="str">
            <v/>
          </cell>
          <cell r="AT359">
            <v>100</v>
          </cell>
          <cell r="AU359">
            <v>2756.25</v>
          </cell>
          <cell r="AV359" t="str">
            <v/>
          </cell>
        </row>
        <row r="360">
          <cell r="A360">
            <v>400179</v>
          </cell>
          <cell r="B360" t="str">
            <v>1040283564</v>
          </cell>
          <cell r="C360" t="str">
            <v>السيد</v>
          </cell>
          <cell r="D360" t="str">
            <v>Muhmmad Aldosari</v>
          </cell>
          <cell r="E360" t="str">
            <v>محمد   الدوسري</v>
          </cell>
          <cell r="F360" t="str">
            <v>Male</v>
          </cell>
          <cell r="G360" t="str">
            <v>أعزب</v>
          </cell>
          <cell r="H360">
            <v>29001</v>
          </cell>
          <cell r="I360">
            <v>47</v>
          </cell>
          <cell r="J360">
            <v>17189</v>
          </cell>
          <cell r="K360" t="str">
            <v>MUMALDOSARI@agriserv.com.sa</v>
          </cell>
          <cell r="L360" t="str">
            <v>0508095886</v>
          </cell>
          <cell r="M360" t="str">
            <v/>
          </cell>
          <cell r="N360" t="str">
            <v>المملكة العربية السعودية</v>
          </cell>
          <cell r="O360" t="str">
            <v>50001010</v>
          </cell>
          <cell r="P360" t="str">
            <v>طبيب بيطري مساعد</v>
          </cell>
          <cell r="Q360" t="str">
            <v>2B الدرجة</v>
          </cell>
          <cell r="R360" t="str">
            <v/>
          </cell>
          <cell r="S360" t="str">
            <v/>
          </cell>
          <cell r="T360" t="str">
            <v>السيطرة على أمراض الثروة الحيوانية ومكافحتها</v>
          </cell>
          <cell r="U360" t="str">
            <v>الخدمات الصحية و الإرشاد ودعم التسويق للثروة الحيوانية</v>
          </cell>
          <cell r="V360" t="str">
            <v>العمليات</v>
          </cell>
          <cell r="W360" t="str">
            <v>Al Riyadh</v>
          </cell>
          <cell r="X360" t="str">
            <v xml:space="preserve">الفرع </v>
          </cell>
          <cell r="Y360">
            <v>44805</v>
          </cell>
          <cell r="Z360">
            <v>3.79</v>
          </cell>
          <cell r="AA360">
            <v>1385</v>
          </cell>
          <cell r="AB360" t="str">
            <v>غير نشط</v>
          </cell>
          <cell r="AC360" t="str">
            <v>400209</v>
          </cell>
          <cell r="AD360" t="str">
            <v>Yagoub Aljraid</v>
          </cell>
          <cell r="AE360" t="str">
            <v>إعارة</v>
          </cell>
          <cell r="AF360">
            <v>45016</v>
          </cell>
          <cell r="AG360" t="str">
            <v/>
          </cell>
          <cell r="AH360" t="str">
            <v/>
          </cell>
          <cell r="AI360" t="str">
            <v/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 t="str">
            <v/>
          </cell>
          <cell r="AO360" t="str">
            <v>Livestock Extension &amp; Protection</v>
          </cell>
          <cell r="AP360" t="str">
            <v>Saudi National Bank</v>
          </cell>
          <cell r="AQ360" t="str">
            <v>SA0610000024253616000102</v>
          </cell>
          <cell r="AR360">
            <v>10660</v>
          </cell>
          <cell r="AS360" t="str">
            <v/>
          </cell>
          <cell r="AT360">
            <v>100</v>
          </cell>
          <cell r="AU360">
            <v>2665</v>
          </cell>
          <cell r="AV360" t="str">
            <v/>
          </cell>
        </row>
        <row r="361">
          <cell r="A361">
            <v>400180</v>
          </cell>
          <cell r="B361" t="str">
            <v>1037531322</v>
          </cell>
          <cell r="C361" t="str">
            <v>السيد</v>
          </cell>
          <cell r="D361" t="str">
            <v>Muhmmad Fahad Muhmmad Alqahtani</v>
          </cell>
          <cell r="E361" t="str">
            <v>محمد فهد محمد القحطاني</v>
          </cell>
          <cell r="F361" t="str">
            <v>Male</v>
          </cell>
          <cell r="G361" t="str">
            <v>متزوج</v>
          </cell>
          <cell r="H361">
            <v>28647</v>
          </cell>
          <cell r="I361">
            <v>48</v>
          </cell>
          <cell r="J361">
            <v>17543</v>
          </cell>
          <cell r="K361" t="str">
            <v>Muhmmad.Alqahtani@agriserv.sa</v>
          </cell>
          <cell r="L361" t="str">
            <v>0509777009</v>
          </cell>
          <cell r="M361" t="str">
            <v/>
          </cell>
          <cell r="N361" t="str">
            <v>المملكة العربية السعودية</v>
          </cell>
          <cell r="O361" t="str">
            <v>50001011</v>
          </cell>
          <cell r="P361" t="str">
            <v>أخصائي الأمن الحيوي للثروة النباتية</v>
          </cell>
          <cell r="Q361" t="str">
            <v>الدرجة 4</v>
          </cell>
          <cell r="R361" t="str">
            <v>Class A</v>
          </cell>
          <cell r="S361" t="str">
            <v/>
          </cell>
          <cell r="T361" t="str">
            <v>محافظة  الخرج</v>
          </cell>
          <cell r="U361" t="str">
            <v>عمليات الفروع</v>
          </cell>
          <cell r="V361" t="str">
            <v>الفروع</v>
          </cell>
          <cell r="W361" t="str">
            <v>Al Riyadh</v>
          </cell>
          <cell r="X361" t="str">
            <v xml:space="preserve">الفرع </v>
          </cell>
          <cell r="Y361">
            <v>44805</v>
          </cell>
          <cell r="Z361">
            <v>3.79</v>
          </cell>
          <cell r="AA361">
            <v>1385</v>
          </cell>
          <cell r="AB361" t="str">
            <v>نشط</v>
          </cell>
          <cell r="AC361" t="str">
            <v>400233</v>
          </cell>
          <cell r="AD361" t="str">
            <v>Ahmed Alhajri</v>
          </cell>
          <cell r="AE361" t="str">
            <v>إعارة</v>
          </cell>
          <cell r="AF361" t="str">
            <v/>
          </cell>
          <cell r="AG361" t="str">
            <v/>
          </cell>
          <cell r="AH361" t="str">
            <v>ثانوية</v>
          </cell>
          <cell r="AI361" t="str">
            <v>شهادة المدرسة الثانوية</v>
          </cell>
          <cell r="AJ361">
            <v>6</v>
          </cell>
          <cell r="AK361">
            <v>3</v>
          </cell>
          <cell r="AL361">
            <v>1</v>
          </cell>
          <cell r="AM361">
            <v>2</v>
          </cell>
          <cell r="AN361" t="str">
            <v/>
          </cell>
          <cell r="AO361" t="str">
            <v>عمليات الفروع</v>
          </cell>
          <cell r="AP361" t="str">
            <v>Riyad Bank</v>
          </cell>
          <cell r="AQ361" t="str">
            <v>SA1920000002053593099940</v>
          </cell>
          <cell r="AR361">
            <v>14445</v>
          </cell>
          <cell r="AS361" t="str">
            <v/>
          </cell>
          <cell r="AT361">
            <v>744.5</v>
          </cell>
          <cell r="AU361">
            <v>3611.25</v>
          </cell>
          <cell r="AV361" t="str">
            <v/>
          </cell>
        </row>
        <row r="362">
          <cell r="A362">
            <v>400181</v>
          </cell>
          <cell r="B362" t="str">
            <v>1045767678</v>
          </cell>
          <cell r="C362" t="str">
            <v>السيد</v>
          </cell>
          <cell r="D362" t="str">
            <v>Faihan Matar Shaded Aloutibi</v>
          </cell>
          <cell r="E362" t="str">
            <v>فيحان مطر شديد العتيبي</v>
          </cell>
          <cell r="F362" t="str">
            <v>Male</v>
          </cell>
          <cell r="G362" t="str">
            <v>متزوج</v>
          </cell>
          <cell r="H362">
            <v>27584</v>
          </cell>
          <cell r="I362">
            <v>51</v>
          </cell>
          <cell r="J362">
            <v>18606</v>
          </cell>
          <cell r="K362" t="str">
            <v>Faihan.Aloutibi@agriserv.sa</v>
          </cell>
          <cell r="L362" t="str">
            <v>0506215053</v>
          </cell>
          <cell r="M362" t="str">
            <v/>
          </cell>
          <cell r="N362" t="str">
            <v>المملكة العربية السعودية</v>
          </cell>
          <cell r="O362" t="str">
            <v>50001012</v>
          </cell>
          <cell r="P362" t="str">
            <v>فني زراعي</v>
          </cell>
          <cell r="Q362" t="str">
            <v>2A الدرجة</v>
          </cell>
          <cell r="R362" t="str">
            <v>Class A</v>
          </cell>
          <cell r="S362" t="str">
            <v/>
          </cell>
          <cell r="T362" t="str">
            <v>محافظة  عفيف</v>
          </cell>
          <cell r="U362" t="str">
            <v>عمليات الفروع</v>
          </cell>
          <cell r="V362" t="str">
            <v>الفروع</v>
          </cell>
          <cell r="W362" t="str">
            <v>Al Riyadh</v>
          </cell>
          <cell r="X362" t="str">
            <v xml:space="preserve">الفرع </v>
          </cell>
          <cell r="Y362">
            <v>44805</v>
          </cell>
          <cell r="Z362">
            <v>3.79</v>
          </cell>
          <cell r="AA362">
            <v>1385</v>
          </cell>
          <cell r="AB362" t="str">
            <v>نشط</v>
          </cell>
          <cell r="AC362" t="str">
            <v>400189</v>
          </cell>
          <cell r="AD362" t="str">
            <v>Mahdi Alesa</v>
          </cell>
          <cell r="AE362" t="str">
            <v>إعارة</v>
          </cell>
          <cell r="AF362" t="str">
            <v/>
          </cell>
          <cell r="AG362" t="str">
            <v/>
          </cell>
          <cell r="AH362" t="str">
            <v>انتاج نباتى</v>
          </cell>
          <cell r="AI362" t="str">
            <v>دبلوم</v>
          </cell>
          <cell r="AJ362">
            <v>5</v>
          </cell>
          <cell r="AK362">
            <v>4</v>
          </cell>
          <cell r="AL362">
            <v>1</v>
          </cell>
          <cell r="AM362">
            <v>0</v>
          </cell>
          <cell r="AN362" t="str">
            <v/>
          </cell>
          <cell r="AO362" t="str">
            <v>عمليات الفروع</v>
          </cell>
          <cell r="AP362" t="str">
            <v>Al Rajhi Bank</v>
          </cell>
          <cell r="AQ362" t="str">
            <v>SA9180000132608010212976</v>
          </cell>
          <cell r="AR362">
            <v>12575</v>
          </cell>
          <cell r="AS362" t="str">
            <v/>
          </cell>
          <cell r="AT362">
            <v>100</v>
          </cell>
          <cell r="AU362">
            <v>3143.75</v>
          </cell>
          <cell r="AV362" t="str">
            <v/>
          </cell>
        </row>
        <row r="363">
          <cell r="A363">
            <v>400182</v>
          </cell>
          <cell r="B363" t="str">
            <v>1031392028</v>
          </cell>
          <cell r="C363" t="str">
            <v>السيد</v>
          </cell>
          <cell r="D363" t="str">
            <v>Habib Abdulaziz Abdullah Alkhadiri</v>
          </cell>
          <cell r="E363" t="str">
            <v>حبيب عبدالعزيز عبدالله الخضيري</v>
          </cell>
          <cell r="F363" t="str">
            <v>Male</v>
          </cell>
          <cell r="G363" t="str">
            <v>متزوج</v>
          </cell>
          <cell r="H363">
            <v>28455</v>
          </cell>
          <cell r="I363">
            <v>49</v>
          </cell>
          <cell r="J363">
            <v>17735</v>
          </cell>
          <cell r="K363" t="str">
            <v>Habib.Alkhadiri@agriserv.sa</v>
          </cell>
          <cell r="L363" t="str">
            <v>0582220070</v>
          </cell>
          <cell r="M363" t="str">
            <v/>
          </cell>
          <cell r="N363" t="str">
            <v>المملكة العربية السعودية</v>
          </cell>
          <cell r="O363" t="str">
            <v>50001013</v>
          </cell>
          <cell r="P363" t="str">
            <v>محلل تشغيل الأسطول</v>
          </cell>
          <cell r="Q363" t="str">
            <v>الدرجة 3</v>
          </cell>
          <cell r="R363" t="str">
            <v>Class A</v>
          </cell>
          <cell r="S363" t="str">
            <v/>
          </cell>
          <cell r="T363" t="str">
            <v>محافظة  الغاط</v>
          </cell>
          <cell r="U363" t="str">
            <v>عمليات الفروع</v>
          </cell>
          <cell r="V363" t="str">
            <v>الفروع</v>
          </cell>
          <cell r="W363" t="str">
            <v>Al Riyadh</v>
          </cell>
          <cell r="X363" t="str">
            <v xml:space="preserve">الفرع </v>
          </cell>
          <cell r="Y363">
            <v>44805</v>
          </cell>
          <cell r="Z363">
            <v>3.79</v>
          </cell>
          <cell r="AA363">
            <v>1385</v>
          </cell>
          <cell r="AB363" t="str">
            <v>نشط</v>
          </cell>
          <cell r="AC363" t="str">
            <v>400183</v>
          </cell>
          <cell r="AD363" t="str">
            <v>Jehad Alkharraz</v>
          </cell>
          <cell r="AE363" t="str">
            <v>إعارة</v>
          </cell>
          <cell r="AF363" t="str">
            <v/>
          </cell>
          <cell r="AG363" t="str">
            <v/>
          </cell>
          <cell r="AH363" t="str">
            <v>ميكانيكا عامة</v>
          </cell>
          <cell r="AI363" t="str">
            <v>دبلوم</v>
          </cell>
          <cell r="AJ363">
            <v>5</v>
          </cell>
          <cell r="AK363">
            <v>4</v>
          </cell>
          <cell r="AL363">
            <v>1</v>
          </cell>
          <cell r="AM363">
            <v>0</v>
          </cell>
          <cell r="AN363" t="str">
            <v/>
          </cell>
          <cell r="AO363" t="str">
            <v>عمليات الفروع</v>
          </cell>
          <cell r="AP363" t="str">
            <v>Arab National Bank</v>
          </cell>
          <cell r="AQ363" t="str">
            <v>SA1830400108051987430015</v>
          </cell>
          <cell r="AR363">
            <v>13820</v>
          </cell>
          <cell r="AS363" t="str">
            <v/>
          </cell>
          <cell r="AT363">
            <v>682</v>
          </cell>
          <cell r="AU363">
            <v>3455</v>
          </cell>
          <cell r="AV363" t="str">
            <v/>
          </cell>
        </row>
        <row r="364">
          <cell r="A364">
            <v>400183</v>
          </cell>
          <cell r="B364" t="str">
            <v>1056429721</v>
          </cell>
          <cell r="C364" t="str">
            <v>السيد</v>
          </cell>
          <cell r="D364" t="str">
            <v>Jehad Ibrahim Abdulrahman Alkharraz</v>
          </cell>
          <cell r="E364" t="str">
            <v>جهاد حسن عبدالرحمن الخراز</v>
          </cell>
          <cell r="F364" t="str">
            <v>Male</v>
          </cell>
          <cell r="G364" t="str">
            <v>متزوج</v>
          </cell>
          <cell r="H364">
            <v>32469</v>
          </cell>
          <cell r="I364">
            <v>38</v>
          </cell>
          <cell r="J364">
            <v>13721</v>
          </cell>
          <cell r="K364" t="str">
            <v>Jehad.Alkharraz@agriserv.sa</v>
          </cell>
          <cell r="L364" t="str">
            <v>0555139989</v>
          </cell>
          <cell r="M364" t="str">
            <v/>
          </cell>
          <cell r="N364" t="str">
            <v>المملكة العربية السعودية</v>
          </cell>
          <cell r="O364" t="str">
            <v>50001014</v>
          </cell>
          <cell r="P364" t="str">
            <v>طبيب بيطري</v>
          </cell>
          <cell r="Q364" t="str">
            <v>الدرجة 3</v>
          </cell>
          <cell r="R364" t="str">
            <v>Class A</v>
          </cell>
          <cell r="S364" t="str">
            <v/>
          </cell>
          <cell r="T364" t="str">
            <v>محافظة  الغاط</v>
          </cell>
          <cell r="U364" t="str">
            <v>عمليات الفروع</v>
          </cell>
          <cell r="V364" t="str">
            <v>الفروع</v>
          </cell>
          <cell r="W364" t="str">
            <v>Al Riyadh</v>
          </cell>
          <cell r="X364" t="str">
            <v xml:space="preserve">الفرع </v>
          </cell>
          <cell r="Y364">
            <v>44805</v>
          </cell>
          <cell r="Z364">
            <v>3.79</v>
          </cell>
          <cell r="AA364">
            <v>1385</v>
          </cell>
          <cell r="AB364" t="str">
            <v>نشط</v>
          </cell>
          <cell r="AC364" t="str">
            <v>400146</v>
          </cell>
          <cell r="AD364" t="str">
            <v>Talal Alotaibi</v>
          </cell>
          <cell r="AE364" t="str">
            <v>إعارة</v>
          </cell>
          <cell r="AF364" t="str">
            <v/>
          </cell>
          <cell r="AG364" t="str">
            <v/>
          </cell>
          <cell r="AH364" t="str">
            <v>طب بيطري</v>
          </cell>
          <cell r="AI364" t="str">
            <v>بكالوريوس</v>
          </cell>
          <cell r="AJ364">
            <v>5</v>
          </cell>
          <cell r="AK364">
            <v>2</v>
          </cell>
          <cell r="AL364">
            <v>1</v>
          </cell>
          <cell r="AM364">
            <v>2</v>
          </cell>
          <cell r="AN364" t="str">
            <v/>
          </cell>
          <cell r="AO364" t="str">
            <v>عمليات الفروع</v>
          </cell>
          <cell r="AP364" t="str">
            <v>Bank Al Bilad</v>
          </cell>
          <cell r="AQ364" t="str">
            <v>SA4615000566103822310002</v>
          </cell>
          <cell r="AR364">
            <v>14445</v>
          </cell>
          <cell r="AS364" t="str">
            <v/>
          </cell>
          <cell r="AT364">
            <v>744.5</v>
          </cell>
          <cell r="AU364">
            <v>3611.25</v>
          </cell>
          <cell r="AV364" t="str">
            <v/>
          </cell>
        </row>
        <row r="365">
          <cell r="A365">
            <v>400184</v>
          </cell>
          <cell r="B365" t="str">
            <v>1014550519</v>
          </cell>
          <cell r="C365" t="str">
            <v>السيد</v>
          </cell>
          <cell r="D365" t="str">
            <v>Ali Mohammed Taher Almuhanna</v>
          </cell>
          <cell r="E365" t="str">
            <v>علي محمد طاهر المهناء</v>
          </cell>
          <cell r="F365" t="str">
            <v>Male</v>
          </cell>
          <cell r="G365" t="str">
            <v>أعزب</v>
          </cell>
          <cell r="H365">
            <v>30735</v>
          </cell>
          <cell r="I365">
            <v>42</v>
          </cell>
          <cell r="J365">
            <v>15455</v>
          </cell>
          <cell r="K365" t="str">
            <v>E20995@agriserv.com.sa</v>
          </cell>
          <cell r="L365" t="str">
            <v>0545233340</v>
          </cell>
          <cell r="M365" t="str">
            <v/>
          </cell>
          <cell r="N365" t="str">
            <v>المملكة العربية السعودية</v>
          </cell>
          <cell r="O365" t="str">
            <v>50001015</v>
          </cell>
          <cell r="P365" t="str">
            <v>طبيب بيطري</v>
          </cell>
          <cell r="Q365" t="str">
            <v>الدرجة 3</v>
          </cell>
          <cell r="R365" t="str">
            <v/>
          </cell>
          <cell r="S365" t="str">
            <v/>
          </cell>
          <cell r="T365" t="str">
            <v>عيادة جنوب الرياض</v>
          </cell>
          <cell r="U365" t="str">
            <v>عمليات الفروع</v>
          </cell>
          <cell r="V365" t="str">
            <v>الفروع</v>
          </cell>
          <cell r="W365" t="str">
            <v>Al Riyadh</v>
          </cell>
          <cell r="X365" t="str">
            <v xml:space="preserve">الفرع </v>
          </cell>
          <cell r="Y365">
            <v>44805</v>
          </cell>
          <cell r="Z365">
            <v>3.79</v>
          </cell>
          <cell r="AA365">
            <v>1385</v>
          </cell>
          <cell r="AB365" t="str">
            <v>غير نشط</v>
          </cell>
          <cell r="AC365" t="str">
            <v>400146</v>
          </cell>
          <cell r="AD365" t="str">
            <v>Talal Alotaibi</v>
          </cell>
          <cell r="AE365" t="str">
            <v>إعارة</v>
          </cell>
          <cell r="AF365">
            <v>45441</v>
          </cell>
          <cell r="AG365" t="str">
            <v/>
          </cell>
          <cell r="AH365" t="str">
            <v/>
          </cell>
          <cell r="AI365" t="str">
            <v/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 t="str">
            <v/>
          </cell>
          <cell r="AO365" t="str">
            <v>Vet Occupational &amp; Bus Licenses</v>
          </cell>
          <cell r="AP365" t="str">
            <v>Saudi Awwal Bank</v>
          </cell>
          <cell r="AQ365" t="str">
            <v>SA2245000000615016821150</v>
          </cell>
          <cell r="AR365">
            <v>13035</v>
          </cell>
          <cell r="AS365" t="str">
            <v/>
          </cell>
          <cell r="AT365">
            <v>603.5</v>
          </cell>
          <cell r="AU365">
            <v>3258.75</v>
          </cell>
          <cell r="AV365" t="str">
            <v/>
          </cell>
        </row>
        <row r="366">
          <cell r="A366">
            <v>400185</v>
          </cell>
          <cell r="B366" t="str">
            <v>1016916635</v>
          </cell>
          <cell r="C366" t="str">
            <v>السيد</v>
          </cell>
          <cell r="D366" t="str">
            <v>Nayef Fahad Ghazi Almutairi</v>
          </cell>
          <cell r="E366" t="str">
            <v>نايف فهد غازي المطيري</v>
          </cell>
          <cell r="F366" t="str">
            <v>Male</v>
          </cell>
          <cell r="G366" t="str">
            <v>متزوج</v>
          </cell>
          <cell r="H366">
            <v>29100</v>
          </cell>
          <cell r="I366">
            <v>47</v>
          </cell>
          <cell r="J366">
            <v>17090</v>
          </cell>
          <cell r="K366" t="str">
            <v>Nayef.FAlmutairi@agriserv.sa</v>
          </cell>
          <cell r="L366" t="str">
            <v>0502415310</v>
          </cell>
          <cell r="M366" t="str">
            <v/>
          </cell>
          <cell r="N366" t="str">
            <v>المملكة العربية السعودية</v>
          </cell>
          <cell r="O366" t="str">
            <v>50001016</v>
          </cell>
          <cell r="P366" t="str">
            <v>طبيب بيطري مساعد</v>
          </cell>
          <cell r="Q366" t="str">
            <v>2B الدرجة</v>
          </cell>
          <cell r="R366" t="str">
            <v>Class A</v>
          </cell>
          <cell r="S366" t="str">
            <v/>
          </cell>
          <cell r="T366" t="str">
            <v>محافظة  المجمعه</v>
          </cell>
          <cell r="U366" t="str">
            <v>عمليات الفروع</v>
          </cell>
          <cell r="V366" t="str">
            <v>الفروع</v>
          </cell>
          <cell r="W366" t="str">
            <v>Al Riyadh</v>
          </cell>
          <cell r="X366" t="str">
            <v xml:space="preserve">الفرع </v>
          </cell>
          <cell r="Y366">
            <v>44805</v>
          </cell>
          <cell r="Z366">
            <v>3.79</v>
          </cell>
          <cell r="AA366">
            <v>1385</v>
          </cell>
          <cell r="AB366" t="str">
            <v>نشط</v>
          </cell>
          <cell r="AC366" t="str">
            <v>400106</v>
          </cell>
          <cell r="AD366" t="str">
            <v>Turki Almukhaimer</v>
          </cell>
          <cell r="AE366" t="str">
            <v>إعارة</v>
          </cell>
          <cell r="AF366" t="str">
            <v/>
          </cell>
          <cell r="AG366" t="str">
            <v/>
          </cell>
          <cell r="AH366" t="str">
            <v>طب بيطري</v>
          </cell>
          <cell r="AI366" t="str">
            <v>دبلوم</v>
          </cell>
          <cell r="AJ366">
            <v>8</v>
          </cell>
          <cell r="AK366">
            <v>5</v>
          </cell>
          <cell r="AL366">
            <v>1</v>
          </cell>
          <cell r="AM366">
            <v>2</v>
          </cell>
          <cell r="AN366" t="str">
            <v/>
          </cell>
          <cell r="AO366" t="str">
            <v>عمليات الفروع</v>
          </cell>
          <cell r="AP366" t="str">
            <v>Al Rajhi Bank</v>
          </cell>
          <cell r="AQ366" t="str">
            <v>SA0480000138608010179807</v>
          </cell>
          <cell r="AR366">
            <v>11390</v>
          </cell>
          <cell r="AS366" t="str">
            <v/>
          </cell>
          <cell r="AT366">
            <v>100</v>
          </cell>
          <cell r="AU366">
            <v>2847.5</v>
          </cell>
          <cell r="AV366" t="str">
            <v/>
          </cell>
        </row>
        <row r="367">
          <cell r="A367">
            <v>400186</v>
          </cell>
          <cell r="B367" t="str">
            <v>1026495133</v>
          </cell>
          <cell r="C367" t="str">
            <v>السيد</v>
          </cell>
          <cell r="D367" t="str">
            <v>Ali Abduallah Ali Albahrani</v>
          </cell>
          <cell r="E367" t="str">
            <v>علي عبدالله علي البحراني</v>
          </cell>
          <cell r="F367" t="str">
            <v>Male</v>
          </cell>
          <cell r="G367" t="str">
            <v>متزوج</v>
          </cell>
          <cell r="H367">
            <v>31397</v>
          </cell>
          <cell r="I367">
            <v>41</v>
          </cell>
          <cell r="J367">
            <v>14793</v>
          </cell>
          <cell r="K367" t="str">
            <v>Ali.Albahrani@agriserv.sa</v>
          </cell>
          <cell r="L367" t="str">
            <v>0505542772</v>
          </cell>
          <cell r="M367" t="str">
            <v/>
          </cell>
          <cell r="N367" t="str">
            <v>المملكة العربية السعودية</v>
          </cell>
          <cell r="O367" t="str">
            <v>50001017</v>
          </cell>
          <cell r="P367" t="str">
            <v>طبيب بيطري</v>
          </cell>
          <cell r="Q367" t="str">
            <v>الدرجة 4</v>
          </cell>
          <cell r="R367" t="str">
            <v>Class A</v>
          </cell>
          <cell r="S367" t="str">
            <v/>
          </cell>
          <cell r="T367" t="str">
            <v>عمليات الفروع-المقر الرئيسي</v>
          </cell>
          <cell r="U367" t="str">
            <v>عمليات الفروع</v>
          </cell>
          <cell r="V367" t="str">
            <v>الفروع</v>
          </cell>
          <cell r="W367" t="str">
            <v>Al Riyadh</v>
          </cell>
          <cell r="X367" t="str">
            <v xml:space="preserve">المقر الرئيسي </v>
          </cell>
          <cell r="Y367">
            <v>44805</v>
          </cell>
          <cell r="Z367">
            <v>3.79</v>
          </cell>
          <cell r="AA367">
            <v>1385</v>
          </cell>
          <cell r="AB367" t="str">
            <v>نشط</v>
          </cell>
          <cell r="AC367" t="str">
            <v>100063</v>
          </cell>
          <cell r="AD367" t="str">
            <v>Hazza Alruwaili</v>
          </cell>
          <cell r="AE367" t="str">
            <v>إعارة</v>
          </cell>
          <cell r="AF367" t="str">
            <v/>
          </cell>
          <cell r="AG367" t="str">
            <v/>
          </cell>
          <cell r="AH367" t="str">
            <v>طب بيطري</v>
          </cell>
          <cell r="AI367" t="str">
            <v>بكالوريوس</v>
          </cell>
          <cell r="AJ367">
            <v>4</v>
          </cell>
          <cell r="AK367">
            <v>2</v>
          </cell>
          <cell r="AL367">
            <v>1</v>
          </cell>
          <cell r="AM367">
            <v>1</v>
          </cell>
          <cell r="AN367" t="str">
            <v/>
          </cell>
          <cell r="AO367" t="str">
            <v>عمليات الفروع</v>
          </cell>
          <cell r="AP367" t="str">
            <v>Al Rajhi Bank</v>
          </cell>
          <cell r="AQ367" t="str">
            <v>SA2680000210608010595045</v>
          </cell>
          <cell r="AR367">
            <v>13505</v>
          </cell>
          <cell r="AS367" t="str">
            <v/>
          </cell>
          <cell r="AT367">
            <v>650.5</v>
          </cell>
          <cell r="AU367">
            <v>3376.25</v>
          </cell>
          <cell r="AV367" t="str">
            <v/>
          </cell>
        </row>
        <row r="368">
          <cell r="A368">
            <v>400187</v>
          </cell>
          <cell r="B368" t="str">
            <v>1025179332</v>
          </cell>
          <cell r="C368" t="str">
            <v>السيد</v>
          </cell>
          <cell r="D368" t="str">
            <v>Turki Rashed Abdullah Almutairi</v>
          </cell>
          <cell r="E368" t="str">
            <v>تركي راشد عبدالله المطيري</v>
          </cell>
          <cell r="F368" t="str">
            <v>Male</v>
          </cell>
          <cell r="G368" t="str">
            <v>متزوج</v>
          </cell>
          <cell r="H368">
            <v>30419</v>
          </cell>
          <cell r="I368">
            <v>43</v>
          </cell>
          <cell r="J368">
            <v>15771</v>
          </cell>
          <cell r="K368" t="str">
            <v>turkiRa.Almutairi@agriserv.sa</v>
          </cell>
          <cell r="L368" t="str">
            <v>0500069270</v>
          </cell>
          <cell r="M368" t="str">
            <v/>
          </cell>
          <cell r="N368" t="str">
            <v>المملكة العربية السعودية</v>
          </cell>
          <cell r="O368" t="str">
            <v>50001018</v>
          </cell>
          <cell r="P368" t="str">
            <v>طبيب بيطري مساعد</v>
          </cell>
          <cell r="Q368" t="str">
            <v>2B الدرجة</v>
          </cell>
          <cell r="R368" t="str">
            <v>Class A</v>
          </cell>
          <cell r="S368" t="str">
            <v/>
          </cell>
          <cell r="T368" t="str">
            <v>محافظة  الغاط</v>
          </cell>
          <cell r="U368" t="str">
            <v>عمليات الفروع</v>
          </cell>
          <cell r="V368" t="str">
            <v>الفروع</v>
          </cell>
          <cell r="W368" t="str">
            <v>Al Riyadh</v>
          </cell>
          <cell r="X368" t="str">
            <v xml:space="preserve">الفرع </v>
          </cell>
          <cell r="Y368">
            <v>44805</v>
          </cell>
          <cell r="Z368">
            <v>3.79</v>
          </cell>
          <cell r="AA368">
            <v>1385</v>
          </cell>
          <cell r="AB368" t="str">
            <v>نشط</v>
          </cell>
          <cell r="AC368" t="str">
            <v>400183</v>
          </cell>
          <cell r="AD368" t="str">
            <v>Jehad Alkharraz</v>
          </cell>
          <cell r="AE368" t="str">
            <v>إعارة</v>
          </cell>
          <cell r="AF368" t="str">
            <v/>
          </cell>
          <cell r="AG368" t="str">
            <v/>
          </cell>
          <cell r="AH368" t="str">
            <v>طب بيطري</v>
          </cell>
          <cell r="AI368" t="str">
            <v>دبلوم</v>
          </cell>
          <cell r="AJ368">
            <v>5</v>
          </cell>
          <cell r="AK368">
            <v>4</v>
          </cell>
          <cell r="AL368">
            <v>1</v>
          </cell>
          <cell r="AM368">
            <v>0</v>
          </cell>
          <cell r="AN368" t="str">
            <v/>
          </cell>
          <cell r="AO368" t="str">
            <v>عمليات الفروع</v>
          </cell>
          <cell r="AP368" t="str">
            <v>Saudi National Bank</v>
          </cell>
          <cell r="AQ368" t="str">
            <v>SA3710000038059009000101</v>
          </cell>
          <cell r="AR368">
            <v>12565</v>
          </cell>
          <cell r="AS368" t="str">
            <v/>
          </cell>
          <cell r="AT368">
            <v>100</v>
          </cell>
          <cell r="AU368">
            <v>3141.25</v>
          </cell>
          <cell r="AV368" t="str">
            <v/>
          </cell>
        </row>
        <row r="369">
          <cell r="A369">
            <v>400188</v>
          </cell>
          <cell r="B369" t="str">
            <v>1020607535</v>
          </cell>
          <cell r="C369" t="str">
            <v>السيد</v>
          </cell>
          <cell r="D369" t="str">
            <v>Sultan Mahdi Hassan Masraa</v>
          </cell>
          <cell r="E369" t="str">
            <v>سلطان مهدي حسن مصراء</v>
          </cell>
          <cell r="F369" t="str">
            <v>Male</v>
          </cell>
          <cell r="G369" t="str">
            <v>متزوج</v>
          </cell>
          <cell r="H369">
            <v>31237</v>
          </cell>
          <cell r="I369">
            <v>41</v>
          </cell>
          <cell r="J369">
            <v>14953</v>
          </cell>
          <cell r="K369" t="str">
            <v>Sultan.Masraa@agriserv.sa</v>
          </cell>
          <cell r="L369" t="str">
            <v>0503875887</v>
          </cell>
          <cell r="M369" t="str">
            <v/>
          </cell>
          <cell r="N369" t="str">
            <v>المملكة العربية السعودية</v>
          </cell>
          <cell r="O369" t="str">
            <v>50001019</v>
          </cell>
          <cell r="P369" t="str">
            <v>مهندس زراعي</v>
          </cell>
          <cell r="Q369" t="str">
            <v>الدرجة 3</v>
          </cell>
          <cell r="R369" t="str">
            <v>Class A</v>
          </cell>
          <cell r="S369" t="str">
            <v/>
          </cell>
          <cell r="T369" t="str">
            <v>محافظة  حوطة بني تميم</v>
          </cell>
          <cell r="U369" t="str">
            <v>عمليات الفروع</v>
          </cell>
          <cell r="V369" t="str">
            <v>الفروع</v>
          </cell>
          <cell r="W369" t="str">
            <v>Al Riyadh</v>
          </cell>
          <cell r="X369" t="str">
            <v xml:space="preserve">الفرع </v>
          </cell>
          <cell r="Y369">
            <v>44805</v>
          </cell>
          <cell r="Z369">
            <v>3.79</v>
          </cell>
          <cell r="AA369">
            <v>1385</v>
          </cell>
          <cell r="AB369" t="str">
            <v>نشط</v>
          </cell>
          <cell r="AC369" t="str">
            <v>400146</v>
          </cell>
          <cell r="AD369" t="str">
            <v>Talal Alotaibi</v>
          </cell>
          <cell r="AE369" t="str">
            <v>إعارة</v>
          </cell>
          <cell r="AF369" t="str">
            <v/>
          </cell>
          <cell r="AG369" t="str">
            <v/>
          </cell>
          <cell r="AH369" t="str">
            <v>علم الإحياء</v>
          </cell>
          <cell r="AI369" t="str">
            <v>بكالوريوس</v>
          </cell>
          <cell r="AJ369">
            <v>7</v>
          </cell>
          <cell r="AK369">
            <v>4</v>
          </cell>
          <cell r="AL369">
            <v>1</v>
          </cell>
          <cell r="AM369">
            <v>2</v>
          </cell>
          <cell r="AN369" t="str">
            <v/>
          </cell>
          <cell r="AO369" t="str">
            <v>عمليات الفروع</v>
          </cell>
          <cell r="AP369" t="str">
            <v>Riyad Bank</v>
          </cell>
          <cell r="AQ369" t="str">
            <v>SA5320000002410402069940</v>
          </cell>
          <cell r="AR369">
            <v>13975</v>
          </cell>
          <cell r="AS369" t="str">
            <v/>
          </cell>
          <cell r="AT369">
            <v>697.5</v>
          </cell>
          <cell r="AU369">
            <v>3493.75</v>
          </cell>
          <cell r="AV369" t="str">
            <v/>
          </cell>
        </row>
        <row r="370">
          <cell r="A370">
            <v>400189</v>
          </cell>
          <cell r="B370" t="str">
            <v>1066143957</v>
          </cell>
          <cell r="C370" t="str">
            <v>السيد</v>
          </cell>
          <cell r="D370" t="str">
            <v>Mahdi Ahmad Mohammd Alesa</v>
          </cell>
          <cell r="E370" t="str">
            <v>مهدي احمد محمد العيسى</v>
          </cell>
          <cell r="F370" t="str">
            <v>Male</v>
          </cell>
          <cell r="G370" t="str">
            <v>متزوج</v>
          </cell>
          <cell r="H370">
            <v>32959</v>
          </cell>
          <cell r="I370">
            <v>36</v>
          </cell>
          <cell r="J370">
            <v>13231</v>
          </cell>
          <cell r="K370" t="str">
            <v>Mahdi.Alesa@agriserv.sa</v>
          </cell>
          <cell r="L370" t="str">
            <v>0505872475</v>
          </cell>
          <cell r="M370" t="str">
            <v/>
          </cell>
          <cell r="N370" t="str">
            <v>المملكة العربية السعودية</v>
          </cell>
          <cell r="O370" t="str">
            <v>50001020</v>
          </cell>
          <cell r="P370" t="str">
            <v>طبيب بيطري</v>
          </cell>
          <cell r="Q370" t="str">
            <v>الدرجة 3</v>
          </cell>
          <cell r="R370" t="str">
            <v>Class A</v>
          </cell>
          <cell r="S370" t="str">
            <v/>
          </cell>
          <cell r="T370" t="str">
            <v>محافظة  عفيف</v>
          </cell>
          <cell r="U370" t="str">
            <v>عمليات الفروع</v>
          </cell>
          <cell r="V370" t="str">
            <v>الفروع</v>
          </cell>
          <cell r="W370" t="str">
            <v>Al Riyadh</v>
          </cell>
          <cell r="X370" t="str">
            <v xml:space="preserve">الفرع </v>
          </cell>
          <cell r="Y370">
            <v>44805</v>
          </cell>
          <cell r="Z370">
            <v>3.79</v>
          </cell>
          <cell r="AA370">
            <v>1385</v>
          </cell>
          <cell r="AB370" t="str">
            <v>نشط</v>
          </cell>
          <cell r="AC370" t="str">
            <v>400146</v>
          </cell>
          <cell r="AD370" t="str">
            <v>Talal Alotaibi</v>
          </cell>
          <cell r="AE370" t="str">
            <v>إعارة</v>
          </cell>
          <cell r="AF370" t="str">
            <v/>
          </cell>
          <cell r="AG370" t="str">
            <v/>
          </cell>
          <cell r="AH370" t="str">
            <v>طب بيطري</v>
          </cell>
          <cell r="AI370" t="str">
            <v>بكالوريوس</v>
          </cell>
          <cell r="AJ370">
            <v>5</v>
          </cell>
          <cell r="AK370">
            <v>2</v>
          </cell>
          <cell r="AL370">
            <v>1</v>
          </cell>
          <cell r="AM370">
            <v>2</v>
          </cell>
          <cell r="AN370" t="str">
            <v/>
          </cell>
          <cell r="AO370" t="str">
            <v>عمليات الفروع</v>
          </cell>
          <cell r="AP370" t="str">
            <v>Inma Bank</v>
          </cell>
          <cell r="AQ370" t="str">
            <v>SA7505000068200720979000</v>
          </cell>
          <cell r="AR370">
            <v>13505</v>
          </cell>
          <cell r="AS370" t="str">
            <v/>
          </cell>
          <cell r="AT370">
            <v>650.5</v>
          </cell>
          <cell r="AU370">
            <v>3376.25</v>
          </cell>
          <cell r="AV370" t="str">
            <v/>
          </cell>
        </row>
        <row r="371">
          <cell r="A371">
            <v>400190</v>
          </cell>
          <cell r="B371" t="str">
            <v>1054498439</v>
          </cell>
          <cell r="C371" t="str">
            <v>السيد</v>
          </cell>
          <cell r="D371" t="str">
            <v>Hussain Abdulaziz Mohammed AlAbdulaziz</v>
          </cell>
          <cell r="E371" t="str">
            <v>حسين عبدالعزيز محمد العبدالعزيز</v>
          </cell>
          <cell r="F371" t="str">
            <v>Male</v>
          </cell>
          <cell r="G371" t="str">
            <v>متزوج</v>
          </cell>
          <cell r="H371">
            <v>32177</v>
          </cell>
          <cell r="I371">
            <v>38</v>
          </cell>
          <cell r="J371">
            <v>14013</v>
          </cell>
          <cell r="K371" t="str">
            <v>Hussen.Alabdullaziz@agriserv.sa</v>
          </cell>
          <cell r="L371" t="str">
            <v>0546288979</v>
          </cell>
          <cell r="M371" t="str">
            <v/>
          </cell>
          <cell r="N371" t="str">
            <v>المملكة العربية السعودية</v>
          </cell>
          <cell r="O371" t="str">
            <v>50001021</v>
          </cell>
          <cell r="P371" t="str">
            <v>طبيب بيطري مساعد</v>
          </cell>
          <cell r="Q371" t="str">
            <v>2B الدرجة</v>
          </cell>
          <cell r="R371" t="str">
            <v>Class A</v>
          </cell>
          <cell r="S371" t="str">
            <v/>
          </cell>
          <cell r="T371" t="str">
            <v>محافظة  الخرج</v>
          </cell>
          <cell r="U371" t="str">
            <v>عمليات الفروع</v>
          </cell>
          <cell r="V371" t="str">
            <v>الفروع</v>
          </cell>
          <cell r="W371" t="str">
            <v>Al Riyadh</v>
          </cell>
          <cell r="X371" t="str">
            <v xml:space="preserve">الفرع </v>
          </cell>
          <cell r="Y371">
            <v>44805</v>
          </cell>
          <cell r="Z371">
            <v>3.79</v>
          </cell>
          <cell r="AA371">
            <v>1385</v>
          </cell>
          <cell r="AB371" t="str">
            <v>نشط</v>
          </cell>
          <cell r="AC371" t="str">
            <v>400233</v>
          </cell>
          <cell r="AD371" t="str">
            <v>Ahmed Alhajri</v>
          </cell>
          <cell r="AE371" t="str">
            <v>إعارة</v>
          </cell>
          <cell r="AF371" t="str">
            <v/>
          </cell>
          <cell r="AG371" t="str">
            <v/>
          </cell>
          <cell r="AH371" t="str">
            <v>انتاج حيواني</v>
          </cell>
          <cell r="AI371" t="str">
            <v>دبلوم</v>
          </cell>
          <cell r="AJ371">
            <v>6</v>
          </cell>
          <cell r="AK371">
            <v>4</v>
          </cell>
          <cell r="AL371">
            <v>1</v>
          </cell>
          <cell r="AM371">
            <v>1</v>
          </cell>
          <cell r="AN371" t="str">
            <v/>
          </cell>
          <cell r="AO371" t="str">
            <v>عمليات الفروع</v>
          </cell>
          <cell r="AP371" t="str">
            <v>Bank Al Jazirah</v>
          </cell>
          <cell r="AQ371" t="str">
            <v>SA1660100030680369572001</v>
          </cell>
          <cell r="AR371">
            <v>11330</v>
          </cell>
          <cell r="AS371" t="str">
            <v/>
          </cell>
          <cell r="AT371">
            <v>100</v>
          </cell>
          <cell r="AU371">
            <v>2832.5</v>
          </cell>
          <cell r="AV371" t="str">
            <v/>
          </cell>
        </row>
        <row r="372">
          <cell r="A372">
            <v>400191</v>
          </cell>
          <cell r="B372" t="str">
            <v>1021232291</v>
          </cell>
          <cell r="C372" t="str">
            <v>السيد</v>
          </cell>
          <cell r="D372" t="str">
            <v>Abdullmajeed Abdullah Saood Altheneyan</v>
          </cell>
          <cell r="E372" t="str">
            <v>عبدالمجيد عبدالله سعود الثنيان</v>
          </cell>
          <cell r="F372" t="str">
            <v>Male</v>
          </cell>
          <cell r="G372" t="str">
            <v>متزوج</v>
          </cell>
          <cell r="H372">
            <v>31443</v>
          </cell>
          <cell r="I372">
            <v>40</v>
          </cell>
          <cell r="J372">
            <v>14747</v>
          </cell>
          <cell r="K372" t="str">
            <v>Abdullmajeed.Altheneyan@agriserv.sa</v>
          </cell>
          <cell r="L372" t="str">
            <v>0503265565</v>
          </cell>
          <cell r="M372" t="str">
            <v/>
          </cell>
          <cell r="N372" t="str">
            <v>المملكة العربية السعودية</v>
          </cell>
          <cell r="O372" t="str">
            <v>50001022</v>
          </cell>
          <cell r="P372" t="str">
            <v>طبيب بيطري مساعد</v>
          </cell>
          <cell r="Q372" t="str">
            <v>2B الدرجة</v>
          </cell>
          <cell r="R372" t="str">
            <v>Class A</v>
          </cell>
          <cell r="S372" t="str">
            <v/>
          </cell>
          <cell r="T372" t="str">
            <v>عمليات الفروع-المقر الرئيسي</v>
          </cell>
          <cell r="U372" t="str">
            <v>عمليات الفروع</v>
          </cell>
          <cell r="V372" t="str">
            <v>الفروع</v>
          </cell>
          <cell r="W372" t="str">
            <v>Al Riyadh</v>
          </cell>
          <cell r="X372" t="str">
            <v xml:space="preserve">الفرع </v>
          </cell>
          <cell r="Y372">
            <v>44805</v>
          </cell>
          <cell r="Z372">
            <v>3.79</v>
          </cell>
          <cell r="AA372">
            <v>1385</v>
          </cell>
          <cell r="AB372" t="str">
            <v>نشط</v>
          </cell>
          <cell r="AC372" t="str">
            <v>400146</v>
          </cell>
          <cell r="AD372" t="str">
            <v>Talal Alotaibi</v>
          </cell>
          <cell r="AE372" t="str">
            <v>إعارة</v>
          </cell>
          <cell r="AF372" t="str">
            <v/>
          </cell>
          <cell r="AG372" t="str">
            <v/>
          </cell>
          <cell r="AH372" t="str">
            <v>انتاج حيواني</v>
          </cell>
          <cell r="AI372" t="str">
            <v>دبلوم</v>
          </cell>
          <cell r="AJ372">
            <v>5</v>
          </cell>
          <cell r="AK372">
            <v>2</v>
          </cell>
          <cell r="AL372">
            <v>1</v>
          </cell>
          <cell r="AM372">
            <v>2</v>
          </cell>
          <cell r="AN372" t="str">
            <v/>
          </cell>
          <cell r="AO372" t="str">
            <v>عمليات الفروع</v>
          </cell>
          <cell r="AP372" t="str">
            <v>Inma Bank</v>
          </cell>
          <cell r="AQ372" t="str">
            <v>SA5405000068200338734000</v>
          </cell>
          <cell r="AR372">
            <v>11330</v>
          </cell>
          <cell r="AS372" t="str">
            <v/>
          </cell>
          <cell r="AT372">
            <v>100</v>
          </cell>
          <cell r="AU372">
            <v>2832.5</v>
          </cell>
          <cell r="AV372" t="str">
            <v/>
          </cell>
        </row>
        <row r="373">
          <cell r="A373">
            <v>400192</v>
          </cell>
          <cell r="B373" t="str">
            <v>1062535826</v>
          </cell>
          <cell r="C373" t="str">
            <v>السيد</v>
          </cell>
          <cell r="D373" t="str">
            <v>Fahad Aleteshan</v>
          </cell>
          <cell r="E373" t="str">
            <v>فهد   العطيشان</v>
          </cell>
          <cell r="F373" t="str">
            <v>Male</v>
          </cell>
          <cell r="G373" t="str">
            <v>أعزب</v>
          </cell>
          <cell r="H373">
            <v>31272</v>
          </cell>
          <cell r="I373">
            <v>41</v>
          </cell>
          <cell r="J373">
            <v>14918</v>
          </cell>
          <cell r="K373" t="str">
            <v>E19267@agriserv.com.sa</v>
          </cell>
          <cell r="L373" t="str">
            <v>0555595611</v>
          </cell>
          <cell r="M373" t="str">
            <v/>
          </cell>
          <cell r="N373" t="str">
            <v>المملكة العربية السعودية</v>
          </cell>
          <cell r="O373" t="str">
            <v>50001023</v>
          </cell>
          <cell r="P373" t="str">
            <v>طبيب بيطري مساعد</v>
          </cell>
          <cell r="Q373" t="str">
            <v>2B الدرجة</v>
          </cell>
          <cell r="R373" t="str">
            <v/>
          </cell>
          <cell r="S373" t="str">
            <v/>
          </cell>
          <cell r="T373" t="str">
            <v>السيطرة على أمراض الثروة الحيوانية ومكافحتها</v>
          </cell>
          <cell r="U373" t="str">
            <v>الخدمات الصحية و الإرشاد ودعم التسويق للثروة الحيوانية</v>
          </cell>
          <cell r="V373" t="str">
            <v>العمليات</v>
          </cell>
          <cell r="W373" t="str">
            <v>Al Riyadh</v>
          </cell>
          <cell r="X373" t="str">
            <v xml:space="preserve">الفرع </v>
          </cell>
          <cell r="Y373">
            <v>44805</v>
          </cell>
          <cell r="Z373">
            <v>3.79</v>
          </cell>
          <cell r="AA373">
            <v>1385</v>
          </cell>
          <cell r="AB373" t="str">
            <v>غير نشط</v>
          </cell>
          <cell r="AC373" t="str">
            <v>400209</v>
          </cell>
          <cell r="AD373" t="str">
            <v>Yagoub Aljraid</v>
          </cell>
          <cell r="AE373" t="str">
            <v>إعارة</v>
          </cell>
          <cell r="AF373">
            <v>45169</v>
          </cell>
          <cell r="AG373" t="str">
            <v/>
          </cell>
          <cell r="AH373" t="str">
            <v/>
          </cell>
          <cell r="AI373" t="str">
            <v/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 t="str">
            <v/>
          </cell>
          <cell r="AO373" t="str">
            <v>Livestock Extension &amp; Protection</v>
          </cell>
          <cell r="AP373" t="str">
            <v>Inma Bank</v>
          </cell>
          <cell r="AQ373" t="str">
            <v>SA2105000068202307330000</v>
          </cell>
          <cell r="AR373">
            <v>9565</v>
          </cell>
          <cell r="AS373" t="str">
            <v/>
          </cell>
          <cell r="AT373">
            <v>100</v>
          </cell>
          <cell r="AU373">
            <v>2391.25</v>
          </cell>
          <cell r="AV373" t="str">
            <v/>
          </cell>
        </row>
        <row r="374">
          <cell r="A374">
            <v>400193</v>
          </cell>
          <cell r="B374" t="str">
            <v>1061935068</v>
          </cell>
          <cell r="C374" t="str">
            <v>السيد</v>
          </cell>
          <cell r="D374" t="str">
            <v>Mohammd Saad Fahad ALqahtani</v>
          </cell>
          <cell r="E374" t="str">
            <v>محمد سعد فهد القحطاني</v>
          </cell>
          <cell r="F374" t="str">
            <v>Male</v>
          </cell>
          <cell r="G374" t="str">
            <v>متزوج</v>
          </cell>
          <cell r="H374">
            <v>32718</v>
          </cell>
          <cell r="I374">
            <v>37</v>
          </cell>
          <cell r="J374">
            <v>13472</v>
          </cell>
          <cell r="K374" t="str">
            <v>Mohammed.alqahtani@agriserv.sa</v>
          </cell>
          <cell r="L374" t="str">
            <v>0575553337</v>
          </cell>
          <cell r="M374" t="str">
            <v/>
          </cell>
          <cell r="N374" t="str">
            <v>المملكة العربية السعودية</v>
          </cell>
          <cell r="O374" t="str">
            <v>50001024</v>
          </cell>
          <cell r="P374" t="str">
            <v>طبيب بيطري</v>
          </cell>
          <cell r="Q374" t="str">
            <v>الدرجة 3</v>
          </cell>
          <cell r="R374" t="str">
            <v>Class A</v>
          </cell>
          <cell r="S374" t="str">
            <v/>
          </cell>
          <cell r="T374" t="str">
            <v>محافظة ضرماء</v>
          </cell>
          <cell r="U374" t="str">
            <v>عمليات الفروع</v>
          </cell>
          <cell r="V374" t="str">
            <v>الفروع</v>
          </cell>
          <cell r="W374" t="str">
            <v>Al Riyadh</v>
          </cell>
          <cell r="X374" t="str">
            <v xml:space="preserve">الفرع </v>
          </cell>
          <cell r="Y374">
            <v>44805</v>
          </cell>
          <cell r="Z374">
            <v>3.79</v>
          </cell>
          <cell r="AA374">
            <v>1385</v>
          </cell>
          <cell r="AB374" t="str">
            <v>نشط</v>
          </cell>
          <cell r="AC374" t="str">
            <v>400244</v>
          </cell>
          <cell r="AD374" t="str">
            <v>Ridha Aldalwi</v>
          </cell>
          <cell r="AE374" t="str">
            <v>إعارة</v>
          </cell>
          <cell r="AF374" t="str">
            <v/>
          </cell>
          <cell r="AG374" t="str">
            <v/>
          </cell>
          <cell r="AH374" t="str">
            <v>طب بيطري</v>
          </cell>
          <cell r="AI374" t="str">
            <v>بكالوريوس</v>
          </cell>
          <cell r="AJ374">
            <v>3</v>
          </cell>
          <cell r="AK374">
            <v>1</v>
          </cell>
          <cell r="AL374">
            <v>1</v>
          </cell>
          <cell r="AM374">
            <v>1</v>
          </cell>
          <cell r="AN374" t="str">
            <v/>
          </cell>
          <cell r="AO374" t="str">
            <v>عمليات الفروع</v>
          </cell>
          <cell r="AP374" t="str">
            <v>Al Rajhi Bank</v>
          </cell>
          <cell r="AQ374" t="str">
            <v>SA0680000190608010228484</v>
          </cell>
          <cell r="AR374">
            <v>13035</v>
          </cell>
          <cell r="AS374" t="str">
            <v/>
          </cell>
          <cell r="AT374">
            <v>603.5</v>
          </cell>
          <cell r="AU374">
            <v>3258.75</v>
          </cell>
          <cell r="AV374" t="str">
            <v/>
          </cell>
        </row>
        <row r="375">
          <cell r="A375">
            <v>400194</v>
          </cell>
          <cell r="B375" t="str">
            <v>1083402840</v>
          </cell>
          <cell r="C375" t="str">
            <v>السيد</v>
          </cell>
          <cell r="D375" t="str">
            <v>Ahmed Abdulrahman Abdullah Alayiri</v>
          </cell>
          <cell r="E375" t="str">
            <v>احمد عبدالرحمن عبدالله العييري</v>
          </cell>
          <cell r="F375" t="str">
            <v>Male</v>
          </cell>
          <cell r="G375" t="str">
            <v>متزوج</v>
          </cell>
          <cell r="H375">
            <v>32423</v>
          </cell>
          <cell r="I375">
            <v>38</v>
          </cell>
          <cell r="J375">
            <v>13767</v>
          </cell>
          <cell r="K375" t="str">
            <v>Ahmed.Alayiri@agriserv.sa</v>
          </cell>
          <cell r="L375" t="str">
            <v>0569996686</v>
          </cell>
          <cell r="M375" t="str">
            <v/>
          </cell>
          <cell r="N375" t="str">
            <v>المملكة العربية السعودية</v>
          </cell>
          <cell r="O375" t="str">
            <v>50001025</v>
          </cell>
          <cell r="P375" t="str">
            <v>طبيب بيطري</v>
          </cell>
          <cell r="Q375" t="str">
            <v>الدرجة 3</v>
          </cell>
          <cell r="R375" t="str">
            <v>Class A</v>
          </cell>
          <cell r="S375" t="str">
            <v/>
          </cell>
          <cell r="T375" t="str">
            <v>محافظة  المجمعه</v>
          </cell>
          <cell r="U375" t="str">
            <v>عمليات الفروع</v>
          </cell>
          <cell r="V375" t="str">
            <v>الفروع</v>
          </cell>
          <cell r="W375" t="str">
            <v>Al Riyadh</v>
          </cell>
          <cell r="X375" t="str">
            <v xml:space="preserve">الفرع </v>
          </cell>
          <cell r="Y375">
            <v>44805</v>
          </cell>
          <cell r="Z375">
            <v>3.79</v>
          </cell>
          <cell r="AA375">
            <v>1385</v>
          </cell>
          <cell r="AB375" t="str">
            <v>غير نشط</v>
          </cell>
          <cell r="AC375" t="str">
            <v>400106</v>
          </cell>
          <cell r="AD375" t="str">
            <v>Turki Almukhaimer</v>
          </cell>
          <cell r="AE375" t="str">
            <v>إعارة</v>
          </cell>
          <cell r="AF375">
            <v>45514</v>
          </cell>
          <cell r="AG375" t="str">
            <v/>
          </cell>
          <cell r="AH375" t="str">
            <v>طب بيطري</v>
          </cell>
          <cell r="AI375" t="str">
            <v>بكالوريوس</v>
          </cell>
          <cell r="AJ375">
            <v>6</v>
          </cell>
          <cell r="AK375">
            <v>3</v>
          </cell>
          <cell r="AL375">
            <v>1</v>
          </cell>
          <cell r="AM375">
            <v>2</v>
          </cell>
          <cell r="AN375" t="str">
            <v/>
          </cell>
          <cell r="AO375" t="str">
            <v>Vet Occupational &amp; Bus Licenses</v>
          </cell>
          <cell r="AP375" t="str">
            <v>Al Rajhi Bank</v>
          </cell>
          <cell r="AQ375" t="str">
            <v>SA8580000493608010023053</v>
          </cell>
          <cell r="AR375">
            <v>11625</v>
          </cell>
          <cell r="AS375" t="str">
            <v/>
          </cell>
          <cell r="AT375">
            <v>462.5</v>
          </cell>
          <cell r="AU375">
            <v>2906.25</v>
          </cell>
          <cell r="AV375" t="str">
            <v/>
          </cell>
        </row>
        <row r="376">
          <cell r="A376">
            <v>400195</v>
          </cell>
          <cell r="B376" t="str">
            <v>1085371068</v>
          </cell>
          <cell r="C376" t="str">
            <v>السيد</v>
          </cell>
          <cell r="D376" t="str">
            <v>Mohammed Sadiq Ali Alhaji</v>
          </cell>
          <cell r="E376" t="str">
            <v>محمد صادق علي الحاجي</v>
          </cell>
          <cell r="F376" t="str">
            <v>Male</v>
          </cell>
          <cell r="G376" t="str">
            <v>متزوج</v>
          </cell>
          <cell r="H376">
            <v>34783</v>
          </cell>
          <cell r="I376">
            <v>31</v>
          </cell>
          <cell r="J376">
            <v>11407</v>
          </cell>
          <cell r="K376" t="str">
            <v>Mohammed.Alhaji@agriserv.sa</v>
          </cell>
          <cell r="L376" t="str">
            <v>0555330899</v>
          </cell>
          <cell r="M376" t="str">
            <v/>
          </cell>
          <cell r="N376" t="str">
            <v>المملكة العربية السعودية</v>
          </cell>
          <cell r="O376" t="str">
            <v>50001026</v>
          </cell>
          <cell r="P376" t="str">
            <v>طبيب بيطري</v>
          </cell>
          <cell r="Q376" t="str">
            <v>الدرجة 3</v>
          </cell>
          <cell r="R376" t="str">
            <v>Class A</v>
          </cell>
          <cell r="S376" t="str">
            <v/>
          </cell>
          <cell r="T376" t="str">
            <v>محافظة  عفيف</v>
          </cell>
          <cell r="U376" t="str">
            <v>عمليات الفروع</v>
          </cell>
          <cell r="V376" t="str">
            <v>الفروع</v>
          </cell>
          <cell r="W376" t="str">
            <v>Al Riyadh</v>
          </cell>
          <cell r="X376" t="str">
            <v xml:space="preserve">الفرع </v>
          </cell>
          <cell r="Y376">
            <v>44805</v>
          </cell>
          <cell r="Z376">
            <v>3.79</v>
          </cell>
          <cell r="AA376">
            <v>1385</v>
          </cell>
          <cell r="AB376" t="str">
            <v>غير نشط</v>
          </cell>
          <cell r="AC376" t="str">
            <v>400189</v>
          </cell>
          <cell r="AD376" t="str">
            <v>Mahdi Alesa</v>
          </cell>
          <cell r="AE376" t="str">
            <v>إعارة</v>
          </cell>
          <cell r="AF376">
            <v>45622</v>
          </cell>
          <cell r="AG376" t="str">
            <v/>
          </cell>
          <cell r="AH376" t="str">
            <v>الثروة الحيوانية</v>
          </cell>
          <cell r="AI376" t="str">
            <v>بكالوريوس</v>
          </cell>
          <cell r="AJ376">
            <v>4</v>
          </cell>
          <cell r="AK376">
            <v>1</v>
          </cell>
          <cell r="AL376">
            <v>1</v>
          </cell>
          <cell r="AM376">
            <v>2</v>
          </cell>
          <cell r="AN376" t="str">
            <v/>
          </cell>
          <cell r="AO376" t="str">
            <v>Livestock Extension &amp; Protection</v>
          </cell>
          <cell r="AP376" t="str">
            <v>Riyad Bank</v>
          </cell>
          <cell r="AQ376" t="str">
            <v>SA9320000003331126239940</v>
          </cell>
          <cell r="AR376">
            <v>9670</v>
          </cell>
          <cell r="AS376" t="str">
            <v/>
          </cell>
          <cell r="AT376">
            <v>267</v>
          </cell>
          <cell r="AU376">
            <v>2417.5</v>
          </cell>
          <cell r="AV376" t="str">
            <v/>
          </cell>
        </row>
        <row r="377">
          <cell r="A377">
            <v>400196</v>
          </cell>
          <cell r="B377" t="str">
            <v>1069919403</v>
          </cell>
          <cell r="C377" t="str">
            <v>السيد</v>
          </cell>
          <cell r="D377" t="str">
            <v>Suleiman Abdullah Suleiman Alarj</v>
          </cell>
          <cell r="E377" t="str">
            <v>سليمان عبدالله سليمان العرج</v>
          </cell>
          <cell r="F377" t="str">
            <v>Male</v>
          </cell>
          <cell r="G377" t="str">
            <v>متزوج</v>
          </cell>
          <cell r="H377">
            <v>32297</v>
          </cell>
          <cell r="I377">
            <v>38</v>
          </cell>
          <cell r="J377">
            <v>13893</v>
          </cell>
          <cell r="K377" t="str">
            <v>Suleiman.Alaraj@agriserv.sa</v>
          </cell>
          <cell r="L377" t="str">
            <v>0550369874</v>
          </cell>
          <cell r="M377" t="str">
            <v/>
          </cell>
          <cell r="N377" t="str">
            <v>المملكة العربية السعودية</v>
          </cell>
          <cell r="O377" t="str">
            <v>50001027</v>
          </cell>
          <cell r="P377" t="str">
            <v>مهندس زراعي</v>
          </cell>
          <cell r="Q377" t="str">
            <v>الدرجة 3</v>
          </cell>
          <cell r="R377" t="str">
            <v>Class A</v>
          </cell>
          <cell r="S377" t="str">
            <v/>
          </cell>
          <cell r="T377" t="str">
            <v>الخدمات النباتيةِ</v>
          </cell>
          <cell r="U377" t="str">
            <v>الخدمات النباتيةِ</v>
          </cell>
          <cell r="V377" t="str">
            <v>العمليات</v>
          </cell>
          <cell r="W377" t="str">
            <v>Head Quarter</v>
          </cell>
          <cell r="X377" t="str">
            <v xml:space="preserve">المقر الرئيسي </v>
          </cell>
          <cell r="Y377">
            <v>44805</v>
          </cell>
          <cell r="Z377">
            <v>3.79</v>
          </cell>
          <cell r="AA377">
            <v>1385</v>
          </cell>
          <cell r="AB377" t="str">
            <v>غير نشط</v>
          </cell>
          <cell r="AC377" t="str">
            <v>100136</v>
          </cell>
          <cell r="AD377" t="str">
            <v>Yagoub Aljraid</v>
          </cell>
          <cell r="AE377" t="str">
            <v>إعارة</v>
          </cell>
          <cell r="AF377">
            <v>45649</v>
          </cell>
          <cell r="AG377" t="str">
            <v/>
          </cell>
          <cell r="AH377" t="str">
            <v>اقتصاد زراعي</v>
          </cell>
          <cell r="AI377" t="str">
            <v>بكالوريوس</v>
          </cell>
          <cell r="AJ377">
            <v>5</v>
          </cell>
          <cell r="AK377">
            <v>2</v>
          </cell>
          <cell r="AL377">
            <v>1</v>
          </cell>
          <cell r="AM377">
            <v>2</v>
          </cell>
          <cell r="AN377" t="str">
            <v/>
          </cell>
          <cell r="AO377" t="str">
            <v>Corp Extension &amp; Protection</v>
          </cell>
          <cell r="AP377" t="str">
            <v>Bank Al Bilad</v>
          </cell>
          <cell r="AQ377" t="str">
            <v>SA1715000422103290600002</v>
          </cell>
          <cell r="AR377">
            <v>9670</v>
          </cell>
          <cell r="AS377" t="str">
            <v/>
          </cell>
          <cell r="AT377">
            <v>267</v>
          </cell>
          <cell r="AU377">
            <v>2417.5</v>
          </cell>
          <cell r="AV377" t="str">
            <v/>
          </cell>
        </row>
        <row r="378">
          <cell r="A378">
            <v>400197</v>
          </cell>
          <cell r="B378" t="str">
            <v>1001110798</v>
          </cell>
          <cell r="C378" t="str">
            <v>السيد</v>
          </cell>
          <cell r="D378" t="str">
            <v>Mohammed Alrashed</v>
          </cell>
          <cell r="E378" t="str">
            <v>محمد   الراشد</v>
          </cell>
          <cell r="F378" t="str">
            <v>Male</v>
          </cell>
          <cell r="G378" t="str">
            <v>أعزب</v>
          </cell>
          <cell r="H378">
            <v>28647</v>
          </cell>
          <cell r="I378">
            <v>48</v>
          </cell>
          <cell r="J378">
            <v>17543</v>
          </cell>
          <cell r="K378" t="str">
            <v>MALRASHD@agriserv.com.sa</v>
          </cell>
          <cell r="L378" t="str">
            <v>0541212142</v>
          </cell>
          <cell r="M378" t="str">
            <v/>
          </cell>
          <cell r="N378" t="str">
            <v>المملكة العربية السعودية</v>
          </cell>
          <cell r="O378" t="str">
            <v>50001028</v>
          </cell>
          <cell r="P378" t="str">
            <v>موظف دعم إداري</v>
          </cell>
          <cell r="Q378" t="str">
            <v>2A الدرجة</v>
          </cell>
          <cell r="R378" t="str">
            <v/>
          </cell>
          <cell r="S378" t="str">
            <v/>
          </cell>
          <cell r="T378" t="str">
            <v>الشهادات والمستندات الرسمية للثروة السمكية</v>
          </cell>
          <cell r="U378" t="str">
            <v>الشهادات</v>
          </cell>
          <cell r="V378" t="str">
            <v>التراخيص</v>
          </cell>
          <cell r="W378" t="str">
            <v>Al Riyadh</v>
          </cell>
          <cell r="X378" t="str">
            <v xml:space="preserve">الفرع </v>
          </cell>
          <cell r="Y378">
            <v>44805</v>
          </cell>
          <cell r="Z378">
            <v>3.79</v>
          </cell>
          <cell r="AA378">
            <v>1385</v>
          </cell>
          <cell r="AB378" t="str">
            <v>غير نشط</v>
          </cell>
          <cell r="AC378" t="str">
            <v>400042</v>
          </cell>
          <cell r="AD378" t="str">
            <v>Ali Alghazal</v>
          </cell>
          <cell r="AE378" t="str">
            <v>إعارة</v>
          </cell>
          <cell r="AF378">
            <v>44957</v>
          </cell>
          <cell r="AG378" t="str">
            <v/>
          </cell>
          <cell r="AH378" t="str">
            <v/>
          </cell>
          <cell r="AI378" t="str">
            <v/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 t="str">
            <v/>
          </cell>
          <cell r="AO378" t="str">
            <v>Certificates and Others Documents</v>
          </cell>
          <cell r="AP378" t="str">
            <v>Al Rajhi Bank</v>
          </cell>
          <cell r="AQ378" t="str">
            <v>SA9480000261608010094922</v>
          </cell>
          <cell r="AR378">
            <v>10085</v>
          </cell>
          <cell r="AS378" t="str">
            <v/>
          </cell>
          <cell r="AT378">
            <v>100</v>
          </cell>
          <cell r="AU378">
            <v>2521.25</v>
          </cell>
          <cell r="AV378" t="str">
            <v/>
          </cell>
        </row>
        <row r="379">
          <cell r="A379">
            <v>400198</v>
          </cell>
          <cell r="B379" t="str">
            <v>1113075343</v>
          </cell>
          <cell r="C379" t="str">
            <v>السيد</v>
          </cell>
          <cell r="D379" t="str">
            <v>Awadh Ali Awadh Alzahrani</v>
          </cell>
          <cell r="E379" t="str">
            <v>عوض علي عوض الزهراني</v>
          </cell>
          <cell r="F379" t="str">
            <v>Male</v>
          </cell>
          <cell r="G379" t="str">
            <v>متزوج</v>
          </cell>
          <cell r="H379">
            <v>30579</v>
          </cell>
          <cell r="I379">
            <v>43</v>
          </cell>
          <cell r="J379">
            <v>15611</v>
          </cell>
          <cell r="K379" t="str">
            <v>Awadh.Alomarei@agriserv.sa</v>
          </cell>
          <cell r="L379" t="str">
            <v>0506367686</v>
          </cell>
          <cell r="M379" t="str">
            <v/>
          </cell>
          <cell r="N379" t="str">
            <v>المملكة العربية السعودية</v>
          </cell>
          <cell r="O379" t="str">
            <v>50001029</v>
          </cell>
          <cell r="P379" t="str">
            <v>طبيب بيطري مساعد</v>
          </cell>
          <cell r="Q379" t="str">
            <v>2B الدرجة</v>
          </cell>
          <cell r="R379" t="str">
            <v>Class A</v>
          </cell>
          <cell r="S379" t="str">
            <v/>
          </cell>
          <cell r="T379" t="str">
            <v>عيادة بشمال الرياض</v>
          </cell>
          <cell r="U379" t="str">
            <v>عمليات الفروع</v>
          </cell>
          <cell r="V379" t="str">
            <v>الفروع</v>
          </cell>
          <cell r="W379" t="str">
            <v>Al Riyadh</v>
          </cell>
          <cell r="X379" t="str">
            <v xml:space="preserve">الفرع </v>
          </cell>
          <cell r="Y379">
            <v>44805</v>
          </cell>
          <cell r="Z379">
            <v>3.79</v>
          </cell>
          <cell r="AA379">
            <v>1385</v>
          </cell>
          <cell r="AB379" t="str">
            <v>نشط</v>
          </cell>
          <cell r="AC379" t="str">
            <v>400220</v>
          </cell>
          <cell r="AD379" t="str">
            <v>Nahedh Alhaydan</v>
          </cell>
          <cell r="AE379" t="str">
            <v>إعارة</v>
          </cell>
          <cell r="AF379" t="str">
            <v/>
          </cell>
          <cell r="AG379" t="str">
            <v/>
          </cell>
          <cell r="AH379" t="str">
            <v>طب بيطري</v>
          </cell>
          <cell r="AI379" t="str">
            <v>دبلوم</v>
          </cell>
          <cell r="AJ379">
            <v>10</v>
          </cell>
          <cell r="AK379">
            <v>8</v>
          </cell>
          <cell r="AL379">
            <v>1</v>
          </cell>
          <cell r="AM379">
            <v>1</v>
          </cell>
          <cell r="AN379" t="str">
            <v/>
          </cell>
          <cell r="AO379" t="str">
            <v>عمليات الفروع</v>
          </cell>
          <cell r="AP379" t="str">
            <v>Arab National Bank</v>
          </cell>
          <cell r="AQ379" t="str">
            <v>SA0230400108057983320015</v>
          </cell>
          <cell r="AR379">
            <v>10295</v>
          </cell>
          <cell r="AS379" t="str">
            <v/>
          </cell>
          <cell r="AT379">
            <v>100</v>
          </cell>
          <cell r="AU379">
            <v>2573.75</v>
          </cell>
          <cell r="AV379" t="str">
            <v/>
          </cell>
        </row>
        <row r="380">
          <cell r="A380">
            <v>400199</v>
          </cell>
          <cell r="B380" t="str">
            <v>1012329478</v>
          </cell>
          <cell r="C380" t="str">
            <v>السيد</v>
          </cell>
          <cell r="D380" t="str">
            <v>Yasser Algareeb</v>
          </cell>
          <cell r="E380" t="str">
            <v>ياسر   الغريب</v>
          </cell>
          <cell r="F380" t="str">
            <v>Male</v>
          </cell>
          <cell r="G380" t="str">
            <v>أعزب</v>
          </cell>
          <cell r="H380">
            <v>29372</v>
          </cell>
          <cell r="I380">
            <v>46</v>
          </cell>
          <cell r="J380">
            <v>16818</v>
          </cell>
          <cell r="K380" t="str">
            <v>YALGAREEB@agriserv.com.sa</v>
          </cell>
          <cell r="L380" t="str">
            <v>0506471315</v>
          </cell>
          <cell r="M380" t="str">
            <v/>
          </cell>
          <cell r="N380" t="str">
            <v>المملكة العربية السعودية</v>
          </cell>
          <cell r="O380" t="str">
            <v>50001030</v>
          </cell>
          <cell r="P380" t="str">
            <v>طبيب بيطري مساعد</v>
          </cell>
          <cell r="Q380" t="str">
            <v>2B الدرجة</v>
          </cell>
          <cell r="R380" t="str">
            <v/>
          </cell>
          <cell r="S380" t="str">
            <v/>
          </cell>
          <cell r="T380" t="str">
            <v>السيطرة على أمراض الثروة الحيوانية ومكافحتها</v>
          </cell>
          <cell r="U380" t="str">
            <v>الخدمات الصحية و الإرشاد ودعم التسويق للثروة الحيوانية</v>
          </cell>
          <cell r="V380" t="str">
            <v>العمليات</v>
          </cell>
          <cell r="W380" t="str">
            <v>Al Riyadh</v>
          </cell>
          <cell r="X380" t="str">
            <v xml:space="preserve">الفرع </v>
          </cell>
          <cell r="Y380">
            <v>44805</v>
          </cell>
          <cell r="Z380">
            <v>3.79</v>
          </cell>
          <cell r="AA380">
            <v>1385</v>
          </cell>
          <cell r="AB380" t="str">
            <v>غير نشط</v>
          </cell>
          <cell r="AC380" t="str">
            <v>400209</v>
          </cell>
          <cell r="AD380" t="str">
            <v>Yagoub Aljraid</v>
          </cell>
          <cell r="AE380" t="str">
            <v>إعارة</v>
          </cell>
          <cell r="AF380">
            <v>45016</v>
          </cell>
          <cell r="AG380" t="str">
            <v/>
          </cell>
          <cell r="AH380" t="str">
            <v/>
          </cell>
          <cell r="AI380" t="str">
            <v/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 t="str">
            <v/>
          </cell>
          <cell r="AO380" t="str">
            <v>Livestock Extension &amp; Protection</v>
          </cell>
          <cell r="AP380" t="str">
            <v>Al Rajhi Bank</v>
          </cell>
          <cell r="AQ380" t="str">
            <v>SA0380000309608010026357</v>
          </cell>
          <cell r="AR380">
            <v>9200</v>
          </cell>
          <cell r="AS380" t="str">
            <v/>
          </cell>
          <cell r="AT380">
            <v>100</v>
          </cell>
          <cell r="AU380">
            <v>2300</v>
          </cell>
          <cell r="AV380" t="str">
            <v/>
          </cell>
        </row>
        <row r="381">
          <cell r="A381">
            <v>400200</v>
          </cell>
          <cell r="B381" t="str">
            <v>1047016447</v>
          </cell>
          <cell r="C381" t="str">
            <v>السيد</v>
          </cell>
          <cell r="D381" t="str">
            <v>Abdalelah Almanee</v>
          </cell>
          <cell r="E381" t="str">
            <v>عبدالاله   المنيع</v>
          </cell>
          <cell r="F381" t="str">
            <v>Male</v>
          </cell>
          <cell r="G381" t="str">
            <v>أعزب</v>
          </cell>
          <cell r="H381">
            <v>31474</v>
          </cell>
          <cell r="I381">
            <v>40</v>
          </cell>
          <cell r="J381">
            <v>14716</v>
          </cell>
          <cell r="K381" t="str">
            <v>aalmanee@agriserv.com.sa</v>
          </cell>
          <cell r="L381" t="str">
            <v>0501093828</v>
          </cell>
          <cell r="M381" t="str">
            <v/>
          </cell>
          <cell r="N381" t="str">
            <v>المملكة العربية السعودية</v>
          </cell>
          <cell r="O381" t="str">
            <v>50001031</v>
          </cell>
          <cell r="P381" t="str">
            <v>طبيب بيطري مساعد</v>
          </cell>
          <cell r="Q381" t="str">
            <v>2B الدرجة</v>
          </cell>
          <cell r="R381" t="str">
            <v/>
          </cell>
          <cell r="S381" t="str">
            <v/>
          </cell>
          <cell r="T381" t="str">
            <v>الشهادات والمستندات الرسمية للثروة السمكية</v>
          </cell>
          <cell r="U381" t="str">
            <v>الشهادات</v>
          </cell>
          <cell r="V381" t="str">
            <v>التراخيص</v>
          </cell>
          <cell r="W381" t="str">
            <v>Al Riyadh</v>
          </cell>
          <cell r="X381" t="str">
            <v xml:space="preserve">الفرع </v>
          </cell>
          <cell r="Y381">
            <v>44805</v>
          </cell>
          <cell r="Z381">
            <v>3.79</v>
          </cell>
          <cell r="AA381">
            <v>1385</v>
          </cell>
          <cell r="AB381" t="str">
            <v>غير نشط</v>
          </cell>
          <cell r="AC381" t="str">
            <v>400042</v>
          </cell>
          <cell r="AD381" t="str">
            <v>Ali Alghazal</v>
          </cell>
          <cell r="AE381" t="str">
            <v>إعارة</v>
          </cell>
          <cell r="AF381">
            <v>45016</v>
          </cell>
          <cell r="AG381" t="str">
            <v/>
          </cell>
          <cell r="AH381" t="str">
            <v/>
          </cell>
          <cell r="AI381" t="str">
            <v/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 t="str">
            <v/>
          </cell>
          <cell r="AO381" t="str">
            <v>Vet Occupational &amp; Bus Licenses</v>
          </cell>
          <cell r="AP381" t="str">
            <v>Al Rajhi Bank</v>
          </cell>
          <cell r="AQ381" t="str">
            <v>SA5680000145608010179006</v>
          </cell>
          <cell r="AR381">
            <v>8505</v>
          </cell>
          <cell r="AS381" t="str">
            <v/>
          </cell>
          <cell r="AT381">
            <v>100</v>
          </cell>
          <cell r="AU381">
            <v>2126.25</v>
          </cell>
          <cell r="AV381" t="str">
            <v/>
          </cell>
        </row>
        <row r="382">
          <cell r="A382">
            <v>400201</v>
          </cell>
          <cell r="B382" t="str">
            <v>1073438366</v>
          </cell>
          <cell r="C382" t="str">
            <v>السيد</v>
          </cell>
          <cell r="D382" t="str">
            <v>Mohammd Abdalrahman Khlef Almaslem</v>
          </cell>
          <cell r="E382" t="str">
            <v>محمد عبدالرحمن خليفة المسلم</v>
          </cell>
          <cell r="F382" t="str">
            <v>Male</v>
          </cell>
          <cell r="G382" t="str">
            <v>متزوج</v>
          </cell>
          <cell r="H382">
            <v>33865</v>
          </cell>
          <cell r="I382">
            <v>34</v>
          </cell>
          <cell r="J382">
            <v>12325</v>
          </cell>
          <cell r="K382" t="str">
            <v>Mohammd.Almaslem@agriserv.sa</v>
          </cell>
          <cell r="L382" t="str">
            <v>0534297881</v>
          </cell>
          <cell r="M382" t="str">
            <v/>
          </cell>
          <cell r="N382" t="str">
            <v>المملكة العربية السعودية</v>
          </cell>
          <cell r="O382" t="str">
            <v>50001032</v>
          </cell>
          <cell r="P382" t="str">
            <v>طبيب بيطري مساعد</v>
          </cell>
          <cell r="Q382" t="str">
            <v>2B الدرجة</v>
          </cell>
          <cell r="R382" t="str">
            <v>Class A</v>
          </cell>
          <cell r="S382" t="str">
            <v/>
          </cell>
          <cell r="T382" t="str">
            <v>محافظة  حوطة بني تميم</v>
          </cell>
          <cell r="U382" t="str">
            <v>عمليات الفروع</v>
          </cell>
          <cell r="V382" t="str">
            <v>الفروع</v>
          </cell>
          <cell r="W382" t="str">
            <v>Al Riyadh</v>
          </cell>
          <cell r="X382" t="str">
            <v xml:space="preserve">الفرع </v>
          </cell>
          <cell r="Y382">
            <v>44805</v>
          </cell>
          <cell r="Z382">
            <v>3.79</v>
          </cell>
          <cell r="AA382">
            <v>1385</v>
          </cell>
          <cell r="AB382" t="str">
            <v>نشط</v>
          </cell>
          <cell r="AC382" t="str">
            <v>400188</v>
          </cell>
          <cell r="AD382" t="str">
            <v>Sultan Masraa</v>
          </cell>
          <cell r="AE382" t="str">
            <v>إعارة</v>
          </cell>
          <cell r="AF382" t="str">
            <v/>
          </cell>
          <cell r="AG382" t="str">
            <v/>
          </cell>
          <cell r="AH382" t="str">
            <v>ثانوية</v>
          </cell>
          <cell r="AI382" t="str">
            <v>شهادة المدرسة الثانوية</v>
          </cell>
          <cell r="AJ382">
            <v>4</v>
          </cell>
          <cell r="AK382">
            <v>1</v>
          </cell>
          <cell r="AL382">
            <v>1</v>
          </cell>
          <cell r="AM382">
            <v>2</v>
          </cell>
          <cell r="AN382" t="str">
            <v/>
          </cell>
          <cell r="AO382" t="str">
            <v>عمليات الفروع</v>
          </cell>
          <cell r="AP382" t="str">
            <v>Al Rajhi Bank</v>
          </cell>
          <cell r="AQ382" t="str">
            <v>SA4680000557608010047618</v>
          </cell>
          <cell r="AR382">
            <v>9565</v>
          </cell>
          <cell r="AS382" t="str">
            <v/>
          </cell>
          <cell r="AT382">
            <v>100</v>
          </cell>
          <cell r="AU382">
            <v>2391.25</v>
          </cell>
          <cell r="AV382" t="str">
            <v/>
          </cell>
        </row>
        <row r="383">
          <cell r="A383">
            <v>400202</v>
          </cell>
          <cell r="B383" t="str">
            <v>1070493364</v>
          </cell>
          <cell r="C383" t="str">
            <v>السيد</v>
          </cell>
          <cell r="D383" t="str">
            <v>Hasan Abdaljalel Haseen Alshukh</v>
          </cell>
          <cell r="E383" t="str">
            <v>حسن عبدالجليل حسين الشيخ</v>
          </cell>
          <cell r="F383" t="str">
            <v>Male</v>
          </cell>
          <cell r="G383" t="str">
            <v>متزوج</v>
          </cell>
          <cell r="H383">
            <v>32182</v>
          </cell>
          <cell r="I383">
            <v>38</v>
          </cell>
          <cell r="J383">
            <v>14008</v>
          </cell>
          <cell r="K383" t="str">
            <v>Hasan.AlShaikh@agriserv.sa</v>
          </cell>
          <cell r="L383" t="str">
            <v>0569521378</v>
          </cell>
          <cell r="M383" t="str">
            <v/>
          </cell>
          <cell r="N383" t="str">
            <v>المملكة العربية السعودية</v>
          </cell>
          <cell r="O383" t="str">
            <v>50001033</v>
          </cell>
          <cell r="P383" t="str">
            <v>طبيب بيطري مساعد</v>
          </cell>
          <cell r="Q383" t="str">
            <v>2B الدرجة</v>
          </cell>
          <cell r="R383" t="str">
            <v>Class A</v>
          </cell>
          <cell r="S383" t="str">
            <v/>
          </cell>
          <cell r="T383" t="str">
            <v>محافظة  الدوادمي</v>
          </cell>
          <cell r="U383" t="str">
            <v>عمليات الفروع</v>
          </cell>
          <cell r="V383" t="str">
            <v>الفروع</v>
          </cell>
          <cell r="W383" t="str">
            <v>Al Riyadh</v>
          </cell>
          <cell r="X383" t="str">
            <v xml:space="preserve">الفرع </v>
          </cell>
          <cell r="Y383">
            <v>44805</v>
          </cell>
          <cell r="Z383">
            <v>3.79</v>
          </cell>
          <cell r="AA383">
            <v>1385</v>
          </cell>
          <cell r="AB383" t="str">
            <v>نشط</v>
          </cell>
          <cell r="AC383" t="str">
            <v>400050</v>
          </cell>
          <cell r="AD383" t="str">
            <v>Moazzy Alharbi</v>
          </cell>
          <cell r="AE383" t="str">
            <v>إعارة</v>
          </cell>
          <cell r="AF383" t="str">
            <v/>
          </cell>
          <cell r="AG383" t="str">
            <v/>
          </cell>
          <cell r="AH383" t="str">
            <v>طب بيطري</v>
          </cell>
          <cell r="AI383" t="str">
            <v>دبلوم</v>
          </cell>
          <cell r="AJ383">
            <v>5</v>
          </cell>
          <cell r="AK383">
            <v>2</v>
          </cell>
          <cell r="AL383">
            <v>1</v>
          </cell>
          <cell r="AM383">
            <v>2</v>
          </cell>
          <cell r="AN383" t="str">
            <v/>
          </cell>
          <cell r="AO383" t="str">
            <v>عمليات الفروع</v>
          </cell>
          <cell r="AP383" t="str">
            <v>Riyad Bank</v>
          </cell>
          <cell r="AQ383" t="str">
            <v>SA8320000006050639779940</v>
          </cell>
          <cell r="AR383">
            <v>9565</v>
          </cell>
          <cell r="AS383" t="str">
            <v/>
          </cell>
          <cell r="AT383">
            <v>100</v>
          </cell>
          <cell r="AU383">
            <v>2391.25</v>
          </cell>
          <cell r="AV383" t="str">
            <v/>
          </cell>
        </row>
        <row r="384">
          <cell r="A384">
            <v>400203</v>
          </cell>
          <cell r="B384" t="str">
            <v>1077241790</v>
          </cell>
          <cell r="C384" t="str">
            <v>السيد</v>
          </cell>
          <cell r="D384" t="str">
            <v>Abbas Ali Hussein Alkhulaif</v>
          </cell>
          <cell r="E384" t="str">
            <v>عباس علي حسين الخليف</v>
          </cell>
          <cell r="F384" t="str">
            <v>Male</v>
          </cell>
          <cell r="G384" t="str">
            <v>متزوج</v>
          </cell>
          <cell r="H384">
            <v>33120</v>
          </cell>
          <cell r="I384">
            <v>36</v>
          </cell>
          <cell r="J384">
            <v>13070</v>
          </cell>
          <cell r="K384" t="str">
            <v>Abbas.Khulaif@agriserv.sa</v>
          </cell>
          <cell r="L384" t="str">
            <v>0591210002</v>
          </cell>
          <cell r="M384" t="str">
            <v/>
          </cell>
          <cell r="N384" t="str">
            <v>المملكة العربية السعودية</v>
          </cell>
          <cell r="O384" t="str">
            <v>50001034</v>
          </cell>
          <cell r="P384" t="str">
            <v>طبيب بيطري مساعد</v>
          </cell>
          <cell r="Q384" t="str">
            <v>2B الدرجة</v>
          </cell>
          <cell r="R384" t="str">
            <v>Class A</v>
          </cell>
          <cell r="S384" t="str">
            <v/>
          </cell>
          <cell r="T384" t="str">
            <v>محافظة ساجر</v>
          </cell>
          <cell r="U384" t="str">
            <v>عمليات الفروع</v>
          </cell>
          <cell r="V384" t="str">
            <v>الفروع</v>
          </cell>
          <cell r="W384" t="str">
            <v>Al Riyadh</v>
          </cell>
          <cell r="X384" t="str">
            <v xml:space="preserve">الفرع </v>
          </cell>
          <cell r="Y384">
            <v>44805</v>
          </cell>
          <cell r="Z384">
            <v>3.79</v>
          </cell>
          <cell r="AA384">
            <v>1385</v>
          </cell>
          <cell r="AB384" t="str">
            <v>نشط</v>
          </cell>
          <cell r="AC384" t="str">
            <v>400115</v>
          </cell>
          <cell r="AD384" t="str">
            <v>Hussain Alotaibi</v>
          </cell>
          <cell r="AE384" t="str">
            <v>إعارة</v>
          </cell>
          <cell r="AF384" t="str">
            <v/>
          </cell>
          <cell r="AG384" t="str">
            <v/>
          </cell>
          <cell r="AH384" t="str">
            <v>انتاج حيواني</v>
          </cell>
          <cell r="AI384" t="str">
            <v>دبلوم</v>
          </cell>
          <cell r="AJ384">
            <v>7</v>
          </cell>
          <cell r="AK384">
            <v>4</v>
          </cell>
          <cell r="AL384">
            <v>1</v>
          </cell>
          <cell r="AM384">
            <v>2</v>
          </cell>
          <cell r="AN384" t="str">
            <v/>
          </cell>
          <cell r="AO384" t="str">
            <v>عمليات الفروع</v>
          </cell>
          <cell r="AP384" t="str">
            <v>Saudi Awwal Bank</v>
          </cell>
          <cell r="AQ384" t="str">
            <v>SA5445000000053217642001</v>
          </cell>
          <cell r="AR384">
            <v>7285</v>
          </cell>
          <cell r="AS384" t="str">
            <v/>
          </cell>
          <cell r="AT384">
            <v>28.5</v>
          </cell>
          <cell r="AU384">
            <v>1821.25</v>
          </cell>
          <cell r="AV384" t="str">
            <v/>
          </cell>
        </row>
        <row r="385">
          <cell r="A385">
            <v>400204</v>
          </cell>
          <cell r="B385" t="str">
            <v>1054193535</v>
          </cell>
          <cell r="C385" t="str">
            <v>السيد</v>
          </cell>
          <cell r="D385" t="str">
            <v>Abdulhadi Hamzah Ali Alahmed</v>
          </cell>
          <cell r="E385" t="str">
            <v>عبدالهادى حمزه علي الاحمد</v>
          </cell>
          <cell r="F385" t="str">
            <v>Male</v>
          </cell>
          <cell r="G385" t="str">
            <v>متزوج</v>
          </cell>
          <cell r="H385">
            <v>32392</v>
          </cell>
          <cell r="I385">
            <v>38</v>
          </cell>
          <cell r="J385">
            <v>13798</v>
          </cell>
          <cell r="K385" t="str">
            <v>Abdulhadi.Alahmed@agriserv.sa</v>
          </cell>
          <cell r="L385" t="str">
            <v>0544555368</v>
          </cell>
          <cell r="M385" t="str">
            <v/>
          </cell>
          <cell r="N385" t="str">
            <v>المملكة العربية السعودية</v>
          </cell>
          <cell r="O385" t="str">
            <v>50001035</v>
          </cell>
          <cell r="P385" t="str">
            <v>طبيب بيطري مساعد</v>
          </cell>
          <cell r="Q385" t="str">
            <v>2B الدرجة</v>
          </cell>
          <cell r="R385" t="str">
            <v>Class A</v>
          </cell>
          <cell r="S385" t="str">
            <v/>
          </cell>
          <cell r="T385" t="str">
            <v>محافظة  عفيف</v>
          </cell>
          <cell r="U385" t="str">
            <v>عمليات الفروع</v>
          </cell>
          <cell r="V385" t="str">
            <v>الفروع</v>
          </cell>
          <cell r="W385" t="str">
            <v>Al Riyadh</v>
          </cell>
          <cell r="X385" t="str">
            <v xml:space="preserve">الفرع </v>
          </cell>
          <cell r="Y385">
            <v>44805</v>
          </cell>
          <cell r="Z385">
            <v>3.79</v>
          </cell>
          <cell r="AA385">
            <v>1385</v>
          </cell>
          <cell r="AB385" t="str">
            <v>نشط</v>
          </cell>
          <cell r="AC385" t="str">
            <v>400189</v>
          </cell>
          <cell r="AD385" t="str">
            <v>Mahdi Alesa</v>
          </cell>
          <cell r="AE385" t="str">
            <v>إعارة</v>
          </cell>
          <cell r="AF385" t="str">
            <v/>
          </cell>
          <cell r="AG385" t="str">
            <v/>
          </cell>
          <cell r="AH385" t="str">
            <v>طب بيطري</v>
          </cell>
          <cell r="AI385" t="str">
            <v>دبلوم</v>
          </cell>
          <cell r="AJ385">
            <v>4</v>
          </cell>
          <cell r="AK385">
            <v>1</v>
          </cell>
          <cell r="AL385">
            <v>1</v>
          </cell>
          <cell r="AM385">
            <v>2</v>
          </cell>
          <cell r="AN385" t="str">
            <v/>
          </cell>
          <cell r="AO385" t="str">
            <v>عمليات الفروع</v>
          </cell>
          <cell r="AP385" t="str">
            <v>Riyad Bank</v>
          </cell>
          <cell r="AQ385" t="str">
            <v>SA2020000003240280409940</v>
          </cell>
          <cell r="AR385">
            <v>7285</v>
          </cell>
          <cell r="AS385" t="str">
            <v/>
          </cell>
          <cell r="AT385">
            <v>28.5</v>
          </cell>
          <cell r="AU385">
            <v>1821.25</v>
          </cell>
          <cell r="AV385" t="str">
            <v/>
          </cell>
        </row>
        <row r="386">
          <cell r="A386">
            <v>400205</v>
          </cell>
          <cell r="B386" t="str">
            <v>1095525547</v>
          </cell>
          <cell r="C386" t="str">
            <v>السيد</v>
          </cell>
          <cell r="D386" t="str">
            <v>Hamed Ahmed Abdullah Alhabal</v>
          </cell>
          <cell r="E386" t="str">
            <v>حمد احمد عبدالله الهبل</v>
          </cell>
          <cell r="F386" t="str">
            <v>Male</v>
          </cell>
          <cell r="G386" t="str">
            <v>متزوج</v>
          </cell>
          <cell r="H386">
            <v>35576</v>
          </cell>
          <cell r="I386">
            <v>29</v>
          </cell>
          <cell r="J386">
            <v>10614</v>
          </cell>
          <cell r="K386" t="str">
            <v>Hamed.Alhabal@agriserv.sa</v>
          </cell>
          <cell r="L386" t="str">
            <v>0564114579</v>
          </cell>
          <cell r="M386" t="str">
            <v/>
          </cell>
          <cell r="N386" t="str">
            <v>المملكة العربية السعودية</v>
          </cell>
          <cell r="O386" t="str">
            <v>50001036</v>
          </cell>
          <cell r="P386" t="str">
            <v>طبيب بيطري مساعد</v>
          </cell>
          <cell r="Q386" t="str">
            <v>2B الدرجة</v>
          </cell>
          <cell r="R386" t="str">
            <v>Class A</v>
          </cell>
          <cell r="S386" t="str">
            <v/>
          </cell>
          <cell r="T386" t="str">
            <v>عيادة بشمال الرياض</v>
          </cell>
          <cell r="U386" t="str">
            <v>عمليات الفروع</v>
          </cell>
          <cell r="V386" t="str">
            <v>الفروع</v>
          </cell>
          <cell r="W386" t="str">
            <v>Al Riyadh</v>
          </cell>
          <cell r="X386" t="str">
            <v xml:space="preserve">الفرع </v>
          </cell>
          <cell r="Y386">
            <v>44805</v>
          </cell>
          <cell r="Z386">
            <v>3.79</v>
          </cell>
          <cell r="AA386">
            <v>1385</v>
          </cell>
          <cell r="AB386" t="str">
            <v>نشط</v>
          </cell>
          <cell r="AC386" t="str">
            <v>400220</v>
          </cell>
          <cell r="AD386" t="str">
            <v>Nahedh Alhaydan</v>
          </cell>
          <cell r="AE386" t="str">
            <v>إعارة</v>
          </cell>
          <cell r="AF386" t="str">
            <v/>
          </cell>
          <cell r="AG386" t="str">
            <v/>
          </cell>
          <cell r="AH386" t="str">
            <v>طب بيطري</v>
          </cell>
          <cell r="AI386" t="str">
            <v>دبلوم</v>
          </cell>
          <cell r="AJ386">
            <v>5</v>
          </cell>
          <cell r="AK386">
            <v>2</v>
          </cell>
          <cell r="AL386">
            <v>1</v>
          </cell>
          <cell r="AM386">
            <v>2</v>
          </cell>
          <cell r="AN386" t="str">
            <v/>
          </cell>
          <cell r="AO386" t="str">
            <v>عمليات الفروع</v>
          </cell>
          <cell r="AP386" t="str">
            <v>Saudi National Bank</v>
          </cell>
          <cell r="AQ386" t="str">
            <v>SA9210000005800000642103</v>
          </cell>
          <cell r="AR386">
            <v>7285</v>
          </cell>
          <cell r="AS386" t="str">
            <v/>
          </cell>
          <cell r="AT386">
            <v>28.5</v>
          </cell>
          <cell r="AU386">
            <v>1821.25</v>
          </cell>
          <cell r="AV386" t="str">
            <v/>
          </cell>
        </row>
        <row r="387">
          <cell r="A387">
            <v>400206</v>
          </cell>
          <cell r="B387" t="str">
            <v>1067104990</v>
          </cell>
          <cell r="C387" t="str">
            <v>السيد</v>
          </cell>
          <cell r="D387" t="str">
            <v>Ali Hassen Mohammd Aljemah</v>
          </cell>
          <cell r="E387" t="str">
            <v>علي حسين محمد الجمعه</v>
          </cell>
          <cell r="F387" t="str">
            <v>Male</v>
          </cell>
          <cell r="G387" t="str">
            <v>متزوج</v>
          </cell>
          <cell r="H387">
            <v>33011</v>
          </cell>
          <cell r="I387">
            <v>36</v>
          </cell>
          <cell r="J387">
            <v>13179</v>
          </cell>
          <cell r="K387" t="str">
            <v>Ali.Aljemah@agriserv.sa</v>
          </cell>
          <cell r="L387" t="str">
            <v>0568548930</v>
          </cell>
          <cell r="M387" t="str">
            <v/>
          </cell>
          <cell r="N387" t="str">
            <v>المملكة العربية السعودية</v>
          </cell>
          <cell r="O387" t="str">
            <v>50001037</v>
          </cell>
          <cell r="P387" t="str">
            <v>طبيب بيطري مساعد</v>
          </cell>
          <cell r="Q387" t="str">
            <v>2B الدرجة</v>
          </cell>
          <cell r="R387" t="str">
            <v>Class A</v>
          </cell>
          <cell r="S387" t="str">
            <v>محجر سلوى  (الشرقية)</v>
          </cell>
          <cell r="T387" t="str">
            <v>خدمات المحجر</v>
          </cell>
          <cell r="U387" t="str">
            <v>الاذونات وخدمات المحاجر</v>
          </cell>
          <cell r="V387" t="str">
            <v>العمليات</v>
          </cell>
          <cell r="W387" t="str">
            <v>Ad-Dammam</v>
          </cell>
          <cell r="X387" t="str">
            <v xml:space="preserve">الفرع </v>
          </cell>
          <cell r="Y387">
            <v>44805</v>
          </cell>
          <cell r="Z387">
            <v>3.79</v>
          </cell>
          <cell r="AA387">
            <v>1385</v>
          </cell>
          <cell r="AB387" t="str">
            <v>نشط</v>
          </cell>
          <cell r="AC387" t="str">
            <v>400314</v>
          </cell>
          <cell r="AD387" t="str">
            <v>Mohammad Albatat</v>
          </cell>
          <cell r="AE387" t="str">
            <v>إعارة</v>
          </cell>
          <cell r="AF387" t="str">
            <v/>
          </cell>
          <cell r="AG387" t="str">
            <v/>
          </cell>
          <cell r="AH387" t="str">
            <v>انتاج حيواني</v>
          </cell>
          <cell r="AI387" t="str">
            <v>دبلوم</v>
          </cell>
          <cell r="AJ387">
            <v>5</v>
          </cell>
          <cell r="AK387">
            <v>2</v>
          </cell>
          <cell r="AL387">
            <v>1</v>
          </cell>
          <cell r="AM387">
            <v>2</v>
          </cell>
          <cell r="AN387" t="str">
            <v/>
          </cell>
          <cell r="AO387" t="str">
            <v>الاذونات وخدمات المحاجر</v>
          </cell>
          <cell r="AP387" t="str">
            <v>Bank Al Jazirah</v>
          </cell>
          <cell r="AQ387" t="str">
            <v>SA4560100033080671822001</v>
          </cell>
          <cell r="AR387">
            <v>7285</v>
          </cell>
          <cell r="AS387" t="str">
            <v/>
          </cell>
          <cell r="AT387">
            <v>28.5</v>
          </cell>
          <cell r="AU387">
            <v>1821.25</v>
          </cell>
          <cell r="AV387" t="str">
            <v/>
          </cell>
        </row>
        <row r="388">
          <cell r="A388">
            <v>400207</v>
          </cell>
          <cell r="B388" t="str">
            <v>1012764393</v>
          </cell>
          <cell r="C388" t="str">
            <v>السيد</v>
          </cell>
          <cell r="D388" t="str">
            <v>Ali Mohsen Mohammad Alali</v>
          </cell>
          <cell r="E388" t="str">
            <v>علي محسن محمد العلي</v>
          </cell>
          <cell r="F388" t="str">
            <v>Male</v>
          </cell>
          <cell r="G388" t="str">
            <v>متزوج</v>
          </cell>
          <cell r="H388">
            <v>26790</v>
          </cell>
          <cell r="I388">
            <v>53</v>
          </cell>
          <cell r="J388">
            <v>19400</v>
          </cell>
          <cell r="K388" t="str">
            <v>ali.alali@agriserv.sa</v>
          </cell>
          <cell r="L388" t="str">
            <v>0507979230</v>
          </cell>
          <cell r="M388" t="str">
            <v>3103</v>
          </cell>
          <cell r="N388" t="str">
            <v>المملكة العربية السعودية</v>
          </cell>
          <cell r="O388" t="str">
            <v>50001038</v>
          </cell>
          <cell r="P388" t="str">
            <v>أخصائي أول بحوث الثروة النباتية</v>
          </cell>
          <cell r="Q388" t="str">
            <v>الدرجة ٥</v>
          </cell>
          <cell r="R388" t="str">
            <v>Class A</v>
          </cell>
          <cell r="S388" t="str">
            <v/>
          </cell>
          <cell r="T388" t="str">
            <v>الاستشارات النباتية</v>
          </cell>
          <cell r="U388" t="str">
            <v>الخدمات النباتيةِ</v>
          </cell>
          <cell r="V388" t="str">
            <v>العمليات</v>
          </cell>
          <cell r="W388" t="str">
            <v>Head Quarter</v>
          </cell>
          <cell r="X388" t="str">
            <v xml:space="preserve">المقر الرئيسي </v>
          </cell>
          <cell r="Y388">
            <v>44805</v>
          </cell>
          <cell r="Z388">
            <v>3.79</v>
          </cell>
          <cell r="AA388">
            <v>1385</v>
          </cell>
          <cell r="AB388" t="str">
            <v>غير نشط</v>
          </cell>
          <cell r="AC388" t="str">
            <v>100136</v>
          </cell>
          <cell r="AD388" t="str">
            <v>Yagoub Aljraid</v>
          </cell>
          <cell r="AE388" t="str">
            <v>إعارة</v>
          </cell>
          <cell r="AF388">
            <v>45962</v>
          </cell>
          <cell r="AG388" t="str">
            <v/>
          </cell>
          <cell r="AH388" t="str">
            <v>انتاج نباتى</v>
          </cell>
          <cell r="AI388" t="str">
            <v>ماجستير</v>
          </cell>
          <cell r="AJ388">
            <v>6</v>
          </cell>
          <cell r="AK388">
            <v>4</v>
          </cell>
          <cell r="AL388">
            <v>1</v>
          </cell>
          <cell r="AM388">
            <v>1</v>
          </cell>
          <cell r="AN388" t="str">
            <v/>
          </cell>
          <cell r="AO388" t="str">
            <v>Corp Extension &amp; Protection</v>
          </cell>
          <cell r="AP388" t="str">
            <v>Saudi National Bank</v>
          </cell>
          <cell r="AQ388" t="str">
            <v>SA7910000071100000851308</v>
          </cell>
          <cell r="AR388">
            <v>17415</v>
          </cell>
          <cell r="AS388" t="str">
            <v/>
          </cell>
          <cell r="AT388">
            <v>1041.5</v>
          </cell>
          <cell r="AU388">
            <v>4353.75</v>
          </cell>
          <cell r="AV388" t="str">
            <v/>
          </cell>
        </row>
        <row r="389">
          <cell r="A389">
            <v>400208</v>
          </cell>
          <cell r="B389" t="str">
            <v>1017773720</v>
          </cell>
          <cell r="C389" t="str">
            <v>السيد</v>
          </cell>
          <cell r="D389" t="str">
            <v>Hani Alrashid</v>
          </cell>
          <cell r="E389" t="str">
            <v>هانى   الراشد</v>
          </cell>
          <cell r="F389" t="str">
            <v>Male</v>
          </cell>
          <cell r="G389" t="str">
            <v>أعزب</v>
          </cell>
          <cell r="H389">
            <v>26389</v>
          </cell>
          <cell r="I389">
            <v>54</v>
          </cell>
          <cell r="J389">
            <v>19801</v>
          </cell>
          <cell r="K389" t="str">
            <v>E13752@agriserv.com.sa</v>
          </cell>
          <cell r="L389" t="str">
            <v>0505899690</v>
          </cell>
          <cell r="M389" t="str">
            <v/>
          </cell>
          <cell r="N389" t="str">
            <v>المملكة العربية السعودية</v>
          </cell>
          <cell r="O389" t="str">
            <v>50001039</v>
          </cell>
          <cell r="P389" t="str">
            <v>مساعد مشرف مختبرات الثروة النباتية</v>
          </cell>
          <cell r="Q389" t="str">
            <v>الدرجة ٥</v>
          </cell>
          <cell r="R389" t="str">
            <v/>
          </cell>
          <cell r="S389" t="str">
            <v/>
          </cell>
          <cell r="T389" t="str">
            <v>مختبرات الثروة النباتية</v>
          </cell>
          <cell r="U389" t="str">
            <v>الخدمات الصحية و الإرشاد ودعم التسويق للثروة النباتية</v>
          </cell>
          <cell r="V389" t="str">
            <v>العمليات</v>
          </cell>
          <cell r="W389" t="str">
            <v>Al Riyadh</v>
          </cell>
          <cell r="X389" t="str">
            <v xml:space="preserve">الفرع </v>
          </cell>
          <cell r="Y389">
            <v>44805</v>
          </cell>
          <cell r="Z389">
            <v>3.79</v>
          </cell>
          <cell r="AA389">
            <v>1385</v>
          </cell>
          <cell r="AB389" t="str">
            <v>غير نشط</v>
          </cell>
          <cell r="AC389" t="str">
            <v>400209</v>
          </cell>
          <cell r="AD389" t="str">
            <v>Yagoub Aljraid</v>
          </cell>
          <cell r="AE389" t="str">
            <v>إعارة</v>
          </cell>
          <cell r="AF389">
            <v>45138</v>
          </cell>
          <cell r="AG389" t="str">
            <v/>
          </cell>
          <cell r="AH389" t="str">
            <v/>
          </cell>
          <cell r="AI389" t="str">
            <v/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 t="str">
            <v/>
          </cell>
          <cell r="AO389" t="str">
            <v>Corp Extension &amp; Protection</v>
          </cell>
          <cell r="AP389" t="str">
            <v>Saudi Investment Bank</v>
          </cell>
          <cell r="AQ389" t="str">
            <v>SA8565000000117451074001</v>
          </cell>
          <cell r="AR389">
            <v>18705</v>
          </cell>
          <cell r="AS389" t="str">
            <v/>
          </cell>
          <cell r="AT389">
            <v>970.5</v>
          </cell>
          <cell r="AU389">
            <v>4676.25</v>
          </cell>
          <cell r="AV389" t="str">
            <v/>
          </cell>
        </row>
        <row r="390">
          <cell r="A390">
            <v>400209</v>
          </cell>
          <cell r="B390" t="str">
            <v/>
          </cell>
          <cell r="C390" t="str">
            <v>السيد</v>
          </cell>
          <cell r="D390" t="str">
            <v>Yagoub Ali Yagoub Aljraid</v>
          </cell>
          <cell r="E390" t="str">
            <v>يعقوب علي يعقوب الجريد</v>
          </cell>
          <cell r="F390" t="str">
            <v>Male</v>
          </cell>
          <cell r="G390" t="str">
            <v>متزوج</v>
          </cell>
          <cell r="H390">
            <v>31619</v>
          </cell>
          <cell r="I390">
            <v>40</v>
          </cell>
          <cell r="J390">
            <v>14571</v>
          </cell>
          <cell r="K390" t="str">
            <v/>
          </cell>
          <cell r="L390" t="str">
            <v>0504210687</v>
          </cell>
          <cell r="M390" t="str">
            <v/>
          </cell>
          <cell r="N390" t="str">
            <v>المملكة العربية السعودية</v>
          </cell>
          <cell r="O390" t="str">
            <v>50000578</v>
          </cell>
          <cell r="P390" t="str">
            <v>مدير إدارة الإرشاد والخدمات الصحية للثروة النباتية</v>
          </cell>
          <cell r="Q390" t="str">
            <v>الدرجة 9</v>
          </cell>
          <cell r="R390" t="str">
            <v>Class VIP</v>
          </cell>
          <cell r="S390" t="str">
            <v/>
          </cell>
          <cell r="T390" t="str">
            <v>الخدمات النباتيةِ</v>
          </cell>
          <cell r="U390" t="str">
            <v>الخدمات النباتيةِ</v>
          </cell>
          <cell r="V390" t="str">
            <v>العمليات</v>
          </cell>
          <cell r="W390" t="str">
            <v>Head Quarter</v>
          </cell>
          <cell r="X390" t="str">
            <v xml:space="preserve">المقر الرئيسي </v>
          </cell>
          <cell r="Y390">
            <v>44805</v>
          </cell>
          <cell r="Z390">
            <v>3.79</v>
          </cell>
          <cell r="AA390">
            <v>1385</v>
          </cell>
          <cell r="AB390" t="str">
            <v>غير نشط</v>
          </cell>
          <cell r="AC390" t="str">
            <v>400003</v>
          </cell>
          <cell r="AD390" t="str">
            <v>Ibrahim Bukhari</v>
          </cell>
          <cell r="AE390" t="str">
            <v>إعارة</v>
          </cell>
          <cell r="AF390">
            <v>45535</v>
          </cell>
          <cell r="AG390" t="str">
            <v/>
          </cell>
          <cell r="AH390" t="str">
            <v>وقاية النبات</v>
          </cell>
          <cell r="AI390" t="str">
            <v>بكالوريوس</v>
          </cell>
          <cell r="AJ390">
            <v>6</v>
          </cell>
          <cell r="AK390">
            <v>3</v>
          </cell>
          <cell r="AL390">
            <v>1</v>
          </cell>
          <cell r="AM390">
            <v>2</v>
          </cell>
          <cell r="AN390" t="str">
            <v/>
          </cell>
          <cell r="AO390" t="str">
            <v>Corp Extension &amp; Protection</v>
          </cell>
          <cell r="AP390" t="str">
            <v>Al Rajhi Bank</v>
          </cell>
          <cell r="AQ390" t="str">
            <v>SA1480000412608010150698</v>
          </cell>
          <cell r="AR390">
            <v>11625</v>
          </cell>
          <cell r="AS390" t="str">
            <v/>
          </cell>
          <cell r="AT390">
            <v>462.5</v>
          </cell>
          <cell r="AU390">
            <v>2906.25</v>
          </cell>
          <cell r="AV390" t="str">
            <v/>
          </cell>
        </row>
        <row r="391">
          <cell r="A391">
            <v>400210</v>
          </cell>
          <cell r="B391" t="str">
            <v>1034796175</v>
          </cell>
          <cell r="C391" t="str">
            <v>السيد</v>
          </cell>
          <cell r="D391" t="str">
            <v>Ahmad Salmin Saeed Almaari</v>
          </cell>
          <cell r="E391" t="str">
            <v>احمد سالمين سعيد المعاري</v>
          </cell>
          <cell r="F391" t="str">
            <v>Male</v>
          </cell>
          <cell r="G391" t="str">
            <v>أعزب</v>
          </cell>
          <cell r="H391">
            <v>28660</v>
          </cell>
          <cell r="I391">
            <v>48</v>
          </cell>
          <cell r="J391">
            <v>17530</v>
          </cell>
          <cell r="K391" t="str">
            <v>AALMAARI@agriserv.com.sa</v>
          </cell>
          <cell r="L391" t="str">
            <v>0504161282</v>
          </cell>
          <cell r="M391" t="str">
            <v/>
          </cell>
          <cell r="N391" t="str">
            <v>المملكة العربية السعودية</v>
          </cell>
          <cell r="O391" t="str">
            <v>50001041</v>
          </cell>
          <cell r="P391" t="str">
            <v>مشرف الإرشاد والخدمات الصحية للثروة النباتية</v>
          </cell>
          <cell r="Q391" t="str">
            <v>الدرجة 6</v>
          </cell>
          <cell r="R391" t="str">
            <v/>
          </cell>
          <cell r="S391" t="str">
            <v/>
          </cell>
          <cell r="T391" t="str">
            <v/>
          </cell>
          <cell r="U391" t="str">
            <v>عمليات الفروع</v>
          </cell>
          <cell r="V391" t="str">
            <v>الفروع</v>
          </cell>
          <cell r="W391" t="str">
            <v>Al Riyadh</v>
          </cell>
          <cell r="X391" t="str">
            <v xml:space="preserve">الفرع </v>
          </cell>
          <cell r="Y391">
            <v>44805</v>
          </cell>
          <cell r="Z391">
            <v>3.79</v>
          </cell>
          <cell r="AA391">
            <v>1385</v>
          </cell>
          <cell r="AB391" t="str">
            <v>غير نشط</v>
          </cell>
          <cell r="AC391" t="str">
            <v>400256</v>
          </cell>
          <cell r="AD391" t="str">
            <v>Majed Alfaraj</v>
          </cell>
          <cell r="AE391" t="str">
            <v>إعارة</v>
          </cell>
          <cell r="AF391">
            <v>45386</v>
          </cell>
          <cell r="AG391" t="str">
            <v/>
          </cell>
          <cell r="AH391" t="str">
            <v/>
          </cell>
          <cell r="AI391" t="str">
            <v/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 t="str">
            <v/>
          </cell>
          <cell r="AO391" t="str">
            <v>Corp Extension &amp; Protection</v>
          </cell>
          <cell r="AP391" t="str">
            <v>Saudi National Bank</v>
          </cell>
          <cell r="AQ391" t="str">
            <v>SA4910000020523287000104</v>
          </cell>
          <cell r="AR391">
            <v>19135</v>
          </cell>
          <cell r="AS391" t="str">
            <v/>
          </cell>
          <cell r="AT391">
            <v>1013.5</v>
          </cell>
          <cell r="AU391">
            <v>4783.75</v>
          </cell>
          <cell r="AV391" t="str">
            <v/>
          </cell>
        </row>
        <row r="392">
          <cell r="A392">
            <v>400211</v>
          </cell>
          <cell r="B392" t="str">
            <v>1081978312</v>
          </cell>
          <cell r="C392" t="str">
            <v>السيد</v>
          </cell>
          <cell r="D392" t="str">
            <v>Nawaf Alsunitan</v>
          </cell>
          <cell r="E392" t="str">
            <v>نواف   الصنيتان</v>
          </cell>
          <cell r="F392" t="str">
            <v>Male</v>
          </cell>
          <cell r="G392" t="str">
            <v>أعزب</v>
          </cell>
          <cell r="H392">
            <v>32015</v>
          </cell>
          <cell r="I392">
            <v>39</v>
          </cell>
          <cell r="J392">
            <v>14175</v>
          </cell>
          <cell r="K392" t="str">
            <v>NALSUNTIAN@agriserv.com.sa</v>
          </cell>
          <cell r="L392" t="str">
            <v>0533336599</v>
          </cell>
          <cell r="M392" t="str">
            <v/>
          </cell>
          <cell r="N392" t="str">
            <v>المملكة العربية السعودية</v>
          </cell>
          <cell r="O392" t="str">
            <v>50001042</v>
          </cell>
          <cell r="P392" t="str">
            <v>مهندس زراعي</v>
          </cell>
          <cell r="Q392" t="str">
            <v>الدرجة 3</v>
          </cell>
          <cell r="R392" t="str">
            <v/>
          </cell>
          <cell r="S392" t="str">
            <v/>
          </cell>
          <cell r="T392" t="str">
            <v>مكافحة الجراد</v>
          </cell>
          <cell r="U392" t="str">
            <v>الخدمات الصحية و الإرشاد ودعم التسويق للثروة النباتية</v>
          </cell>
          <cell r="V392" t="str">
            <v>العمليات</v>
          </cell>
          <cell r="W392" t="str">
            <v>Al Riyadh</v>
          </cell>
          <cell r="X392" t="str">
            <v xml:space="preserve">الفرع </v>
          </cell>
          <cell r="Y392">
            <v>44805</v>
          </cell>
          <cell r="Z392">
            <v>3.79</v>
          </cell>
          <cell r="AA392">
            <v>1385</v>
          </cell>
          <cell r="AB392" t="str">
            <v>غير نشط</v>
          </cell>
          <cell r="AC392" t="str">
            <v>400209</v>
          </cell>
          <cell r="AD392" t="str">
            <v>Yagoub Aljraid</v>
          </cell>
          <cell r="AE392" t="str">
            <v>إعارة</v>
          </cell>
          <cell r="AF392">
            <v>44957</v>
          </cell>
          <cell r="AG392" t="str">
            <v/>
          </cell>
          <cell r="AH392" t="str">
            <v/>
          </cell>
          <cell r="AI392" t="str">
            <v/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 t="str">
            <v/>
          </cell>
          <cell r="AO392" t="str">
            <v>Corp Extension &amp; Protection</v>
          </cell>
          <cell r="AP392" t="str">
            <v>Al Rajhi Bank</v>
          </cell>
          <cell r="AQ392" t="str">
            <v>SA3680000204608010831554</v>
          </cell>
          <cell r="AR392">
            <v>9670</v>
          </cell>
          <cell r="AS392" t="str">
            <v/>
          </cell>
          <cell r="AT392">
            <v>267</v>
          </cell>
          <cell r="AU392">
            <v>2417.5</v>
          </cell>
          <cell r="AV392" t="str">
            <v/>
          </cell>
        </row>
        <row r="393">
          <cell r="A393">
            <v>400212</v>
          </cell>
          <cell r="B393" t="str">
            <v>1004810253</v>
          </cell>
          <cell r="C393" t="str">
            <v>السيد</v>
          </cell>
          <cell r="D393" t="str">
            <v>Sulaiman Aljuaed</v>
          </cell>
          <cell r="E393" t="str">
            <v>سليمان   الجويد</v>
          </cell>
          <cell r="F393" t="str">
            <v>Male</v>
          </cell>
          <cell r="G393" t="str">
            <v>أعزب</v>
          </cell>
          <cell r="H393">
            <v>24040</v>
          </cell>
          <cell r="I393">
            <v>61</v>
          </cell>
          <cell r="J393">
            <v>22150</v>
          </cell>
          <cell r="K393" t="str">
            <v>E1384@agriserv.com.sa</v>
          </cell>
          <cell r="L393" t="str">
            <v>0504497106</v>
          </cell>
          <cell r="M393" t="str">
            <v/>
          </cell>
          <cell r="N393" t="str">
            <v>المملكة العربية السعودية</v>
          </cell>
          <cell r="O393" t="str">
            <v>50001043</v>
          </cell>
          <cell r="P393" t="str">
            <v>أخصائي أول بحوث الثروة الحيوانية</v>
          </cell>
          <cell r="Q393" t="str">
            <v>الدرجة ٥</v>
          </cell>
          <cell r="R393" t="str">
            <v/>
          </cell>
          <cell r="S393" t="str">
            <v/>
          </cell>
          <cell r="T393" t="str">
            <v>الخدمات الصحية و الإرشاد ودعم التسويق للثروة الحيوانية</v>
          </cell>
          <cell r="U393" t="str">
            <v>العمليات</v>
          </cell>
          <cell r="V393" t="str">
            <v>العمليات</v>
          </cell>
          <cell r="W393" t="str">
            <v>Al Riyadh</v>
          </cell>
          <cell r="X393" t="str">
            <v xml:space="preserve">الفرع </v>
          </cell>
          <cell r="Y393">
            <v>44805</v>
          </cell>
          <cell r="Z393">
            <v>3.79</v>
          </cell>
          <cell r="AA393">
            <v>1385</v>
          </cell>
          <cell r="AB393" t="str">
            <v>غير نشط</v>
          </cell>
          <cell r="AC393" t="str">
            <v>400209</v>
          </cell>
          <cell r="AD393" t="str">
            <v>Yagoub Aljraid</v>
          </cell>
          <cell r="AE393" t="str">
            <v>إعارة</v>
          </cell>
          <cell r="AF393">
            <v>45016</v>
          </cell>
          <cell r="AG393" t="str">
            <v/>
          </cell>
          <cell r="AH393" t="str">
            <v/>
          </cell>
          <cell r="AI393" t="str">
            <v/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 t="str">
            <v/>
          </cell>
          <cell r="AO393" t="str">
            <v>Livestock Extension &amp; Protection</v>
          </cell>
          <cell r="AP393" t="str">
            <v>Arab National Bank</v>
          </cell>
          <cell r="AQ393" t="str">
            <v>SA2530400108008123570012</v>
          </cell>
          <cell r="AR393">
            <v>18705</v>
          </cell>
          <cell r="AS393" t="str">
            <v/>
          </cell>
          <cell r="AT393">
            <v>970.5</v>
          </cell>
          <cell r="AU393">
            <v>4676.25</v>
          </cell>
          <cell r="AV393" t="str">
            <v/>
          </cell>
        </row>
        <row r="394">
          <cell r="A394">
            <v>400213</v>
          </cell>
          <cell r="B394" t="str">
            <v>1000533859</v>
          </cell>
          <cell r="C394" t="str">
            <v>السيد</v>
          </cell>
          <cell r="D394" t="str">
            <v>Abdulrahman Mahmood Huemed Althmali</v>
          </cell>
          <cell r="E394" t="str">
            <v>عبدالرحمن محمود حويمد الثمالي</v>
          </cell>
          <cell r="F394" t="str">
            <v>Male</v>
          </cell>
          <cell r="G394" t="str">
            <v>أعزب</v>
          </cell>
          <cell r="H394">
            <v>24955</v>
          </cell>
          <cell r="I394">
            <v>58</v>
          </cell>
          <cell r="J394">
            <v>21235</v>
          </cell>
          <cell r="K394" t="str">
            <v>E439@agriserv.com.sa</v>
          </cell>
          <cell r="L394" t="str">
            <v>0569352222</v>
          </cell>
          <cell r="M394" t="str">
            <v/>
          </cell>
          <cell r="N394" t="str">
            <v>المملكة العربية السعودية</v>
          </cell>
          <cell r="O394" t="str">
            <v>50001044</v>
          </cell>
          <cell r="P394" t="str">
            <v>مساعد مشرف المستشفيات البيطرية</v>
          </cell>
          <cell r="Q394" t="str">
            <v>الدرجة 7</v>
          </cell>
          <cell r="R394" t="str">
            <v/>
          </cell>
          <cell r="S394" t="str">
            <v/>
          </cell>
          <cell r="T394" t="str">
            <v/>
          </cell>
          <cell r="U394" t="str">
            <v>الخدمات الصحية و الإرشاد ودعم التسويق للثروة الحيوانية</v>
          </cell>
          <cell r="V394" t="str">
            <v>العمليات</v>
          </cell>
          <cell r="W394" t="str">
            <v>Al Riyadh</v>
          </cell>
          <cell r="X394" t="str">
            <v xml:space="preserve">المقر الرئيسي </v>
          </cell>
          <cell r="Y394">
            <v>44805</v>
          </cell>
          <cell r="Z394">
            <v>3.79</v>
          </cell>
          <cell r="AA394">
            <v>1385</v>
          </cell>
          <cell r="AB394" t="str">
            <v>غير نشط</v>
          </cell>
          <cell r="AC394" t="str">
            <v>400003</v>
          </cell>
          <cell r="AD394" t="str">
            <v>Ibrahim Bukhari</v>
          </cell>
          <cell r="AE394" t="str">
            <v>إعارة</v>
          </cell>
          <cell r="AF394">
            <v>45230</v>
          </cell>
          <cell r="AG394" t="str">
            <v/>
          </cell>
          <cell r="AH394" t="str">
            <v/>
          </cell>
          <cell r="AI394" t="str">
            <v/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 t="str">
            <v/>
          </cell>
          <cell r="AO394" t="str">
            <v>Livestock Extension &amp; Protection</v>
          </cell>
          <cell r="AP394" t="str">
            <v>Bank Al Bilad</v>
          </cell>
          <cell r="AQ394" t="str">
            <v>SA2015000701103573150005</v>
          </cell>
          <cell r="AR394">
            <v>21835</v>
          </cell>
          <cell r="AS394" t="str">
            <v/>
          </cell>
          <cell r="AT394">
            <v>1283.5</v>
          </cell>
          <cell r="AU394">
            <v>5458.75</v>
          </cell>
          <cell r="AV394" t="str">
            <v/>
          </cell>
        </row>
        <row r="395">
          <cell r="A395">
            <v>400214</v>
          </cell>
          <cell r="B395" t="str">
            <v>1068577814</v>
          </cell>
          <cell r="C395" t="str">
            <v>السيد</v>
          </cell>
          <cell r="D395" t="str">
            <v>Ibraheem Mohammed Zaid Alhelal</v>
          </cell>
          <cell r="E395" t="str">
            <v>ابراهيم محمد زيد الهلال</v>
          </cell>
          <cell r="F395" t="str">
            <v>Male</v>
          </cell>
          <cell r="G395" t="str">
            <v>أعزب</v>
          </cell>
          <cell r="H395">
            <v>32378</v>
          </cell>
          <cell r="I395">
            <v>38</v>
          </cell>
          <cell r="J395">
            <v>13812</v>
          </cell>
          <cell r="K395" t="str">
            <v>ibraheem.Alhelal@agriserv.sa</v>
          </cell>
          <cell r="L395" t="str">
            <v>0503343252</v>
          </cell>
          <cell r="M395" t="str">
            <v/>
          </cell>
          <cell r="N395" t="str">
            <v>المملكة العربية السعودية</v>
          </cell>
          <cell r="O395" t="str">
            <v>50001045</v>
          </cell>
          <cell r="P395" t="str">
            <v>محلل تشغيل الأسطول</v>
          </cell>
          <cell r="Q395" t="str">
            <v>الدرجة 3</v>
          </cell>
          <cell r="R395" t="str">
            <v>Class A</v>
          </cell>
          <cell r="S395" t="str">
            <v/>
          </cell>
          <cell r="T395" t="str">
            <v>محافظة  حوطة بني تميم</v>
          </cell>
          <cell r="U395" t="str">
            <v>عمليات الفروع</v>
          </cell>
          <cell r="V395" t="str">
            <v>الفروع</v>
          </cell>
          <cell r="W395" t="str">
            <v>Al Riyadh</v>
          </cell>
          <cell r="X395" t="str">
            <v xml:space="preserve">الفرع </v>
          </cell>
          <cell r="Y395">
            <v>44805</v>
          </cell>
          <cell r="Z395">
            <v>3.79</v>
          </cell>
          <cell r="AA395">
            <v>1385</v>
          </cell>
          <cell r="AB395" t="str">
            <v>غير نشط</v>
          </cell>
          <cell r="AC395" t="str">
            <v>400188</v>
          </cell>
          <cell r="AD395" t="str">
            <v>Sultan Masraa</v>
          </cell>
          <cell r="AE395" t="str">
            <v>إعارة</v>
          </cell>
          <cell r="AF395">
            <v>45956</v>
          </cell>
          <cell r="AG395" t="str">
            <v/>
          </cell>
          <cell r="AH395" t="str">
            <v>ثانوية</v>
          </cell>
          <cell r="AI395" t="str">
            <v>شهادة المدرسة الثانوية</v>
          </cell>
          <cell r="AJ395">
            <v>1</v>
          </cell>
          <cell r="AK395">
            <v>0</v>
          </cell>
          <cell r="AL395">
            <v>0</v>
          </cell>
          <cell r="AM395">
            <v>1</v>
          </cell>
          <cell r="AN395" t="str">
            <v/>
          </cell>
          <cell r="AO395" t="str">
            <v>Administrative Affairs</v>
          </cell>
          <cell r="AP395" t="str">
            <v>Saudi National Bank</v>
          </cell>
          <cell r="AQ395" t="str">
            <v>SA6610000024476324000100</v>
          </cell>
          <cell r="AR395">
            <v>7895</v>
          </cell>
          <cell r="AS395" t="str">
            <v/>
          </cell>
          <cell r="AT395">
            <v>89.5</v>
          </cell>
          <cell r="AU395">
            <v>1973.75</v>
          </cell>
          <cell r="AV395" t="str">
            <v/>
          </cell>
        </row>
        <row r="396">
          <cell r="A396">
            <v>400215</v>
          </cell>
          <cell r="B396" t="str">
            <v>1091073823</v>
          </cell>
          <cell r="C396" t="str">
            <v>السيد</v>
          </cell>
          <cell r="D396" t="str">
            <v>Raeed Anwar Gazei Baghdadi</v>
          </cell>
          <cell r="E396" t="str">
            <v>رائد انور غازي بغدادي</v>
          </cell>
          <cell r="F396" t="str">
            <v>Male</v>
          </cell>
          <cell r="G396" t="str">
            <v>متزوج</v>
          </cell>
          <cell r="H396">
            <v>34442</v>
          </cell>
          <cell r="I396">
            <v>32</v>
          </cell>
          <cell r="J396">
            <v>11748</v>
          </cell>
          <cell r="K396" t="str">
            <v>Raeed.Baghdadi@agriserv.sa</v>
          </cell>
          <cell r="L396" t="str">
            <v>0563558981</v>
          </cell>
          <cell r="M396" t="str">
            <v/>
          </cell>
          <cell r="N396" t="str">
            <v>المملكة العربية السعودية</v>
          </cell>
          <cell r="O396" t="str">
            <v>50001046</v>
          </cell>
          <cell r="P396" t="str">
            <v>أخصائي إدارة الأسطول</v>
          </cell>
          <cell r="Q396" t="str">
            <v>الدرجة ٥</v>
          </cell>
          <cell r="R396" t="str">
            <v>Class A</v>
          </cell>
          <cell r="S396" t="str">
            <v/>
          </cell>
          <cell r="T396" t="str">
            <v>إدارة الأسطول</v>
          </cell>
          <cell r="U396" t="str">
            <v>الشؤون الإدارية</v>
          </cell>
          <cell r="V396" t="str">
            <v>الخدمات المشتركة</v>
          </cell>
          <cell r="W396" t="str">
            <v>Al Riyadh</v>
          </cell>
          <cell r="X396" t="str">
            <v xml:space="preserve">الفرع </v>
          </cell>
          <cell r="Y396">
            <v>44805</v>
          </cell>
          <cell r="Z396">
            <v>3.79</v>
          </cell>
          <cell r="AA396">
            <v>1385</v>
          </cell>
          <cell r="AB396" t="str">
            <v>غير نشط</v>
          </cell>
          <cell r="AC396" t="str">
            <v>100005</v>
          </cell>
          <cell r="AD396" t="str">
            <v>Khalid Alghannam</v>
          </cell>
          <cell r="AE396" t="str">
            <v>إعارة</v>
          </cell>
          <cell r="AF396">
            <v>45535</v>
          </cell>
          <cell r="AG396" t="str">
            <v/>
          </cell>
          <cell r="AH396" t="str">
            <v>ثانوية</v>
          </cell>
          <cell r="AI396" t="str">
            <v>شهادة المدرسة الثانوية</v>
          </cell>
          <cell r="AJ396">
            <v>4</v>
          </cell>
          <cell r="AK396">
            <v>1</v>
          </cell>
          <cell r="AL396">
            <v>1</v>
          </cell>
          <cell r="AM396">
            <v>2</v>
          </cell>
          <cell r="AN396" t="str">
            <v/>
          </cell>
          <cell r="AO396" t="str">
            <v>Administrative Affairs</v>
          </cell>
          <cell r="AP396" t="str">
            <v>Riyad Bank</v>
          </cell>
          <cell r="AQ396" t="str">
            <v>SA7520000002245148549940</v>
          </cell>
          <cell r="AR396">
            <v>5465</v>
          </cell>
          <cell r="AS396" t="str">
            <v/>
          </cell>
          <cell r="AT396">
            <v>46.5</v>
          </cell>
          <cell r="AU396">
            <v>1366.25</v>
          </cell>
          <cell r="AV396" t="str">
            <v/>
          </cell>
        </row>
        <row r="397">
          <cell r="A397">
            <v>400216</v>
          </cell>
          <cell r="B397" t="str">
            <v>1049054057</v>
          </cell>
          <cell r="C397" t="str">
            <v>السيد</v>
          </cell>
          <cell r="D397" t="str">
            <v>Turki Abdullah Oraig Alotaibi</v>
          </cell>
          <cell r="E397" t="str">
            <v>تركي عبدالله عريج العتيبي</v>
          </cell>
          <cell r="F397" t="str">
            <v>Male</v>
          </cell>
          <cell r="G397" t="str">
            <v>متزوج</v>
          </cell>
          <cell r="H397">
            <v>30434</v>
          </cell>
          <cell r="I397">
            <v>43</v>
          </cell>
          <cell r="J397">
            <v>15756</v>
          </cell>
          <cell r="K397" t="str">
            <v>Turki.AlOtaibi@agriserv.sa</v>
          </cell>
          <cell r="L397" t="str">
            <v>0564988808</v>
          </cell>
          <cell r="M397" t="str">
            <v>3502</v>
          </cell>
          <cell r="N397" t="str">
            <v>المملكة العربية السعودية</v>
          </cell>
          <cell r="O397" t="str">
            <v>50001047</v>
          </cell>
          <cell r="P397" t="str">
            <v>محلل تشغيل الأسطول</v>
          </cell>
          <cell r="Q397" t="str">
            <v>الدرجة 3</v>
          </cell>
          <cell r="R397" t="str">
            <v>Class A</v>
          </cell>
          <cell r="S397" t="str">
            <v/>
          </cell>
          <cell r="T397" t="str">
            <v>محافظة  شقراء</v>
          </cell>
          <cell r="U397" t="str">
            <v>عمليات الفروع</v>
          </cell>
          <cell r="V397" t="str">
            <v>الفروع</v>
          </cell>
          <cell r="W397" t="str">
            <v>Al Riyadh</v>
          </cell>
          <cell r="X397" t="str">
            <v xml:space="preserve">الفرع </v>
          </cell>
          <cell r="Y397">
            <v>44835</v>
          </cell>
          <cell r="Z397">
            <v>3.71</v>
          </cell>
          <cell r="AA397">
            <v>1355</v>
          </cell>
          <cell r="AB397" t="str">
            <v>نشط</v>
          </cell>
          <cell r="AC397" t="str">
            <v>400240</v>
          </cell>
          <cell r="AD397" t="str">
            <v>Abdulghani Almohsen</v>
          </cell>
          <cell r="AE397" t="str">
            <v>إعارة</v>
          </cell>
          <cell r="AF397" t="str">
            <v/>
          </cell>
          <cell r="AG397" t="str">
            <v/>
          </cell>
          <cell r="AH397" t="str">
            <v>ثانوية</v>
          </cell>
          <cell r="AI397" t="str">
            <v>شهادة المدرسة الثانوية</v>
          </cell>
          <cell r="AJ397">
            <v>6</v>
          </cell>
          <cell r="AK397">
            <v>3</v>
          </cell>
          <cell r="AL397">
            <v>1</v>
          </cell>
          <cell r="AM397">
            <v>2</v>
          </cell>
          <cell r="AN397" t="str">
            <v/>
          </cell>
          <cell r="AO397" t="str">
            <v>عمليات الفروع</v>
          </cell>
          <cell r="AP397" t="str">
            <v>Al Rajhi Bank</v>
          </cell>
          <cell r="AQ397" t="str">
            <v>SA7580000448608010092898</v>
          </cell>
          <cell r="AR397">
            <v>20150</v>
          </cell>
          <cell r="AS397" t="str">
            <v/>
          </cell>
          <cell r="AT397">
            <v>800</v>
          </cell>
          <cell r="AU397">
            <v>2537.5</v>
          </cell>
          <cell r="AV397" t="str">
            <v/>
          </cell>
        </row>
        <row r="398">
          <cell r="A398">
            <v>400217</v>
          </cell>
          <cell r="B398" t="str">
            <v>1080472275</v>
          </cell>
          <cell r="C398" t="str">
            <v>السيد</v>
          </cell>
          <cell r="D398" t="str">
            <v>Saad Ibrahim Saad Albalam</v>
          </cell>
          <cell r="E398" t="str">
            <v>سعد ابراهيم سعد البلم</v>
          </cell>
          <cell r="F398" t="str">
            <v>Male</v>
          </cell>
          <cell r="G398" t="str">
            <v>أعزب</v>
          </cell>
          <cell r="H398">
            <v>34380</v>
          </cell>
          <cell r="I398">
            <v>32</v>
          </cell>
          <cell r="J398">
            <v>11810</v>
          </cell>
          <cell r="K398" t="str">
            <v>SIALBALAM@agriserv.com.sa</v>
          </cell>
          <cell r="L398" t="str">
            <v>0567890872</v>
          </cell>
          <cell r="M398" t="str">
            <v/>
          </cell>
          <cell r="N398" t="str">
            <v>المملكة العربية السعودية</v>
          </cell>
          <cell r="O398" t="str">
            <v>50001048</v>
          </cell>
          <cell r="P398" t="str">
            <v>أخصائي أول الرقابة والتفتيش للثروة الحيوانية</v>
          </cell>
          <cell r="Q398" t="str">
            <v>الدرجة ٥</v>
          </cell>
          <cell r="R398" t="str">
            <v/>
          </cell>
          <cell r="S398" t="str">
            <v/>
          </cell>
          <cell r="T398" t="str">
            <v>محافظة   مرات</v>
          </cell>
          <cell r="U398" t="str">
            <v>عمليات الفروع</v>
          </cell>
          <cell r="V398" t="str">
            <v>الفروع</v>
          </cell>
          <cell r="W398" t="str">
            <v>Al Riyadh</v>
          </cell>
          <cell r="X398" t="str">
            <v xml:space="preserve">الفرع </v>
          </cell>
          <cell r="Y398">
            <v>44835</v>
          </cell>
          <cell r="Z398">
            <v>3.71</v>
          </cell>
          <cell r="AA398">
            <v>1355</v>
          </cell>
          <cell r="AB398" t="str">
            <v>غير نشط</v>
          </cell>
          <cell r="AC398" t="str">
            <v>100036</v>
          </cell>
          <cell r="AD398" t="str">
            <v>Ibrahim Alkhuzam</v>
          </cell>
          <cell r="AE398" t="str">
            <v>إعارة</v>
          </cell>
          <cell r="AF398">
            <v>45395</v>
          </cell>
          <cell r="AG398" t="str">
            <v/>
          </cell>
          <cell r="AH398" t="str">
            <v/>
          </cell>
          <cell r="AI398" t="str">
            <v/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 t="str">
            <v/>
          </cell>
          <cell r="AO398" t="str">
            <v>Enforcement</v>
          </cell>
          <cell r="AP398" t="str">
            <v>Inma Bank</v>
          </cell>
          <cell r="AQ398" t="str">
            <v>SA6005000068201739391000</v>
          </cell>
          <cell r="AR398">
            <v>9097</v>
          </cell>
          <cell r="AS398" t="str">
            <v/>
          </cell>
          <cell r="AT398">
            <v>409.7</v>
          </cell>
          <cell r="AU398">
            <v>2274.25</v>
          </cell>
          <cell r="AV398" t="str">
            <v/>
          </cell>
        </row>
        <row r="399">
          <cell r="A399">
            <v>400218</v>
          </cell>
          <cell r="B399" t="str">
            <v>1079261648</v>
          </cell>
          <cell r="C399" t="str">
            <v>السيد</v>
          </cell>
          <cell r="D399" t="str">
            <v>Abdullah Nafea Ayed Alsubaihi</v>
          </cell>
          <cell r="E399" t="str">
            <v>عبدالله نافع عايد الصبيحي</v>
          </cell>
          <cell r="F399" t="str">
            <v>Male</v>
          </cell>
          <cell r="G399" t="str">
            <v>أعزب</v>
          </cell>
          <cell r="H399">
            <v>33934</v>
          </cell>
          <cell r="I399">
            <v>34</v>
          </cell>
          <cell r="J399">
            <v>12256</v>
          </cell>
          <cell r="K399" t="str">
            <v>Abdullah.AlSubaihi@agriserv.sa</v>
          </cell>
          <cell r="L399" t="str">
            <v>0555341559</v>
          </cell>
          <cell r="M399" t="str">
            <v/>
          </cell>
          <cell r="N399" t="str">
            <v>المملكة العربية السعودية</v>
          </cell>
          <cell r="O399" t="str">
            <v>50001049</v>
          </cell>
          <cell r="P399" t="str">
            <v>طبيب بيطري</v>
          </cell>
          <cell r="Q399" t="str">
            <v>الدرجة 3</v>
          </cell>
          <cell r="R399" t="str">
            <v>Class A</v>
          </cell>
          <cell r="S399" t="str">
            <v/>
          </cell>
          <cell r="T399" t="str">
            <v>محافظة  عفيف</v>
          </cell>
          <cell r="U399" t="str">
            <v>عمليات الفروع</v>
          </cell>
          <cell r="V399" t="str">
            <v>الفروع</v>
          </cell>
          <cell r="W399" t="str">
            <v>Al Riyadh</v>
          </cell>
          <cell r="X399" t="str">
            <v xml:space="preserve">الفرع </v>
          </cell>
          <cell r="Y399">
            <v>44835</v>
          </cell>
          <cell r="Z399">
            <v>3.71</v>
          </cell>
          <cell r="AA399">
            <v>1355</v>
          </cell>
          <cell r="AB399" t="str">
            <v>نشط</v>
          </cell>
          <cell r="AC399" t="str">
            <v>400189</v>
          </cell>
          <cell r="AD399" t="str">
            <v>Mahdi Alesa</v>
          </cell>
          <cell r="AE399" t="str">
            <v>إعارة</v>
          </cell>
          <cell r="AF399" t="str">
            <v/>
          </cell>
          <cell r="AG399" t="str">
            <v/>
          </cell>
          <cell r="AH399" t="str">
            <v>ثانوية</v>
          </cell>
          <cell r="AI399" t="str">
            <v>شهادة المدرسة الثانوية</v>
          </cell>
          <cell r="AJ399">
            <v>2</v>
          </cell>
          <cell r="AK399">
            <v>0</v>
          </cell>
          <cell r="AL399">
            <v>0</v>
          </cell>
          <cell r="AM399">
            <v>2</v>
          </cell>
          <cell r="AN399" t="str">
            <v/>
          </cell>
          <cell r="AO399" t="str">
            <v>عمليات الفروع</v>
          </cell>
          <cell r="AP399" t="str">
            <v>Al Rajhi Bank</v>
          </cell>
          <cell r="AQ399" t="str">
            <v>SA7880000493608010057226</v>
          </cell>
          <cell r="AR399">
            <v>10030</v>
          </cell>
          <cell r="AS399" t="str">
            <v/>
          </cell>
          <cell r="AT399">
            <v>503</v>
          </cell>
          <cell r="AU399">
            <v>2507.5</v>
          </cell>
          <cell r="AV399" t="str">
            <v/>
          </cell>
        </row>
        <row r="400">
          <cell r="A400">
            <v>400219</v>
          </cell>
          <cell r="B400" t="str">
            <v>1070392186</v>
          </cell>
          <cell r="C400" t="str">
            <v>السيد</v>
          </cell>
          <cell r="D400" t="str">
            <v>Yousef Hulayyil Saleh Alharbi</v>
          </cell>
          <cell r="E400" t="str">
            <v>يوسف هليل صالح الحربي</v>
          </cell>
          <cell r="F400" t="str">
            <v>Male</v>
          </cell>
          <cell r="G400" t="str">
            <v>أعزب</v>
          </cell>
          <cell r="H400">
            <v>32976</v>
          </cell>
          <cell r="I400">
            <v>36</v>
          </cell>
          <cell r="J400">
            <v>13214</v>
          </cell>
          <cell r="K400" t="str">
            <v>Youssef.AlHarbi@agriserv.sa</v>
          </cell>
          <cell r="L400" t="str">
            <v>0563322750</v>
          </cell>
          <cell r="M400" t="str">
            <v/>
          </cell>
          <cell r="N400" t="str">
            <v>المملكة العربية السعودية</v>
          </cell>
          <cell r="O400" t="str">
            <v>50001050</v>
          </cell>
          <cell r="P400" t="str">
            <v>طبيب بيطري</v>
          </cell>
          <cell r="Q400" t="str">
            <v>الدرجة 3</v>
          </cell>
          <cell r="R400" t="str">
            <v>Class A</v>
          </cell>
          <cell r="S400" t="str">
            <v/>
          </cell>
          <cell r="T400" t="str">
            <v>محافظة  المجمعه</v>
          </cell>
          <cell r="U400" t="str">
            <v>عمليات الفروع</v>
          </cell>
          <cell r="V400" t="str">
            <v>الفروع</v>
          </cell>
          <cell r="W400" t="str">
            <v>Al Riyadh</v>
          </cell>
          <cell r="X400" t="str">
            <v xml:space="preserve">الفرع </v>
          </cell>
          <cell r="Y400">
            <v>44835</v>
          </cell>
          <cell r="Z400">
            <v>3.71</v>
          </cell>
          <cell r="AA400">
            <v>1355</v>
          </cell>
          <cell r="AB400" t="str">
            <v>نشط</v>
          </cell>
          <cell r="AC400" t="str">
            <v>400106</v>
          </cell>
          <cell r="AD400" t="str">
            <v>Turki Almukhaimer</v>
          </cell>
          <cell r="AE400" t="str">
            <v>إعارة</v>
          </cell>
          <cell r="AF400" t="str">
            <v/>
          </cell>
          <cell r="AG400" t="str">
            <v/>
          </cell>
          <cell r="AH400" t="str">
            <v>ثانوية</v>
          </cell>
          <cell r="AI400" t="str">
            <v>شهادة المدرسة الثانوية</v>
          </cell>
          <cell r="AJ400">
            <v>2</v>
          </cell>
          <cell r="AK400">
            <v>0</v>
          </cell>
          <cell r="AL400">
            <v>0</v>
          </cell>
          <cell r="AM400">
            <v>2</v>
          </cell>
          <cell r="AN400" t="str">
            <v/>
          </cell>
          <cell r="AO400" t="str">
            <v>عمليات الفروع</v>
          </cell>
          <cell r="AP400" t="str">
            <v>Al Rajhi Bank</v>
          </cell>
          <cell r="AQ400" t="str">
            <v>SA1080000340608010185022</v>
          </cell>
          <cell r="AR400">
            <v>9934</v>
          </cell>
          <cell r="AS400" t="str">
            <v/>
          </cell>
          <cell r="AT400">
            <v>493.4</v>
          </cell>
          <cell r="AU400">
            <v>2483.5</v>
          </cell>
          <cell r="AV400" t="str">
            <v/>
          </cell>
        </row>
        <row r="401">
          <cell r="A401">
            <v>400220</v>
          </cell>
          <cell r="B401" t="str">
            <v>1073959718</v>
          </cell>
          <cell r="C401" t="str">
            <v>السيد</v>
          </cell>
          <cell r="D401" t="str">
            <v>Nahedh Saad Abdulaziz Alhaydan</v>
          </cell>
          <cell r="E401" t="str">
            <v>ناهض سعد عبدالعزيز الحيدان</v>
          </cell>
          <cell r="F401" t="str">
            <v>Male</v>
          </cell>
          <cell r="G401" t="str">
            <v>أعزب</v>
          </cell>
          <cell r="H401">
            <v>33910</v>
          </cell>
          <cell r="I401">
            <v>34</v>
          </cell>
          <cell r="J401">
            <v>12280</v>
          </cell>
          <cell r="K401" t="str">
            <v>Nahed.AlHaidan@agriserv.sa</v>
          </cell>
          <cell r="L401" t="str">
            <v>0548576609</v>
          </cell>
          <cell r="M401" t="str">
            <v/>
          </cell>
          <cell r="N401" t="str">
            <v>المملكة العربية السعودية</v>
          </cell>
          <cell r="O401" t="str">
            <v>50001051</v>
          </cell>
          <cell r="P401" t="str">
            <v>طبيب بيطري</v>
          </cell>
          <cell r="Q401" t="str">
            <v>الدرجة 3</v>
          </cell>
          <cell r="R401" t="str">
            <v>Class A</v>
          </cell>
          <cell r="S401" t="str">
            <v/>
          </cell>
          <cell r="T401" t="str">
            <v>عيادة بشمال الرياض</v>
          </cell>
          <cell r="U401" t="str">
            <v>عمليات الفروع</v>
          </cell>
          <cell r="V401" t="str">
            <v>الفروع</v>
          </cell>
          <cell r="W401" t="str">
            <v>Al Riyadh</v>
          </cell>
          <cell r="X401" t="str">
            <v xml:space="preserve">الفرع </v>
          </cell>
          <cell r="Y401">
            <v>44835</v>
          </cell>
          <cell r="Z401">
            <v>3.71</v>
          </cell>
          <cell r="AA401">
            <v>1355</v>
          </cell>
          <cell r="AB401" t="str">
            <v>نشط</v>
          </cell>
          <cell r="AC401" t="str">
            <v>400146</v>
          </cell>
          <cell r="AD401" t="str">
            <v>Talal Alotaibi</v>
          </cell>
          <cell r="AE401" t="str">
            <v>إعارة</v>
          </cell>
          <cell r="AF401" t="str">
            <v/>
          </cell>
          <cell r="AG401" t="str">
            <v/>
          </cell>
          <cell r="AH401" t="str">
            <v>ثانوية</v>
          </cell>
          <cell r="AI401" t="str">
            <v>شهادة المدرسة الثانوية</v>
          </cell>
          <cell r="AJ401">
            <v>2</v>
          </cell>
          <cell r="AK401">
            <v>0</v>
          </cell>
          <cell r="AL401">
            <v>0</v>
          </cell>
          <cell r="AM401">
            <v>2</v>
          </cell>
          <cell r="AN401" t="str">
            <v/>
          </cell>
          <cell r="AO401" t="str">
            <v>عمليات الفروع</v>
          </cell>
          <cell r="AP401" t="str">
            <v>Al Rajhi Bank</v>
          </cell>
          <cell r="AQ401" t="str">
            <v>SA8680000210608010686406</v>
          </cell>
          <cell r="AR401">
            <v>10125</v>
          </cell>
          <cell r="AS401" t="str">
            <v/>
          </cell>
          <cell r="AT401">
            <v>512.5</v>
          </cell>
          <cell r="AU401">
            <v>2531.25</v>
          </cell>
          <cell r="AV401" t="str">
            <v/>
          </cell>
        </row>
        <row r="402">
          <cell r="A402">
            <v>400221</v>
          </cell>
          <cell r="B402" t="str">
            <v>1069329942</v>
          </cell>
          <cell r="C402" t="str">
            <v>السيد</v>
          </cell>
          <cell r="D402" t="str">
            <v>Mousa Abdullah Fahad Alhussain</v>
          </cell>
          <cell r="E402" t="str">
            <v>موسى عبدالله فهد الحسين</v>
          </cell>
          <cell r="F402" t="str">
            <v>Male</v>
          </cell>
          <cell r="G402" t="str">
            <v>متزوج</v>
          </cell>
          <cell r="H402">
            <v>33227</v>
          </cell>
          <cell r="I402">
            <v>35</v>
          </cell>
          <cell r="J402">
            <v>12963</v>
          </cell>
          <cell r="K402" t="str">
            <v>Musa.AlHussein@agriserv.sa</v>
          </cell>
          <cell r="L402" t="str">
            <v>0547200199</v>
          </cell>
          <cell r="M402" t="str">
            <v/>
          </cell>
          <cell r="N402" t="str">
            <v>المملكة العربية السعودية</v>
          </cell>
          <cell r="O402" t="str">
            <v>50001052</v>
          </cell>
          <cell r="P402" t="str">
            <v>طبيب بيطري</v>
          </cell>
          <cell r="Q402" t="str">
            <v>الدرجة 3</v>
          </cell>
          <cell r="R402" t="str">
            <v>Class A</v>
          </cell>
          <cell r="S402" t="str">
            <v/>
          </cell>
          <cell r="T402" t="str">
            <v>رماح</v>
          </cell>
          <cell r="U402" t="str">
            <v>عمليات الفروع</v>
          </cell>
          <cell r="V402" t="str">
            <v>الفروع</v>
          </cell>
          <cell r="W402" t="str">
            <v>Al Riyadh</v>
          </cell>
          <cell r="X402" t="str">
            <v xml:space="preserve">الفرع </v>
          </cell>
          <cell r="Y402">
            <v>44835</v>
          </cell>
          <cell r="Z402">
            <v>3.71</v>
          </cell>
          <cell r="AA402">
            <v>1355</v>
          </cell>
          <cell r="AB402" t="str">
            <v>نشط</v>
          </cell>
          <cell r="AC402" t="str">
            <v>400226</v>
          </cell>
          <cell r="AD402" t="str">
            <v>Ahmad Alabbad</v>
          </cell>
          <cell r="AE402" t="str">
            <v>إعارة</v>
          </cell>
          <cell r="AF402" t="str">
            <v/>
          </cell>
          <cell r="AG402" t="str">
            <v/>
          </cell>
          <cell r="AH402" t="str">
            <v>ثانوية</v>
          </cell>
          <cell r="AI402" t="str">
            <v>شهادة المدرسة الثانوية</v>
          </cell>
          <cell r="AJ402">
            <v>5</v>
          </cell>
          <cell r="AK402">
            <v>2</v>
          </cell>
          <cell r="AL402">
            <v>1</v>
          </cell>
          <cell r="AM402">
            <v>2</v>
          </cell>
          <cell r="AN402" t="str">
            <v/>
          </cell>
          <cell r="AO402" t="str">
            <v>عمليات الفروع</v>
          </cell>
          <cell r="AP402" t="str">
            <v>Al Rajhi Bank</v>
          </cell>
          <cell r="AQ402" t="str">
            <v>SA2780000177608010758958</v>
          </cell>
          <cell r="AR402">
            <v>9551</v>
          </cell>
          <cell r="AS402" t="str">
            <v/>
          </cell>
          <cell r="AT402">
            <v>455.1</v>
          </cell>
          <cell r="AU402">
            <v>2387.75</v>
          </cell>
          <cell r="AV402" t="str">
            <v/>
          </cell>
        </row>
        <row r="403">
          <cell r="A403">
            <v>400222</v>
          </cell>
          <cell r="B403" t="str">
            <v>1070910193</v>
          </cell>
          <cell r="C403" t="str">
            <v>السيد</v>
          </cell>
          <cell r="D403" t="str">
            <v>Ali Hussein Ali Altaweel</v>
          </cell>
          <cell r="E403" t="str">
            <v>علي حسين علي الطويل</v>
          </cell>
          <cell r="F403" t="str">
            <v>Male</v>
          </cell>
          <cell r="G403" t="str">
            <v>متزوج</v>
          </cell>
          <cell r="H403">
            <v>33303</v>
          </cell>
          <cell r="I403">
            <v>35</v>
          </cell>
          <cell r="J403">
            <v>12887</v>
          </cell>
          <cell r="K403" t="str">
            <v>Ali.AlTaweel@agriserv.sa</v>
          </cell>
          <cell r="L403" t="str">
            <v>0548392265</v>
          </cell>
          <cell r="M403" t="str">
            <v/>
          </cell>
          <cell r="N403" t="str">
            <v>المملكة العربية السعودية</v>
          </cell>
          <cell r="O403" t="str">
            <v>50001053</v>
          </cell>
          <cell r="P403" t="str">
            <v>طبيب بيطري</v>
          </cell>
          <cell r="Q403" t="str">
            <v>الدرجة 3</v>
          </cell>
          <cell r="R403" t="str">
            <v>Class A</v>
          </cell>
          <cell r="S403" t="str">
            <v/>
          </cell>
          <cell r="T403" t="str">
            <v>محافظة ضرماء</v>
          </cell>
          <cell r="U403" t="str">
            <v>عمليات الفروع</v>
          </cell>
          <cell r="V403" t="str">
            <v>الفروع</v>
          </cell>
          <cell r="W403" t="str">
            <v>Al Riyadh</v>
          </cell>
          <cell r="X403" t="str">
            <v xml:space="preserve">الفرع </v>
          </cell>
          <cell r="Y403">
            <v>44835</v>
          </cell>
          <cell r="Z403">
            <v>3.71</v>
          </cell>
          <cell r="AA403">
            <v>1355</v>
          </cell>
          <cell r="AB403" t="str">
            <v>نشط</v>
          </cell>
          <cell r="AC403" t="str">
            <v>400244</v>
          </cell>
          <cell r="AD403" t="str">
            <v>Ridha Aldalwi</v>
          </cell>
          <cell r="AE403" t="str">
            <v>إعارة</v>
          </cell>
          <cell r="AF403" t="str">
            <v/>
          </cell>
          <cell r="AG403" t="str">
            <v/>
          </cell>
          <cell r="AH403" t="str">
            <v>ثانوية</v>
          </cell>
          <cell r="AI403" t="str">
            <v>شهادة المدرسة الثانوية</v>
          </cell>
          <cell r="AJ403">
            <v>4</v>
          </cell>
          <cell r="AK403">
            <v>1</v>
          </cell>
          <cell r="AL403">
            <v>1</v>
          </cell>
          <cell r="AM403">
            <v>2</v>
          </cell>
          <cell r="AN403" t="str">
            <v/>
          </cell>
          <cell r="AO403" t="str">
            <v>عمليات الفروع</v>
          </cell>
          <cell r="AP403" t="str">
            <v>Saudi National Bank</v>
          </cell>
          <cell r="AQ403" t="str">
            <v>SA8810000005773556000103</v>
          </cell>
          <cell r="AR403">
            <v>10029</v>
          </cell>
          <cell r="AS403" t="str">
            <v/>
          </cell>
          <cell r="AT403">
            <v>502.9</v>
          </cell>
          <cell r="AU403">
            <v>2507.25</v>
          </cell>
          <cell r="AV403" t="str">
            <v/>
          </cell>
        </row>
        <row r="404">
          <cell r="A404">
            <v>400223</v>
          </cell>
          <cell r="B404" t="str">
            <v>1061073191</v>
          </cell>
          <cell r="C404" t="str">
            <v>السيد</v>
          </cell>
          <cell r="D404" t="str">
            <v>Adel Abdullah Salman Alzaid</v>
          </cell>
          <cell r="E404" t="str">
            <v>عادل عبدالله سلمان الزيد</v>
          </cell>
          <cell r="F404" t="str">
            <v>Male</v>
          </cell>
          <cell r="G404" t="str">
            <v>متزوج</v>
          </cell>
          <cell r="H404">
            <v>32675</v>
          </cell>
          <cell r="I404">
            <v>37</v>
          </cell>
          <cell r="J404">
            <v>13515</v>
          </cell>
          <cell r="K404" t="str">
            <v>Adel.AlZaid@agriserv.sa</v>
          </cell>
          <cell r="L404" t="str">
            <v>0506941588</v>
          </cell>
          <cell r="M404" t="str">
            <v/>
          </cell>
          <cell r="N404" t="str">
            <v>المملكة العربية السعودية</v>
          </cell>
          <cell r="O404" t="str">
            <v>50001054</v>
          </cell>
          <cell r="P404" t="str">
            <v>طبيب بيطري</v>
          </cell>
          <cell r="Q404" t="str">
            <v>الدرجة 3</v>
          </cell>
          <cell r="R404" t="str">
            <v>Class A</v>
          </cell>
          <cell r="S404" t="str">
            <v>محجر الخفجي  (الشرقية)</v>
          </cell>
          <cell r="T404" t="str">
            <v>خدمات المحجر</v>
          </cell>
          <cell r="U404" t="str">
            <v>الاذونات وخدمات المحاجر</v>
          </cell>
          <cell r="V404" t="str">
            <v>العمليات</v>
          </cell>
          <cell r="W404" t="str">
            <v>Al-Khafji</v>
          </cell>
          <cell r="X404" t="str">
            <v xml:space="preserve">الفرع </v>
          </cell>
          <cell r="Y404">
            <v>44835</v>
          </cell>
          <cell r="Z404">
            <v>3.71</v>
          </cell>
          <cell r="AA404">
            <v>1355</v>
          </cell>
          <cell r="AB404" t="str">
            <v>نشط</v>
          </cell>
          <cell r="AC404" t="str">
            <v>100135</v>
          </cell>
          <cell r="AD404" t="str">
            <v>Abdulrahman Alzahrani</v>
          </cell>
          <cell r="AE404" t="str">
            <v>إعارة</v>
          </cell>
          <cell r="AF404" t="str">
            <v/>
          </cell>
          <cell r="AG404" t="str">
            <v/>
          </cell>
          <cell r="AH404" t="str">
            <v>ثانوية</v>
          </cell>
          <cell r="AI404" t="str">
            <v>شهادة المدرسة الثانوية</v>
          </cell>
          <cell r="AJ404">
            <v>6</v>
          </cell>
          <cell r="AK404">
            <v>3</v>
          </cell>
          <cell r="AL404">
            <v>1</v>
          </cell>
          <cell r="AM404">
            <v>2</v>
          </cell>
          <cell r="AN404" t="str">
            <v/>
          </cell>
          <cell r="AO404" t="str">
            <v>الاذونات وخدمات المحاجر</v>
          </cell>
          <cell r="AP404" t="str">
            <v>Banque Saudi Fransi</v>
          </cell>
          <cell r="AQ404" t="str">
            <v>SA5655000000048699500191</v>
          </cell>
          <cell r="AR404">
            <v>10029</v>
          </cell>
          <cell r="AS404" t="str">
            <v/>
          </cell>
          <cell r="AT404">
            <v>502.9</v>
          </cell>
          <cell r="AU404">
            <v>2507.25</v>
          </cell>
          <cell r="AV404" t="str">
            <v/>
          </cell>
        </row>
        <row r="405">
          <cell r="A405">
            <v>400224</v>
          </cell>
          <cell r="B405" t="str">
            <v>1076083706</v>
          </cell>
          <cell r="C405" t="str">
            <v>السيد</v>
          </cell>
          <cell r="D405" t="str">
            <v>Saud Yahya Abdullah Alhumaid</v>
          </cell>
          <cell r="E405" t="str">
            <v>سعود يحي عبدالله الحميد</v>
          </cell>
          <cell r="F405" t="str">
            <v>Male</v>
          </cell>
          <cell r="G405" t="str">
            <v>أعزب</v>
          </cell>
          <cell r="H405">
            <v>34063</v>
          </cell>
          <cell r="I405">
            <v>33</v>
          </cell>
          <cell r="J405">
            <v>12127</v>
          </cell>
          <cell r="K405" t="str">
            <v>Saud.Hamid@agriserv.sa</v>
          </cell>
          <cell r="L405" t="str">
            <v>0503644147</v>
          </cell>
          <cell r="M405" t="str">
            <v/>
          </cell>
          <cell r="N405" t="str">
            <v>المملكة العربية السعودية</v>
          </cell>
          <cell r="O405" t="str">
            <v>50001055</v>
          </cell>
          <cell r="P405" t="str">
            <v>طبيب بيطري</v>
          </cell>
          <cell r="Q405" t="str">
            <v>الدرجة 3</v>
          </cell>
          <cell r="R405" t="str">
            <v>Class A</v>
          </cell>
          <cell r="S405" t="str">
            <v/>
          </cell>
          <cell r="T405" t="str">
            <v>عمليات الفروع  بريدة</v>
          </cell>
          <cell r="U405" t="str">
            <v>عمليات الفروع</v>
          </cell>
          <cell r="V405" t="str">
            <v>الفروع</v>
          </cell>
          <cell r="W405" t="str">
            <v>Al Riyadh</v>
          </cell>
          <cell r="X405" t="str">
            <v xml:space="preserve">الفرع </v>
          </cell>
          <cell r="Y405">
            <v>44835</v>
          </cell>
          <cell r="Z405">
            <v>3.71</v>
          </cell>
          <cell r="AA405">
            <v>1355</v>
          </cell>
          <cell r="AB405" t="str">
            <v>نشط</v>
          </cell>
          <cell r="AC405" t="str">
            <v>400236</v>
          </cell>
          <cell r="AD405" t="str">
            <v>Jehad Aldhubayi</v>
          </cell>
          <cell r="AE405" t="str">
            <v>إعارة</v>
          </cell>
          <cell r="AF405" t="str">
            <v/>
          </cell>
          <cell r="AG405" t="str">
            <v/>
          </cell>
          <cell r="AH405" t="str">
            <v>ثانوية</v>
          </cell>
          <cell r="AI405" t="str">
            <v>شهادة المدرسة الثانوية</v>
          </cell>
          <cell r="AJ405">
            <v>1</v>
          </cell>
          <cell r="AK405">
            <v>0</v>
          </cell>
          <cell r="AL405">
            <v>0</v>
          </cell>
          <cell r="AM405">
            <v>1</v>
          </cell>
          <cell r="AN405" t="str">
            <v/>
          </cell>
          <cell r="AO405" t="str">
            <v>عمليات الفروع</v>
          </cell>
          <cell r="AP405" t="str">
            <v>Banque Saudi Fransi</v>
          </cell>
          <cell r="AQ405" t="str">
            <v>SA82550000000D0655000108</v>
          </cell>
          <cell r="AR405">
            <v>9837</v>
          </cell>
          <cell r="AS405" t="str">
            <v/>
          </cell>
          <cell r="AT405">
            <v>483.7</v>
          </cell>
          <cell r="AU405">
            <v>2459.25</v>
          </cell>
          <cell r="AV405" t="str">
            <v/>
          </cell>
        </row>
        <row r="406">
          <cell r="A406">
            <v>400225</v>
          </cell>
          <cell r="B406" t="str">
            <v>1080212127</v>
          </cell>
          <cell r="C406" t="str">
            <v>السيد</v>
          </cell>
          <cell r="D406" t="str">
            <v>Faisal Al-Otaibi</v>
          </cell>
          <cell r="E406" t="str">
            <v>فيصل   العتيبي</v>
          </cell>
          <cell r="F406" t="str">
            <v>Male</v>
          </cell>
          <cell r="G406" t="str">
            <v>أعزب</v>
          </cell>
          <cell r="H406">
            <v>33800</v>
          </cell>
          <cell r="I406">
            <v>34</v>
          </cell>
          <cell r="J406">
            <v>12390</v>
          </cell>
          <cell r="K406" t="str">
            <v>FAAALOTAIBI@agriserv.com.sa</v>
          </cell>
          <cell r="L406" t="str">
            <v>0503222379</v>
          </cell>
          <cell r="M406" t="str">
            <v/>
          </cell>
          <cell r="N406" t="str">
            <v>المملكة العربية السعودية</v>
          </cell>
          <cell r="O406" t="str">
            <v>50001056</v>
          </cell>
          <cell r="P406" t="str">
            <v>طبيب بيطري</v>
          </cell>
          <cell r="Q406" t="str">
            <v>الدرجة 3</v>
          </cell>
          <cell r="R406" t="str">
            <v/>
          </cell>
          <cell r="S406" t="str">
            <v/>
          </cell>
          <cell r="T406" t="str">
            <v>السيطرة على أمراض الثروة الحيوانية ومكافحتها</v>
          </cell>
          <cell r="U406" t="str">
            <v>الخدمات الصحية و الإرشاد ودعم التسويق للثروة الحيوانية</v>
          </cell>
          <cell r="V406" t="str">
            <v>العمليات</v>
          </cell>
          <cell r="W406" t="str">
            <v>Al Riyadh</v>
          </cell>
          <cell r="X406" t="str">
            <v xml:space="preserve">الفرع </v>
          </cell>
          <cell r="Y406">
            <v>44835</v>
          </cell>
          <cell r="Z406">
            <v>3.71</v>
          </cell>
          <cell r="AA406">
            <v>1355</v>
          </cell>
          <cell r="AB406" t="str">
            <v>غير نشط</v>
          </cell>
          <cell r="AC406" t="str">
            <v>400209</v>
          </cell>
          <cell r="AD406" t="str">
            <v>Yagoub Aljraid</v>
          </cell>
          <cell r="AE406" t="str">
            <v>إعارة</v>
          </cell>
          <cell r="AF406">
            <v>45016</v>
          </cell>
          <cell r="AG406" t="str">
            <v/>
          </cell>
          <cell r="AH406" t="str">
            <v/>
          </cell>
          <cell r="AI406" t="str">
            <v/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 t="str">
            <v/>
          </cell>
          <cell r="AO406" t="str">
            <v>Livestock Extension &amp; Protection</v>
          </cell>
          <cell r="AP406" t="str">
            <v>Al Rajhi Bank</v>
          </cell>
          <cell r="AQ406" t="str">
            <v>SA4580000599608010048640</v>
          </cell>
          <cell r="AR406">
            <v>8250</v>
          </cell>
          <cell r="AS406" t="str">
            <v/>
          </cell>
          <cell r="AT406">
            <v>325</v>
          </cell>
          <cell r="AU406">
            <v>2062.5</v>
          </cell>
          <cell r="AV406" t="str">
            <v/>
          </cell>
        </row>
        <row r="407">
          <cell r="A407">
            <v>400226</v>
          </cell>
          <cell r="B407" t="str">
            <v>1061703391</v>
          </cell>
          <cell r="C407" t="str">
            <v>السيد</v>
          </cell>
          <cell r="D407" t="str">
            <v>Ahmad Yousef Abdulmohsen Alabbad</v>
          </cell>
          <cell r="E407" t="str">
            <v>أحمد يوسف عبدالمحسن العباد</v>
          </cell>
          <cell r="F407" t="str">
            <v>Male</v>
          </cell>
          <cell r="G407" t="str">
            <v>متزوج</v>
          </cell>
          <cell r="H407">
            <v>32729</v>
          </cell>
          <cell r="I407">
            <v>37</v>
          </cell>
          <cell r="J407">
            <v>13461</v>
          </cell>
          <cell r="K407" t="str">
            <v>Ahmed.AlAbbad@agriserv.sa</v>
          </cell>
          <cell r="L407" t="str">
            <v>0590125899</v>
          </cell>
          <cell r="M407" t="str">
            <v/>
          </cell>
          <cell r="N407" t="str">
            <v>المملكة العربية السعودية</v>
          </cell>
          <cell r="O407" t="str">
            <v>50001057</v>
          </cell>
          <cell r="P407" t="str">
            <v>طبيب بيطري</v>
          </cell>
          <cell r="Q407" t="str">
            <v>الدرجة 3</v>
          </cell>
          <cell r="R407" t="str">
            <v>Class A</v>
          </cell>
          <cell r="S407" t="str">
            <v/>
          </cell>
          <cell r="T407" t="str">
            <v>رماح</v>
          </cell>
          <cell r="U407" t="str">
            <v>عمليات الفروع</v>
          </cell>
          <cell r="V407" t="str">
            <v>الفروع</v>
          </cell>
          <cell r="W407" t="str">
            <v>Al Riyadh</v>
          </cell>
          <cell r="X407" t="str">
            <v xml:space="preserve">الفرع </v>
          </cell>
          <cell r="Y407">
            <v>44835</v>
          </cell>
          <cell r="Z407">
            <v>3.71</v>
          </cell>
          <cell r="AA407">
            <v>1355</v>
          </cell>
          <cell r="AB407" t="str">
            <v>نشط</v>
          </cell>
          <cell r="AC407" t="str">
            <v>400146</v>
          </cell>
          <cell r="AD407" t="str">
            <v>Talal Alotaibi</v>
          </cell>
          <cell r="AE407" t="str">
            <v>إعارة</v>
          </cell>
          <cell r="AF407" t="str">
            <v/>
          </cell>
          <cell r="AG407" t="str">
            <v/>
          </cell>
          <cell r="AH407" t="str">
            <v>ثانوية</v>
          </cell>
          <cell r="AI407" t="str">
            <v>شهادة المدرسة الثانوية</v>
          </cell>
          <cell r="AJ407">
            <v>4</v>
          </cell>
          <cell r="AK407">
            <v>2</v>
          </cell>
          <cell r="AL407">
            <v>1</v>
          </cell>
          <cell r="AM407">
            <v>1</v>
          </cell>
          <cell r="AN407" t="str">
            <v/>
          </cell>
          <cell r="AO407" t="str">
            <v>عمليات الفروع</v>
          </cell>
          <cell r="AP407" t="str">
            <v>Saudi National Bank</v>
          </cell>
          <cell r="AQ407" t="str">
            <v>SA0610000006954194000105</v>
          </cell>
          <cell r="AR407">
            <v>9836</v>
          </cell>
          <cell r="AS407" t="str">
            <v/>
          </cell>
          <cell r="AT407">
            <v>483.6</v>
          </cell>
          <cell r="AU407">
            <v>2459</v>
          </cell>
          <cell r="AV407" t="str">
            <v/>
          </cell>
        </row>
        <row r="408">
          <cell r="A408">
            <v>400227</v>
          </cell>
          <cell r="B408" t="str">
            <v>1082795525</v>
          </cell>
          <cell r="C408" t="str">
            <v>السيد</v>
          </cell>
          <cell r="D408" t="str">
            <v>Abdul Al-Mutairi</v>
          </cell>
          <cell r="E408" t="str">
            <v>عبدالرحمن   المطيري</v>
          </cell>
          <cell r="F408" t="str">
            <v>Male</v>
          </cell>
          <cell r="G408" t="str">
            <v>أعزب</v>
          </cell>
          <cell r="H408">
            <v>34216</v>
          </cell>
          <cell r="I408">
            <v>33</v>
          </cell>
          <cell r="J408">
            <v>11974</v>
          </cell>
          <cell r="K408" t="str">
            <v>AALMUTERY@agriserv.com.sa</v>
          </cell>
          <cell r="L408" t="str">
            <v>0503637055</v>
          </cell>
          <cell r="M408" t="str">
            <v/>
          </cell>
          <cell r="N408" t="str">
            <v>المملكة العربية السعودية</v>
          </cell>
          <cell r="O408" t="str">
            <v>50001058</v>
          </cell>
          <cell r="P408" t="str">
            <v>طبيب بيطري مساعد</v>
          </cell>
          <cell r="Q408" t="str">
            <v>2B الدرجة</v>
          </cell>
          <cell r="R408" t="str">
            <v/>
          </cell>
          <cell r="S408" t="str">
            <v/>
          </cell>
          <cell r="T408" t="str">
            <v>السيطرة على أمراض الثروة الحيوانية ومكافحتها</v>
          </cell>
          <cell r="U408" t="str">
            <v>الخدمات الصحية و الإرشاد ودعم التسويق للثروة الحيوانية</v>
          </cell>
          <cell r="V408" t="str">
            <v>العمليات</v>
          </cell>
          <cell r="W408" t="str">
            <v>Al Riyadh</v>
          </cell>
          <cell r="X408" t="str">
            <v xml:space="preserve">الفرع </v>
          </cell>
          <cell r="Y408">
            <v>44835</v>
          </cell>
          <cell r="Z408">
            <v>3.71</v>
          </cell>
          <cell r="AA408">
            <v>1355</v>
          </cell>
          <cell r="AB408" t="str">
            <v>غير نشط</v>
          </cell>
          <cell r="AC408" t="str">
            <v>400209</v>
          </cell>
          <cell r="AD408" t="str">
            <v>Yagoub Aljraid</v>
          </cell>
          <cell r="AE408" t="str">
            <v>إعارة</v>
          </cell>
          <cell r="AF408">
            <v>45016</v>
          </cell>
          <cell r="AG408" t="str">
            <v/>
          </cell>
          <cell r="AH408" t="str">
            <v/>
          </cell>
          <cell r="AI408" t="str">
            <v/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 t="str">
            <v/>
          </cell>
          <cell r="AO408" t="str">
            <v>Livestock Extension &amp; Protection</v>
          </cell>
          <cell r="AP408" t="str">
            <v>Al Rajhi Bank</v>
          </cell>
          <cell r="AQ408" t="str">
            <v>SA9380000537608010021097</v>
          </cell>
          <cell r="AR408">
            <v>5855</v>
          </cell>
          <cell r="AS408" t="str">
            <v/>
          </cell>
          <cell r="AT408">
            <v>185.5</v>
          </cell>
          <cell r="AU408">
            <v>1463.75</v>
          </cell>
          <cell r="AV408" t="str">
            <v/>
          </cell>
        </row>
        <row r="409">
          <cell r="A409">
            <v>400228</v>
          </cell>
          <cell r="B409" t="str">
            <v>1077648192</v>
          </cell>
          <cell r="C409" t="str">
            <v>السيد</v>
          </cell>
          <cell r="D409" t="str">
            <v>Majed Sultan Musleh Alotaibi</v>
          </cell>
          <cell r="E409" t="str">
            <v>ماجد سلطان مصلح العتيبي</v>
          </cell>
          <cell r="F409" t="str">
            <v>Male</v>
          </cell>
          <cell r="G409" t="str">
            <v>متزوج</v>
          </cell>
          <cell r="H409">
            <v>33958</v>
          </cell>
          <cell r="I409">
            <v>33</v>
          </cell>
          <cell r="J409">
            <v>12232</v>
          </cell>
          <cell r="K409" t="str">
            <v>Majed.Alotaibi@agriserv.sa</v>
          </cell>
          <cell r="L409" t="str">
            <v>0534340849</v>
          </cell>
          <cell r="M409" t="str">
            <v>4103</v>
          </cell>
          <cell r="N409" t="str">
            <v>المملكة العربية السعودية</v>
          </cell>
          <cell r="O409" t="str">
            <v>50001059</v>
          </cell>
          <cell r="P409" t="str">
            <v>طبيب بيطري</v>
          </cell>
          <cell r="Q409" t="str">
            <v>الدرجة 3</v>
          </cell>
          <cell r="R409" t="str">
            <v>Class A</v>
          </cell>
          <cell r="S409" t="str">
            <v/>
          </cell>
          <cell r="T409" t="str">
            <v/>
          </cell>
          <cell r="U409" t="str">
            <v>التراخيص</v>
          </cell>
          <cell r="V409" t="str">
            <v>التراخيص</v>
          </cell>
          <cell r="W409" t="str">
            <v>Al Riyadh</v>
          </cell>
          <cell r="X409" t="str">
            <v xml:space="preserve">المقر الرئيسي </v>
          </cell>
          <cell r="Y409">
            <v>44835</v>
          </cell>
          <cell r="Z409">
            <v>3.71</v>
          </cell>
          <cell r="AA409">
            <v>1355</v>
          </cell>
          <cell r="AB409" t="str">
            <v>نشط</v>
          </cell>
          <cell r="AC409" t="str">
            <v>100128</v>
          </cell>
          <cell r="AD409" t="str">
            <v>Abdalaziz Alkhamshi</v>
          </cell>
          <cell r="AE409" t="str">
            <v>إعارة</v>
          </cell>
          <cell r="AF409" t="str">
            <v/>
          </cell>
          <cell r="AG409" t="str">
            <v/>
          </cell>
          <cell r="AH409" t="str">
            <v>ثانوية</v>
          </cell>
          <cell r="AI409" t="str">
            <v>شهادة المدرسة الثانوية</v>
          </cell>
          <cell r="AJ409">
            <v>5</v>
          </cell>
          <cell r="AK409">
            <v>2</v>
          </cell>
          <cell r="AL409">
            <v>1</v>
          </cell>
          <cell r="AM409">
            <v>2</v>
          </cell>
          <cell r="AN409" t="str">
            <v/>
          </cell>
          <cell r="AO409" t="str">
            <v>التراخيص والشهادات</v>
          </cell>
          <cell r="AP409" t="str">
            <v>Al Rajhi Bank</v>
          </cell>
          <cell r="AQ409" t="str">
            <v>SA8980000493608010074197</v>
          </cell>
          <cell r="AR409">
            <v>9837</v>
          </cell>
          <cell r="AS409" t="str">
            <v/>
          </cell>
          <cell r="AT409">
            <v>483.7</v>
          </cell>
          <cell r="AU409">
            <v>2459.25</v>
          </cell>
          <cell r="AV409" t="str">
            <v/>
          </cell>
        </row>
        <row r="410">
          <cell r="A410">
            <v>400229</v>
          </cell>
          <cell r="B410" t="str">
            <v>1093800256</v>
          </cell>
          <cell r="C410" t="str">
            <v>السيد</v>
          </cell>
          <cell r="D410" t="str">
            <v>Abdulkareem Murdhi Awad Alharbi</v>
          </cell>
          <cell r="E410" t="str">
            <v>عبدالكريم مرضي عوض الحربي</v>
          </cell>
          <cell r="F410" t="str">
            <v>Male</v>
          </cell>
          <cell r="G410" t="str">
            <v>متزوج</v>
          </cell>
          <cell r="H410">
            <v>35452</v>
          </cell>
          <cell r="I410">
            <v>29</v>
          </cell>
          <cell r="J410">
            <v>10738</v>
          </cell>
          <cell r="K410" t="str">
            <v>Abdulkareem.AlHarbi@agriserv.sa</v>
          </cell>
          <cell r="L410" t="str">
            <v>0561124111</v>
          </cell>
          <cell r="M410" t="str">
            <v/>
          </cell>
          <cell r="N410" t="str">
            <v>المملكة العربية السعودية</v>
          </cell>
          <cell r="O410" t="str">
            <v>50001060</v>
          </cell>
          <cell r="P410" t="str">
            <v>طبيب بيطري</v>
          </cell>
          <cell r="Q410" t="str">
            <v>الدرجة 3</v>
          </cell>
          <cell r="R410" t="str">
            <v>Class A</v>
          </cell>
          <cell r="S410" t="str">
            <v/>
          </cell>
          <cell r="T410" t="str">
            <v>محافظة  المجمعه</v>
          </cell>
          <cell r="U410" t="str">
            <v>عمليات الفروع</v>
          </cell>
          <cell r="V410" t="str">
            <v>الفروع</v>
          </cell>
          <cell r="W410" t="str">
            <v>Al Riyadh</v>
          </cell>
          <cell r="X410" t="str">
            <v xml:space="preserve">الفرع </v>
          </cell>
          <cell r="Y410">
            <v>44835</v>
          </cell>
          <cell r="Z410">
            <v>3.71</v>
          </cell>
          <cell r="AA410">
            <v>1355</v>
          </cell>
          <cell r="AB410" t="str">
            <v>نشط</v>
          </cell>
          <cell r="AC410" t="str">
            <v>400106</v>
          </cell>
          <cell r="AD410" t="str">
            <v>Turki Almukhaimer</v>
          </cell>
          <cell r="AE410" t="str">
            <v>إعارة</v>
          </cell>
          <cell r="AF410" t="str">
            <v/>
          </cell>
          <cell r="AG410" t="str">
            <v/>
          </cell>
          <cell r="AH410" t="str">
            <v>طب بيطري</v>
          </cell>
          <cell r="AI410" t="str">
            <v>بكالوريوس</v>
          </cell>
          <cell r="AJ410">
            <v>4</v>
          </cell>
          <cell r="AK410">
            <v>1</v>
          </cell>
          <cell r="AL410">
            <v>1</v>
          </cell>
          <cell r="AM410">
            <v>2</v>
          </cell>
          <cell r="AN410" t="str">
            <v/>
          </cell>
          <cell r="AO410" t="str">
            <v>عمليات الفروع</v>
          </cell>
          <cell r="AP410" t="str">
            <v>Al Rajhi Bank</v>
          </cell>
          <cell r="AQ410" t="str">
            <v>SA2080000275608016013524</v>
          </cell>
          <cell r="AR410">
            <v>9643</v>
          </cell>
          <cell r="AS410" t="str">
            <v/>
          </cell>
          <cell r="AT410">
            <v>464.3</v>
          </cell>
          <cell r="AU410">
            <v>2410.75</v>
          </cell>
          <cell r="AV410" t="str">
            <v/>
          </cell>
        </row>
        <row r="411">
          <cell r="A411">
            <v>400230</v>
          </cell>
          <cell r="B411" t="str">
            <v>1091995462</v>
          </cell>
          <cell r="C411" t="str">
            <v>السيد</v>
          </cell>
          <cell r="D411" t="str">
            <v>Abdulrahman Khaled Saad Alduwaihi</v>
          </cell>
          <cell r="E411" t="str">
            <v>عبدالرحمن خالد سعد الضويحي</v>
          </cell>
          <cell r="F411" t="str">
            <v>Male</v>
          </cell>
          <cell r="G411" t="str">
            <v>متزوج</v>
          </cell>
          <cell r="H411">
            <v>35295</v>
          </cell>
          <cell r="I411">
            <v>30</v>
          </cell>
          <cell r="J411">
            <v>10895</v>
          </cell>
          <cell r="K411" t="str">
            <v>Abdulrahman.Alduwaihi@agriserv.sa</v>
          </cell>
          <cell r="L411" t="str">
            <v>0553643344</v>
          </cell>
          <cell r="M411" t="str">
            <v/>
          </cell>
          <cell r="N411" t="str">
            <v>المملكة العربية السعودية</v>
          </cell>
          <cell r="O411" t="str">
            <v>50001061</v>
          </cell>
          <cell r="P411" t="str">
            <v>طبيب بيطري</v>
          </cell>
          <cell r="Q411" t="str">
            <v>الدرجة 3</v>
          </cell>
          <cell r="R411" t="str">
            <v>Class A</v>
          </cell>
          <cell r="S411" t="str">
            <v/>
          </cell>
          <cell r="T411" t="str">
            <v>محافظة ساجر</v>
          </cell>
          <cell r="U411" t="str">
            <v>عمليات الفروع</v>
          </cell>
          <cell r="V411" t="str">
            <v>الفروع</v>
          </cell>
          <cell r="W411" t="str">
            <v>Al Riyadh</v>
          </cell>
          <cell r="X411" t="str">
            <v xml:space="preserve">الفرع </v>
          </cell>
          <cell r="Y411">
            <v>44835</v>
          </cell>
          <cell r="Z411">
            <v>3.71</v>
          </cell>
          <cell r="AA411">
            <v>1355</v>
          </cell>
          <cell r="AB411" t="str">
            <v>نشط</v>
          </cell>
          <cell r="AC411" t="str">
            <v>400115</v>
          </cell>
          <cell r="AD411" t="str">
            <v>Hussain Alotaibi</v>
          </cell>
          <cell r="AE411" t="str">
            <v>إعارة</v>
          </cell>
          <cell r="AF411" t="str">
            <v/>
          </cell>
          <cell r="AG411" t="str">
            <v/>
          </cell>
          <cell r="AH411" t="str">
            <v>الثروة الحيوانية</v>
          </cell>
          <cell r="AI411" t="str">
            <v>بكالوريوس</v>
          </cell>
          <cell r="AJ411">
            <v>4</v>
          </cell>
          <cell r="AK411">
            <v>1</v>
          </cell>
          <cell r="AL411">
            <v>1</v>
          </cell>
          <cell r="AM411">
            <v>2</v>
          </cell>
          <cell r="AN411" t="str">
            <v/>
          </cell>
          <cell r="AO411" t="str">
            <v>عمليات الفروع</v>
          </cell>
          <cell r="AP411" t="str">
            <v>Al Rajhi Bank</v>
          </cell>
          <cell r="AQ411" t="str">
            <v>SA1480000565608016001072</v>
          </cell>
          <cell r="AR411">
            <v>9643</v>
          </cell>
          <cell r="AS411" t="str">
            <v/>
          </cell>
          <cell r="AT411">
            <v>464.3</v>
          </cell>
          <cell r="AU411">
            <v>2410.75</v>
          </cell>
          <cell r="AV411" t="str">
            <v/>
          </cell>
        </row>
        <row r="412">
          <cell r="A412">
            <v>400231</v>
          </cell>
          <cell r="B412" t="str">
            <v>1094448063</v>
          </cell>
          <cell r="C412" t="str">
            <v>السيد</v>
          </cell>
          <cell r="D412" t="str">
            <v>Mohammed Hassan Mahrous Alswij</v>
          </cell>
          <cell r="E412" t="str">
            <v>محمد حسن محروس السويج</v>
          </cell>
          <cell r="F412" t="str">
            <v>Male</v>
          </cell>
          <cell r="G412" t="str">
            <v>أعزب</v>
          </cell>
          <cell r="H412">
            <v>35168</v>
          </cell>
          <cell r="I412">
            <v>30</v>
          </cell>
          <cell r="J412">
            <v>11022</v>
          </cell>
          <cell r="K412" t="str">
            <v>Muhammad.AlSuwaij@agriserv.sa</v>
          </cell>
          <cell r="L412" t="str">
            <v>0548704721</v>
          </cell>
          <cell r="M412" t="str">
            <v/>
          </cell>
          <cell r="N412" t="str">
            <v>المملكة العربية السعودية</v>
          </cell>
          <cell r="O412" t="str">
            <v>50001062</v>
          </cell>
          <cell r="P412" t="str">
            <v>طبيب بيطري</v>
          </cell>
          <cell r="Q412" t="str">
            <v>الدرجة 3</v>
          </cell>
          <cell r="R412" t="str">
            <v>Class A</v>
          </cell>
          <cell r="S412" t="str">
            <v/>
          </cell>
          <cell r="T412" t="str">
            <v>محافظة  القويعية</v>
          </cell>
          <cell r="U412" t="str">
            <v>عمليات الفروع</v>
          </cell>
          <cell r="V412" t="str">
            <v>الفروع</v>
          </cell>
          <cell r="W412" t="str">
            <v>Al Riyadh</v>
          </cell>
          <cell r="X412" t="str">
            <v xml:space="preserve">الفرع </v>
          </cell>
          <cell r="Y412">
            <v>44835</v>
          </cell>
          <cell r="Z412">
            <v>3.71</v>
          </cell>
          <cell r="AA412">
            <v>1355</v>
          </cell>
          <cell r="AB412" t="str">
            <v>نشط</v>
          </cell>
          <cell r="AC412" t="str">
            <v>400237</v>
          </cell>
          <cell r="AD412" t="str">
            <v>Reda Alkhwaja</v>
          </cell>
          <cell r="AE412" t="str">
            <v>إعارة</v>
          </cell>
          <cell r="AF412" t="str">
            <v/>
          </cell>
          <cell r="AG412" t="str">
            <v/>
          </cell>
          <cell r="AH412" t="str">
            <v>طب بيطري</v>
          </cell>
          <cell r="AI412" t="str">
            <v>بكالوريوس</v>
          </cell>
          <cell r="AJ412">
            <v>1</v>
          </cell>
          <cell r="AK412">
            <v>0</v>
          </cell>
          <cell r="AL412">
            <v>1</v>
          </cell>
          <cell r="AM412">
            <v>0</v>
          </cell>
          <cell r="AN412" t="str">
            <v/>
          </cell>
          <cell r="AO412" t="str">
            <v>عمليات الفروع</v>
          </cell>
          <cell r="AP412" t="str">
            <v>Saudi National Bank</v>
          </cell>
          <cell r="AQ412" t="str">
            <v>SA0510000008900000317400</v>
          </cell>
          <cell r="AR412">
            <v>9551</v>
          </cell>
          <cell r="AS412" t="str">
            <v/>
          </cell>
          <cell r="AT412">
            <v>455.1</v>
          </cell>
          <cell r="AU412">
            <v>2387.75</v>
          </cell>
          <cell r="AV412" t="str">
            <v/>
          </cell>
        </row>
        <row r="413">
          <cell r="A413">
            <v>400232</v>
          </cell>
          <cell r="B413" t="str">
            <v>1095889018</v>
          </cell>
          <cell r="C413" t="str">
            <v>السيد</v>
          </cell>
          <cell r="D413" t="str">
            <v>Hassan Mohammed Abdulkarim Alshamlan</v>
          </cell>
          <cell r="E413" t="str">
            <v>حسن محمد عبدالكريم الشملان</v>
          </cell>
          <cell r="F413" t="str">
            <v>Male</v>
          </cell>
          <cell r="G413" t="str">
            <v>متزوج</v>
          </cell>
          <cell r="H413">
            <v>35643</v>
          </cell>
          <cell r="I413">
            <v>29</v>
          </cell>
          <cell r="J413">
            <v>10547</v>
          </cell>
          <cell r="K413" t="str">
            <v>Hassan.AlShamlan@agriserv.sa</v>
          </cell>
          <cell r="L413" t="str">
            <v>0501440017</v>
          </cell>
          <cell r="M413" t="str">
            <v/>
          </cell>
          <cell r="N413" t="str">
            <v>المملكة العربية السعودية</v>
          </cell>
          <cell r="O413" t="str">
            <v>50001063</v>
          </cell>
          <cell r="P413" t="str">
            <v>طبيب بيطري مساعد</v>
          </cell>
          <cell r="Q413" t="str">
            <v>2B الدرجة</v>
          </cell>
          <cell r="R413" t="str">
            <v>Class A</v>
          </cell>
          <cell r="S413" t="str">
            <v/>
          </cell>
          <cell r="T413" t="str">
            <v>محافظة  الدوادمي</v>
          </cell>
          <cell r="U413" t="str">
            <v>عمليات الفروع</v>
          </cell>
          <cell r="V413" t="str">
            <v>الفروع</v>
          </cell>
          <cell r="W413" t="str">
            <v>Al Riyadh</v>
          </cell>
          <cell r="X413" t="str">
            <v xml:space="preserve">الفرع </v>
          </cell>
          <cell r="Y413">
            <v>44835</v>
          </cell>
          <cell r="Z413">
            <v>3.71</v>
          </cell>
          <cell r="AA413">
            <v>1355</v>
          </cell>
          <cell r="AB413" t="str">
            <v>نشط</v>
          </cell>
          <cell r="AC413" t="str">
            <v>400050</v>
          </cell>
          <cell r="AD413" t="str">
            <v>Moazzy Alharbi</v>
          </cell>
          <cell r="AE413" t="str">
            <v>إعارة</v>
          </cell>
          <cell r="AF413" t="str">
            <v/>
          </cell>
          <cell r="AG413" t="str">
            <v/>
          </cell>
          <cell r="AH413" t="str">
            <v>انتاج حيواني</v>
          </cell>
          <cell r="AI413" t="str">
            <v>دبلوم</v>
          </cell>
          <cell r="AJ413">
            <v>3</v>
          </cell>
          <cell r="AK413">
            <v>0</v>
          </cell>
          <cell r="AL413">
            <v>1</v>
          </cell>
          <cell r="AM413">
            <v>2</v>
          </cell>
          <cell r="AN413" t="str">
            <v/>
          </cell>
          <cell r="AO413" t="str">
            <v>عمليات الفروع</v>
          </cell>
          <cell r="AP413" t="str">
            <v>Al Rajhi Bank</v>
          </cell>
          <cell r="AQ413" t="str">
            <v>SA3480000557608010117577</v>
          </cell>
          <cell r="AR413">
            <v>6189</v>
          </cell>
          <cell r="AS413" t="str">
            <v/>
          </cell>
          <cell r="AT413">
            <v>118.9</v>
          </cell>
          <cell r="AU413">
            <v>1547.25</v>
          </cell>
          <cell r="AV413" t="str">
            <v/>
          </cell>
        </row>
        <row r="414">
          <cell r="A414">
            <v>400233</v>
          </cell>
          <cell r="B414" t="str">
            <v>1079767693</v>
          </cell>
          <cell r="C414" t="str">
            <v>السيد</v>
          </cell>
          <cell r="D414" t="str">
            <v>Ahmed Mohammed Redha Alhajri</v>
          </cell>
          <cell r="E414" t="str">
            <v>احمد محمد رضاء الهاجري</v>
          </cell>
          <cell r="F414" t="str">
            <v>Male</v>
          </cell>
          <cell r="G414" t="str">
            <v>متزوج</v>
          </cell>
          <cell r="H414">
            <v>34320</v>
          </cell>
          <cell r="I414">
            <v>32</v>
          </cell>
          <cell r="J414">
            <v>11870</v>
          </cell>
          <cell r="K414" t="str">
            <v>Ahmed.AlHajri@agriserv.sa</v>
          </cell>
          <cell r="L414" t="str">
            <v>0582767156</v>
          </cell>
          <cell r="M414" t="str">
            <v/>
          </cell>
          <cell r="N414" t="str">
            <v>المملكة العربية السعودية</v>
          </cell>
          <cell r="O414" t="str">
            <v>50001064</v>
          </cell>
          <cell r="P414" t="str">
            <v>طبيب بيطري</v>
          </cell>
          <cell r="Q414" t="str">
            <v>الدرجة 3</v>
          </cell>
          <cell r="R414" t="str">
            <v>Class A</v>
          </cell>
          <cell r="S414" t="str">
            <v/>
          </cell>
          <cell r="T414" t="str">
            <v>محافظة  الخرج</v>
          </cell>
          <cell r="U414" t="str">
            <v>عمليات الفروع</v>
          </cell>
          <cell r="V414" t="str">
            <v>الفروع</v>
          </cell>
          <cell r="W414" t="str">
            <v>Al Riyadh</v>
          </cell>
          <cell r="X414" t="str">
            <v xml:space="preserve">الفرع </v>
          </cell>
          <cell r="Y414">
            <v>44835</v>
          </cell>
          <cell r="Z414">
            <v>3.71</v>
          </cell>
          <cell r="AA414">
            <v>1355</v>
          </cell>
          <cell r="AB414" t="str">
            <v>نشط</v>
          </cell>
          <cell r="AC414" t="str">
            <v>400146</v>
          </cell>
          <cell r="AD414" t="str">
            <v>Talal Alotaibi</v>
          </cell>
          <cell r="AE414" t="str">
            <v>إعارة</v>
          </cell>
          <cell r="AF414" t="str">
            <v/>
          </cell>
          <cell r="AG414" t="str">
            <v/>
          </cell>
          <cell r="AH414" t="str">
            <v>طب بيطري</v>
          </cell>
          <cell r="AI414" t="str">
            <v>بكالوريوس</v>
          </cell>
          <cell r="AJ414">
            <v>4</v>
          </cell>
          <cell r="AK414">
            <v>1</v>
          </cell>
          <cell r="AL414">
            <v>1</v>
          </cell>
          <cell r="AM414">
            <v>2</v>
          </cell>
          <cell r="AN414" t="str">
            <v/>
          </cell>
          <cell r="AO414" t="str">
            <v>عمليات الفروع</v>
          </cell>
          <cell r="AP414" t="str">
            <v>Al Rajhi Bank</v>
          </cell>
          <cell r="AQ414" t="str">
            <v>SA5580000210608010441554</v>
          </cell>
          <cell r="AR414">
            <v>9643</v>
          </cell>
          <cell r="AS414" t="str">
            <v/>
          </cell>
          <cell r="AT414">
            <v>464.3</v>
          </cell>
          <cell r="AU414">
            <v>2410.75</v>
          </cell>
          <cell r="AV414" t="str">
            <v/>
          </cell>
        </row>
        <row r="415">
          <cell r="A415">
            <v>400234</v>
          </cell>
          <cell r="B415" t="str">
            <v>1090659341</v>
          </cell>
          <cell r="C415" t="str">
            <v>السيد</v>
          </cell>
          <cell r="D415" t="str">
            <v>Adnan Khalaf Thari Alrasheedi</v>
          </cell>
          <cell r="E415" t="str">
            <v>عدنان خلف ثاري الرشيدي</v>
          </cell>
          <cell r="F415" t="str">
            <v>Male</v>
          </cell>
          <cell r="G415" t="str">
            <v>أعزب</v>
          </cell>
          <cell r="H415">
            <v>34981</v>
          </cell>
          <cell r="I415">
            <v>31</v>
          </cell>
          <cell r="J415">
            <v>11209</v>
          </cell>
          <cell r="K415" t="str">
            <v>Adnan.alrashidi@agriserv.sa</v>
          </cell>
          <cell r="L415" t="str">
            <v>0556544736</v>
          </cell>
          <cell r="M415" t="str">
            <v/>
          </cell>
          <cell r="N415" t="str">
            <v>المملكة العربية السعودية</v>
          </cell>
          <cell r="O415" t="str">
            <v>50001065</v>
          </cell>
          <cell r="P415" t="str">
            <v>طبيب بيطري</v>
          </cell>
          <cell r="Q415" t="str">
            <v>الدرجة 3</v>
          </cell>
          <cell r="R415" t="str">
            <v>Class A</v>
          </cell>
          <cell r="S415" t="str">
            <v/>
          </cell>
          <cell r="T415" t="str">
            <v>محافظة  وادي الدواسر</v>
          </cell>
          <cell r="U415" t="str">
            <v>عمليات الفروع</v>
          </cell>
          <cell r="V415" t="str">
            <v>الفروع</v>
          </cell>
          <cell r="W415" t="str">
            <v>Al Riyadh</v>
          </cell>
          <cell r="X415" t="str">
            <v xml:space="preserve">الفرع </v>
          </cell>
          <cell r="Y415">
            <v>44835</v>
          </cell>
          <cell r="Z415">
            <v>3.71</v>
          </cell>
          <cell r="AA415">
            <v>1355</v>
          </cell>
          <cell r="AB415" t="str">
            <v>نشط</v>
          </cell>
          <cell r="AC415" t="str">
            <v>400252</v>
          </cell>
          <cell r="AD415" t="str">
            <v>Adnan Alhashem</v>
          </cell>
          <cell r="AE415" t="str">
            <v>إعارة</v>
          </cell>
          <cell r="AF415" t="str">
            <v/>
          </cell>
          <cell r="AG415" t="str">
            <v/>
          </cell>
          <cell r="AH415" t="str">
            <v>طب بيطري</v>
          </cell>
          <cell r="AI415" t="str">
            <v>بكالوريوس</v>
          </cell>
          <cell r="AJ415">
            <v>2</v>
          </cell>
          <cell r="AK415">
            <v>0</v>
          </cell>
          <cell r="AL415">
            <v>0</v>
          </cell>
          <cell r="AM415">
            <v>2</v>
          </cell>
          <cell r="AN415" t="str">
            <v/>
          </cell>
          <cell r="AO415" t="str">
            <v>عمليات الفروع</v>
          </cell>
          <cell r="AP415" t="str">
            <v>Al Rajhi Bank</v>
          </cell>
          <cell r="AQ415" t="str">
            <v>SA9080000275608010143764</v>
          </cell>
          <cell r="AR415">
            <v>9551</v>
          </cell>
          <cell r="AS415" t="str">
            <v/>
          </cell>
          <cell r="AT415">
            <v>455.1</v>
          </cell>
          <cell r="AU415">
            <v>2387.75</v>
          </cell>
          <cell r="AV415" t="str">
            <v/>
          </cell>
        </row>
        <row r="416">
          <cell r="A416">
            <v>400235</v>
          </cell>
          <cell r="B416" t="str">
            <v>1088253610</v>
          </cell>
          <cell r="C416" t="str">
            <v>السيد</v>
          </cell>
          <cell r="D416" t="str">
            <v>Nasser Ali Abdullah Alnazr</v>
          </cell>
          <cell r="E416" t="str">
            <v>ناصر علي عبدالله النزر</v>
          </cell>
          <cell r="F416" t="str">
            <v>Male</v>
          </cell>
          <cell r="G416" t="str">
            <v>أعزب</v>
          </cell>
          <cell r="H416">
            <v>34964</v>
          </cell>
          <cell r="I416">
            <v>31</v>
          </cell>
          <cell r="J416">
            <v>11226</v>
          </cell>
          <cell r="K416" t="str">
            <v>Nasser.AlNazar@agriserv.sa</v>
          </cell>
          <cell r="L416" t="str">
            <v>0506145884</v>
          </cell>
          <cell r="M416" t="str">
            <v/>
          </cell>
          <cell r="N416" t="str">
            <v>المملكة العربية السعودية</v>
          </cell>
          <cell r="O416" t="str">
            <v>50001066</v>
          </cell>
          <cell r="P416" t="str">
            <v>طبيب بيطري</v>
          </cell>
          <cell r="Q416" t="str">
            <v>الدرجة 3</v>
          </cell>
          <cell r="R416" t="str">
            <v>Class A</v>
          </cell>
          <cell r="S416" t="str">
            <v/>
          </cell>
          <cell r="T416" t="str">
            <v>محافظة  وادي الدواسر</v>
          </cell>
          <cell r="U416" t="str">
            <v>عمليات الفروع</v>
          </cell>
          <cell r="V416" t="str">
            <v>الفروع</v>
          </cell>
          <cell r="W416" t="str">
            <v>Al Riyadh</v>
          </cell>
          <cell r="X416" t="str">
            <v xml:space="preserve">الفرع </v>
          </cell>
          <cell r="Y416">
            <v>44835</v>
          </cell>
          <cell r="Z416">
            <v>3.71</v>
          </cell>
          <cell r="AA416">
            <v>1355</v>
          </cell>
          <cell r="AB416" t="str">
            <v>نشط</v>
          </cell>
          <cell r="AC416" t="str">
            <v>400252</v>
          </cell>
          <cell r="AD416" t="str">
            <v>Adnan Alhashem</v>
          </cell>
          <cell r="AE416" t="str">
            <v>إعارة</v>
          </cell>
          <cell r="AF416" t="str">
            <v/>
          </cell>
          <cell r="AG416" t="str">
            <v/>
          </cell>
          <cell r="AH416" t="str">
            <v>طب بيطري</v>
          </cell>
          <cell r="AI416" t="str">
            <v>بكالوريوس</v>
          </cell>
          <cell r="AJ416">
            <v>2</v>
          </cell>
          <cell r="AK416">
            <v>0</v>
          </cell>
          <cell r="AL416">
            <v>0</v>
          </cell>
          <cell r="AM416">
            <v>2</v>
          </cell>
          <cell r="AN416" t="str">
            <v/>
          </cell>
          <cell r="AO416" t="str">
            <v>عمليات الفروع</v>
          </cell>
          <cell r="AP416" t="str">
            <v>Saudi National Bank</v>
          </cell>
          <cell r="AQ416" t="str">
            <v>SA3510000096200001026900</v>
          </cell>
          <cell r="AR416">
            <v>9643</v>
          </cell>
          <cell r="AS416" t="str">
            <v/>
          </cell>
          <cell r="AT416">
            <v>464.3</v>
          </cell>
          <cell r="AU416">
            <v>2410.75</v>
          </cell>
          <cell r="AV416" t="str">
            <v/>
          </cell>
        </row>
        <row r="417">
          <cell r="A417">
            <v>400236</v>
          </cell>
          <cell r="B417" t="str">
            <v>1099109751</v>
          </cell>
          <cell r="C417" t="str">
            <v>السيد</v>
          </cell>
          <cell r="D417" t="str">
            <v>Jehad Jameel Mohmmad Aldhubayi</v>
          </cell>
          <cell r="E417" t="str">
            <v>جهاد جميل محمد الضبيعي</v>
          </cell>
          <cell r="F417" t="str">
            <v>Male</v>
          </cell>
          <cell r="G417" t="str">
            <v>أعزب</v>
          </cell>
          <cell r="H417">
            <v>35533</v>
          </cell>
          <cell r="I417">
            <v>29</v>
          </cell>
          <cell r="J417">
            <v>10657</v>
          </cell>
          <cell r="K417" t="str">
            <v>jehad.aldhubayi@agriserv.sa</v>
          </cell>
          <cell r="L417" t="str">
            <v>0552832138</v>
          </cell>
          <cell r="M417" t="str">
            <v/>
          </cell>
          <cell r="N417" t="str">
            <v>المملكة العربية السعودية</v>
          </cell>
          <cell r="O417" t="str">
            <v>50001067</v>
          </cell>
          <cell r="P417" t="str">
            <v>طبيب بيطري</v>
          </cell>
          <cell r="Q417" t="str">
            <v>الدرجة 3</v>
          </cell>
          <cell r="R417" t="str">
            <v>Class A</v>
          </cell>
          <cell r="S417" t="str">
            <v/>
          </cell>
          <cell r="T417" t="str">
            <v>عمليات الفروع  بريدة</v>
          </cell>
          <cell r="U417" t="str">
            <v>عمليات الفروع</v>
          </cell>
          <cell r="V417" t="str">
            <v>الفروع</v>
          </cell>
          <cell r="W417" t="str">
            <v>Al Riyadh</v>
          </cell>
          <cell r="X417" t="str">
            <v xml:space="preserve">الفرع </v>
          </cell>
          <cell r="Y417">
            <v>44835</v>
          </cell>
          <cell r="Z417">
            <v>3.71</v>
          </cell>
          <cell r="AA417">
            <v>1355</v>
          </cell>
          <cell r="AB417" t="str">
            <v>نشط</v>
          </cell>
          <cell r="AC417" t="str">
            <v>100063</v>
          </cell>
          <cell r="AD417" t="str">
            <v>Hazza Alruwaili</v>
          </cell>
          <cell r="AE417" t="str">
            <v>إعارة</v>
          </cell>
          <cell r="AF417" t="str">
            <v/>
          </cell>
          <cell r="AG417" t="str">
            <v/>
          </cell>
          <cell r="AH417" t="str">
            <v>طب بيطري</v>
          </cell>
          <cell r="AI417" t="str">
            <v>بكالوريوس</v>
          </cell>
          <cell r="AJ417">
            <v>2</v>
          </cell>
          <cell r="AK417">
            <v>0</v>
          </cell>
          <cell r="AL417">
            <v>0</v>
          </cell>
          <cell r="AM417">
            <v>2</v>
          </cell>
          <cell r="AN417" t="str">
            <v/>
          </cell>
          <cell r="AO417" t="str">
            <v>عمليات الفروع</v>
          </cell>
          <cell r="AP417" t="str">
            <v>Al Rajhi Bank</v>
          </cell>
          <cell r="AQ417" t="str">
            <v>SA7580000340608010219839</v>
          </cell>
          <cell r="AR417">
            <v>9551</v>
          </cell>
          <cell r="AS417" t="str">
            <v/>
          </cell>
          <cell r="AT417">
            <v>455.1</v>
          </cell>
          <cell r="AU417">
            <v>2387.75</v>
          </cell>
          <cell r="AV417" t="str">
            <v/>
          </cell>
        </row>
        <row r="418">
          <cell r="A418">
            <v>400237</v>
          </cell>
          <cell r="B418" t="str">
            <v>1078627351</v>
          </cell>
          <cell r="C418" t="str">
            <v>السيد</v>
          </cell>
          <cell r="D418" t="str">
            <v>Reda Hussein Ali Alkhwaja</v>
          </cell>
          <cell r="E418" t="str">
            <v>رضا حسين علي الخواجه</v>
          </cell>
          <cell r="F418" t="str">
            <v>Male</v>
          </cell>
          <cell r="G418" t="str">
            <v>متزوج</v>
          </cell>
          <cell r="H418">
            <v>34232</v>
          </cell>
          <cell r="I418">
            <v>33</v>
          </cell>
          <cell r="J418">
            <v>11958</v>
          </cell>
          <cell r="K418" t="str">
            <v>Reda.AlKhwaja@agriserv.sa</v>
          </cell>
          <cell r="L418" t="str">
            <v>0536119009</v>
          </cell>
          <cell r="M418" t="str">
            <v/>
          </cell>
          <cell r="N418" t="str">
            <v>المملكة العربية السعودية</v>
          </cell>
          <cell r="O418" t="str">
            <v>50001068</v>
          </cell>
          <cell r="P418" t="str">
            <v>طبيب بيطري مساعد</v>
          </cell>
          <cell r="Q418" t="str">
            <v>2B الدرجة</v>
          </cell>
          <cell r="R418" t="str">
            <v>Class A</v>
          </cell>
          <cell r="S418" t="str">
            <v/>
          </cell>
          <cell r="T418" t="str">
            <v>محافظة  القويعية</v>
          </cell>
          <cell r="U418" t="str">
            <v>عمليات الفروع</v>
          </cell>
          <cell r="V418" t="str">
            <v>الفروع</v>
          </cell>
          <cell r="W418" t="str">
            <v>Al Riyadh</v>
          </cell>
          <cell r="X418" t="str">
            <v xml:space="preserve">الفرع </v>
          </cell>
          <cell r="Y418">
            <v>44835</v>
          </cell>
          <cell r="Z418">
            <v>3.71</v>
          </cell>
          <cell r="AA418">
            <v>1355</v>
          </cell>
          <cell r="AB418" t="str">
            <v>نشط</v>
          </cell>
          <cell r="AC418" t="str">
            <v>400146</v>
          </cell>
          <cell r="AD418" t="str">
            <v>Talal Alotaibi</v>
          </cell>
          <cell r="AE418" t="str">
            <v>إعارة</v>
          </cell>
          <cell r="AF418" t="str">
            <v/>
          </cell>
          <cell r="AG418" t="str">
            <v/>
          </cell>
          <cell r="AH418" t="str">
            <v>طب بيطري</v>
          </cell>
          <cell r="AI418" t="str">
            <v>دبلوم</v>
          </cell>
          <cell r="AJ418">
            <v>4</v>
          </cell>
          <cell r="AK418">
            <v>2</v>
          </cell>
          <cell r="AL418">
            <v>1</v>
          </cell>
          <cell r="AM418">
            <v>1</v>
          </cell>
          <cell r="AN418" t="str">
            <v/>
          </cell>
          <cell r="AO418" t="str">
            <v>عمليات الفروع</v>
          </cell>
          <cell r="AP418" t="str">
            <v>Saudi National Bank</v>
          </cell>
          <cell r="AQ418" t="str">
            <v>SA8810000005765900000108</v>
          </cell>
          <cell r="AR418">
            <v>6250</v>
          </cell>
          <cell r="AS418" t="str">
            <v/>
          </cell>
          <cell r="AT418">
            <v>125</v>
          </cell>
          <cell r="AU418">
            <v>1562.5</v>
          </cell>
          <cell r="AV418" t="str">
            <v/>
          </cell>
        </row>
        <row r="419">
          <cell r="A419">
            <v>400238</v>
          </cell>
          <cell r="B419" t="str">
            <v>1112282361</v>
          </cell>
          <cell r="C419" t="str">
            <v>السيد</v>
          </cell>
          <cell r="D419" t="str">
            <v>Khalil Sami Khalil Aldarisi</v>
          </cell>
          <cell r="E419" t="str">
            <v>خليل سامي خليل الدريسي</v>
          </cell>
          <cell r="F419" t="str">
            <v>Male</v>
          </cell>
          <cell r="G419" t="str">
            <v>متزوج</v>
          </cell>
          <cell r="H419">
            <v>37069</v>
          </cell>
          <cell r="I419">
            <v>25</v>
          </cell>
          <cell r="J419">
            <v>9121</v>
          </cell>
          <cell r="K419" t="str">
            <v>Khalil.AlDarisi@agriserv.sa</v>
          </cell>
          <cell r="L419" t="str">
            <v>0509914037</v>
          </cell>
          <cell r="M419" t="str">
            <v/>
          </cell>
          <cell r="N419" t="str">
            <v>المملكة العربية السعودية</v>
          </cell>
          <cell r="O419" t="str">
            <v>50001069</v>
          </cell>
          <cell r="P419" t="str">
            <v>طبيب بيطري مساعد</v>
          </cell>
          <cell r="Q419" t="str">
            <v>2B الدرجة</v>
          </cell>
          <cell r="R419" t="str">
            <v>Class A</v>
          </cell>
          <cell r="S419" t="str">
            <v/>
          </cell>
          <cell r="T419" t="str">
            <v>محافظة  حوطة بني تميم</v>
          </cell>
          <cell r="U419" t="str">
            <v>عمليات الفروع</v>
          </cell>
          <cell r="V419" t="str">
            <v>الفروع</v>
          </cell>
          <cell r="W419" t="str">
            <v>Al Riyadh</v>
          </cell>
          <cell r="X419" t="str">
            <v xml:space="preserve">الفرع </v>
          </cell>
          <cell r="Y419">
            <v>44835</v>
          </cell>
          <cell r="Z419">
            <v>3.71</v>
          </cell>
          <cell r="AA419">
            <v>1355</v>
          </cell>
          <cell r="AB419" t="str">
            <v>نشط</v>
          </cell>
          <cell r="AC419" t="str">
            <v>400188</v>
          </cell>
          <cell r="AD419" t="str">
            <v>Sultan Masraa</v>
          </cell>
          <cell r="AE419" t="str">
            <v>إعارة</v>
          </cell>
          <cell r="AF419" t="str">
            <v/>
          </cell>
          <cell r="AG419" t="str">
            <v/>
          </cell>
          <cell r="AH419" t="str">
            <v>طب بيطري</v>
          </cell>
          <cell r="AI419" t="str">
            <v>دبلوم</v>
          </cell>
          <cell r="AJ419">
            <v>4</v>
          </cell>
          <cell r="AK419">
            <v>1</v>
          </cell>
          <cell r="AL419">
            <v>1</v>
          </cell>
          <cell r="AM419">
            <v>2</v>
          </cell>
          <cell r="AN419" t="str">
            <v/>
          </cell>
          <cell r="AO419" t="str">
            <v>عمليات الفروع</v>
          </cell>
          <cell r="AP419" t="str">
            <v>Riyad Bank</v>
          </cell>
          <cell r="AQ419" t="str">
            <v>SA2120000003185225129940</v>
          </cell>
          <cell r="AR419">
            <v>6190</v>
          </cell>
          <cell r="AS419" t="str">
            <v/>
          </cell>
          <cell r="AT419">
            <v>119</v>
          </cell>
          <cell r="AU419">
            <v>1547.5</v>
          </cell>
          <cell r="AV419" t="str">
            <v/>
          </cell>
        </row>
        <row r="420">
          <cell r="A420">
            <v>400239</v>
          </cell>
          <cell r="B420" t="str">
            <v>1115555375</v>
          </cell>
          <cell r="C420" t="str">
            <v>السيد</v>
          </cell>
          <cell r="D420" t="str">
            <v>Abdul At-Tareef</v>
          </cell>
          <cell r="E420" t="str">
            <v>عبدالرحمن   الطريف</v>
          </cell>
          <cell r="F420" t="str">
            <v>Male</v>
          </cell>
          <cell r="G420" t="str">
            <v>أعزب</v>
          </cell>
          <cell r="H420">
            <v>37326</v>
          </cell>
          <cell r="I420">
            <v>24</v>
          </cell>
          <cell r="J420">
            <v>8864</v>
          </cell>
          <cell r="K420" t="str">
            <v>AALTURAIF@agriserv.com.sa</v>
          </cell>
          <cell r="L420" t="str">
            <v>0544979834</v>
          </cell>
          <cell r="M420" t="str">
            <v/>
          </cell>
          <cell r="N420" t="str">
            <v>المملكة العربية السعودية</v>
          </cell>
          <cell r="O420" t="str">
            <v>50001070</v>
          </cell>
          <cell r="P420" t="str">
            <v>طبيب بيطري مساعد</v>
          </cell>
          <cell r="Q420" t="str">
            <v>2B الدرجة</v>
          </cell>
          <cell r="R420" t="str">
            <v/>
          </cell>
          <cell r="S420" t="str">
            <v/>
          </cell>
          <cell r="T420" t="str">
            <v>السيطرة على أمراض الثروة الحيوانية ومكافحتها</v>
          </cell>
          <cell r="U420" t="str">
            <v>الخدمات الصحية و الإرشاد ودعم التسويق للثروة الحيوانية</v>
          </cell>
          <cell r="V420" t="str">
            <v>العمليات</v>
          </cell>
          <cell r="W420" t="str">
            <v>Al Riyadh</v>
          </cell>
          <cell r="X420" t="str">
            <v xml:space="preserve">الفرع </v>
          </cell>
          <cell r="Y420">
            <v>44835</v>
          </cell>
          <cell r="Z420">
            <v>3.71</v>
          </cell>
          <cell r="AA420">
            <v>1355</v>
          </cell>
          <cell r="AB420" t="str">
            <v>غير نشط</v>
          </cell>
          <cell r="AC420" t="str">
            <v>400209</v>
          </cell>
          <cell r="AD420" t="str">
            <v>Yagoub Aljraid</v>
          </cell>
          <cell r="AE420" t="str">
            <v>إعارة</v>
          </cell>
          <cell r="AF420">
            <v>45016</v>
          </cell>
          <cell r="AG420" t="str">
            <v/>
          </cell>
          <cell r="AH420" t="str">
            <v/>
          </cell>
          <cell r="AI420" t="str">
            <v/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 t="str">
            <v/>
          </cell>
          <cell r="AO420" t="str">
            <v>Livestock Extension &amp; Protection</v>
          </cell>
          <cell r="AP420" t="str">
            <v>Al Rajhi Bank</v>
          </cell>
          <cell r="AQ420" t="str">
            <v>SA9780000562608010223766</v>
          </cell>
          <cell r="AR420">
            <v>5240</v>
          </cell>
          <cell r="AS420" t="str">
            <v/>
          </cell>
          <cell r="AT420">
            <v>24</v>
          </cell>
          <cell r="AU420">
            <v>1310</v>
          </cell>
          <cell r="AV420" t="str">
            <v/>
          </cell>
        </row>
        <row r="421">
          <cell r="A421">
            <v>400240</v>
          </cell>
          <cell r="B421" t="str">
            <v>1097181273</v>
          </cell>
          <cell r="C421" t="str">
            <v>السيد</v>
          </cell>
          <cell r="D421" t="str">
            <v>Abdulghani Abdullah Mohammed Almohsen</v>
          </cell>
          <cell r="E421" t="str">
            <v>عبدالغني عبدالله محمد المحسن</v>
          </cell>
          <cell r="F421" t="str">
            <v>Male</v>
          </cell>
          <cell r="G421" t="str">
            <v>أعزب</v>
          </cell>
          <cell r="H421">
            <v>34561</v>
          </cell>
          <cell r="I421">
            <v>32</v>
          </cell>
          <cell r="J421">
            <v>11629</v>
          </cell>
          <cell r="K421" t="str">
            <v>Abdulghani.Almohsen@agriserv.sa</v>
          </cell>
          <cell r="L421" t="str">
            <v>0531168305</v>
          </cell>
          <cell r="M421" t="str">
            <v/>
          </cell>
          <cell r="N421" t="str">
            <v>المملكة العربية السعودية</v>
          </cell>
          <cell r="O421" t="str">
            <v>50001071</v>
          </cell>
          <cell r="P421" t="str">
            <v>طبيب بيطري</v>
          </cell>
          <cell r="Q421" t="str">
            <v>الدرجة 3</v>
          </cell>
          <cell r="R421" t="str">
            <v>Class A</v>
          </cell>
          <cell r="S421" t="str">
            <v/>
          </cell>
          <cell r="T421" t="str">
            <v>محافظة  شقراء</v>
          </cell>
          <cell r="U421" t="str">
            <v>عمليات الفروع</v>
          </cell>
          <cell r="V421" t="str">
            <v>الفروع</v>
          </cell>
          <cell r="W421" t="str">
            <v>Al Riyadh</v>
          </cell>
          <cell r="X421" t="str">
            <v xml:space="preserve">الفرع </v>
          </cell>
          <cell r="Y421">
            <v>44835</v>
          </cell>
          <cell r="Z421">
            <v>3.71</v>
          </cell>
          <cell r="AA421">
            <v>1355</v>
          </cell>
          <cell r="AB421" t="str">
            <v>نشط</v>
          </cell>
          <cell r="AC421" t="str">
            <v>400146</v>
          </cell>
          <cell r="AD421" t="str">
            <v>Talal Alotaibi</v>
          </cell>
          <cell r="AE421" t="str">
            <v>إعارة</v>
          </cell>
          <cell r="AF421" t="str">
            <v/>
          </cell>
          <cell r="AG421" t="str">
            <v/>
          </cell>
          <cell r="AH421" t="str">
            <v>طب بيطري</v>
          </cell>
          <cell r="AI421" t="str">
            <v>بكالوريوس</v>
          </cell>
          <cell r="AJ421">
            <v>2</v>
          </cell>
          <cell r="AK421">
            <v>0</v>
          </cell>
          <cell r="AL421">
            <v>0</v>
          </cell>
          <cell r="AM421">
            <v>2</v>
          </cell>
          <cell r="AN421" t="str">
            <v/>
          </cell>
          <cell r="AO421" t="str">
            <v>عمليات الفروع</v>
          </cell>
          <cell r="AP421" t="str">
            <v>Saudi National Bank</v>
          </cell>
          <cell r="AQ421" t="str">
            <v>SA3310000048000000720304</v>
          </cell>
          <cell r="AR421">
            <v>9643</v>
          </cell>
          <cell r="AS421" t="str">
            <v/>
          </cell>
          <cell r="AT421">
            <v>464.3</v>
          </cell>
          <cell r="AU421">
            <v>2410.75</v>
          </cell>
          <cell r="AV421" t="str">
            <v/>
          </cell>
        </row>
        <row r="422">
          <cell r="A422">
            <v>400241</v>
          </cell>
          <cell r="B422" t="str">
            <v>1080624206</v>
          </cell>
          <cell r="C422" t="str">
            <v>السيد</v>
          </cell>
          <cell r="D422" t="str">
            <v>Jaffar Hassan Sultan Alsultan</v>
          </cell>
          <cell r="E422" t="str">
            <v>جعفر حسن سلطان آل سلطان</v>
          </cell>
          <cell r="F422" t="str">
            <v>Male</v>
          </cell>
          <cell r="G422" t="str">
            <v>أعزب</v>
          </cell>
          <cell r="H422">
            <v>34351</v>
          </cell>
          <cell r="I422">
            <v>32</v>
          </cell>
          <cell r="J422">
            <v>11839</v>
          </cell>
          <cell r="K422" t="str">
            <v>Jaafar.Sultan@agriserv.sa</v>
          </cell>
          <cell r="L422" t="str">
            <v>0540557004</v>
          </cell>
          <cell r="M422" t="str">
            <v/>
          </cell>
          <cell r="N422" t="str">
            <v>المملكة العربية السعودية</v>
          </cell>
          <cell r="O422" t="str">
            <v>50001072</v>
          </cell>
          <cell r="P422" t="str">
            <v>طبيب بيطري مساعد</v>
          </cell>
          <cell r="Q422" t="str">
            <v>2B الدرجة</v>
          </cell>
          <cell r="R422" t="str">
            <v>Class A</v>
          </cell>
          <cell r="S422" t="str">
            <v/>
          </cell>
          <cell r="T422" t="str">
            <v>محافظة  الخرج</v>
          </cell>
          <cell r="U422" t="str">
            <v>عمليات الفروع</v>
          </cell>
          <cell r="V422" t="str">
            <v>الفروع</v>
          </cell>
          <cell r="W422" t="str">
            <v>Al Riyadh</v>
          </cell>
          <cell r="X422" t="str">
            <v xml:space="preserve">الفرع </v>
          </cell>
          <cell r="Y422">
            <v>44835</v>
          </cell>
          <cell r="Z422">
            <v>3.71</v>
          </cell>
          <cell r="AA422">
            <v>1355</v>
          </cell>
          <cell r="AB422" t="str">
            <v>نشط</v>
          </cell>
          <cell r="AC422" t="str">
            <v>400233</v>
          </cell>
          <cell r="AD422" t="str">
            <v>Ahmed Alhajri</v>
          </cell>
          <cell r="AE422" t="str">
            <v>إعارة</v>
          </cell>
          <cell r="AF422" t="str">
            <v/>
          </cell>
          <cell r="AG422" t="str">
            <v/>
          </cell>
          <cell r="AH422" t="str">
            <v>انتاج حيواني</v>
          </cell>
          <cell r="AI422" t="str">
            <v>دبلوم</v>
          </cell>
          <cell r="AJ422">
            <v>2</v>
          </cell>
          <cell r="AK422">
            <v>0</v>
          </cell>
          <cell r="AL422">
            <v>0</v>
          </cell>
          <cell r="AM422">
            <v>2</v>
          </cell>
          <cell r="AN422" t="str">
            <v/>
          </cell>
          <cell r="AO422" t="str">
            <v>عمليات الفروع</v>
          </cell>
          <cell r="AP422" t="str">
            <v>Saudi National Bank</v>
          </cell>
          <cell r="AQ422" t="str">
            <v>SA1610000009069682000102</v>
          </cell>
          <cell r="AR422">
            <v>6308</v>
          </cell>
          <cell r="AS422" t="str">
            <v/>
          </cell>
          <cell r="AT422">
            <v>130.80000000000001</v>
          </cell>
          <cell r="AU422">
            <v>1577</v>
          </cell>
          <cell r="AV422" t="str">
            <v/>
          </cell>
        </row>
        <row r="423">
          <cell r="A423">
            <v>400242</v>
          </cell>
          <cell r="B423" t="str">
            <v>1099497479</v>
          </cell>
          <cell r="C423" t="str">
            <v>السيد</v>
          </cell>
          <cell r="D423" t="str">
            <v>Hussain Al-Salameh</v>
          </cell>
          <cell r="E423" t="str">
            <v>حسين   السلامه</v>
          </cell>
          <cell r="F423" t="str">
            <v>Male</v>
          </cell>
          <cell r="G423" t="str">
            <v>أعزب</v>
          </cell>
          <cell r="H423">
            <v>35932</v>
          </cell>
          <cell r="I423">
            <v>28</v>
          </cell>
          <cell r="J423">
            <v>10258</v>
          </cell>
          <cell r="K423" t="str">
            <v>HALSALAMA@agriserv.com.sa</v>
          </cell>
          <cell r="L423" t="str">
            <v>0561434578</v>
          </cell>
          <cell r="M423" t="str">
            <v/>
          </cell>
          <cell r="N423" t="str">
            <v>المملكة العربية السعودية</v>
          </cell>
          <cell r="O423" t="str">
            <v>50001073</v>
          </cell>
          <cell r="P423" t="str">
            <v>طبيب بيطري مساعد</v>
          </cell>
          <cell r="Q423" t="str">
            <v>2B الدرجة</v>
          </cell>
          <cell r="R423" t="str">
            <v/>
          </cell>
          <cell r="S423" t="str">
            <v/>
          </cell>
          <cell r="T423" t="str">
            <v>المنشآت البيطرية</v>
          </cell>
          <cell r="U423" t="str">
            <v>الخدمات الصحية و الإرشاد ودعم التسويق للثروة الحيوانية</v>
          </cell>
          <cell r="V423" t="str">
            <v>العمليات</v>
          </cell>
          <cell r="W423" t="str">
            <v>Al Riyadh</v>
          </cell>
          <cell r="X423" t="str">
            <v xml:space="preserve">الفرع </v>
          </cell>
          <cell r="Y423">
            <v>44835</v>
          </cell>
          <cell r="Z423">
            <v>3.71</v>
          </cell>
          <cell r="AA423">
            <v>1355</v>
          </cell>
          <cell r="AB423" t="str">
            <v>غير نشط</v>
          </cell>
          <cell r="AC423" t="str">
            <v>400209</v>
          </cell>
          <cell r="AD423" t="str">
            <v>Yagoub Aljraid</v>
          </cell>
          <cell r="AE423" t="str">
            <v>إعارة</v>
          </cell>
          <cell r="AF423">
            <v>45169</v>
          </cell>
          <cell r="AG423" t="str">
            <v/>
          </cell>
          <cell r="AH423" t="str">
            <v/>
          </cell>
          <cell r="AI423" t="str">
            <v/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 t="str">
            <v/>
          </cell>
          <cell r="AO423" t="str">
            <v>Livestock Extension &amp; Protection</v>
          </cell>
          <cell r="AP423" t="str">
            <v>Banque Saudi Fransi</v>
          </cell>
          <cell r="AQ423" t="str">
            <v>SA82550000000F6166800164</v>
          </cell>
          <cell r="AR423">
            <v>5240</v>
          </cell>
          <cell r="AS423" t="str">
            <v/>
          </cell>
          <cell r="AT423">
            <v>24</v>
          </cell>
          <cell r="AU423">
            <v>1310</v>
          </cell>
          <cell r="AV423" t="str">
            <v/>
          </cell>
        </row>
        <row r="424">
          <cell r="A424">
            <v>400243</v>
          </cell>
          <cell r="B424" t="str">
            <v>1095410559</v>
          </cell>
          <cell r="C424" t="str">
            <v>السيد</v>
          </cell>
          <cell r="D424" t="str">
            <v>Abdullah Suleiman Abdullah Alayed</v>
          </cell>
          <cell r="E424" t="str">
            <v>عبدالله سليمان عبدالله العايد</v>
          </cell>
          <cell r="F424" t="str">
            <v>Male</v>
          </cell>
          <cell r="G424" t="str">
            <v>متزوج</v>
          </cell>
          <cell r="H424">
            <v>35116</v>
          </cell>
          <cell r="I424">
            <v>30</v>
          </cell>
          <cell r="J424">
            <v>11074</v>
          </cell>
          <cell r="K424" t="str">
            <v>Abdullah.AlAyed@agriserv.sa</v>
          </cell>
          <cell r="L424" t="str">
            <v>0539070411</v>
          </cell>
          <cell r="M424" t="str">
            <v/>
          </cell>
          <cell r="N424" t="str">
            <v>المملكة العربية السعودية</v>
          </cell>
          <cell r="O424" t="str">
            <v>50001074</v>
          </cell>
          <cell r="P424" t="str">
            <v>طبيب بيطري</v>
          </cell>
          <cell r="Q424" t="str">
            <v>الدرجة 3</v>
          </cell>
          <cell r="R424" t="str">
            <v>Class A</v>
          </cell>
          <cell r="S424" t="str">
            <v/>
          </cell>
          <cell r="T424" t="str">
            <v>محافظة  المجمعه</v>
          </cell>
          <cell r="U424" t="str">
            <v>عمليات الفروع</v>
          </cell>
          <cell r="V424" t="str">
            <v>الفروع</v>
          </cell>
          <cell r="W424" t="str">
            <v>Al Riyadh</v>
          </cell>
          <cell r="X424" t="str">
            <v xml:space="preserve">الفرع </v>
          </cell>
          <cell r="Y424">
            <v>44835</v>
          </cell>
          <cell r="Z424">
            <v>3.71</v>
          </cell>
          <cell r="AA424">
            <v>1355</v>
          </cell>
          <cell r="AB424" t="str">
            <v>نشط</v>
          </cell>
          <cell r="AC424" t="str">
            <v>400106</v>
          </cell>
          <cell r="AD424" t="str">
            <v>Turki Almukhaimer</v>
          </cell>
          <cell r="AE424" t="str">
            <v>إعارة</v>
          </cell>
          <cell r="AF424" t="str">
            <v/>
          </cell>
          <cell r="AG424" t="str">
            <v/>
          </cell>
          <cell r="AH424" t="str">
            <v>طب بيطري</v>
          </cell>
          <cell r="AI424" t="str">
            <v>بكالوريوس</v>
          </cell>
          <cell r="AJ424">
            <v>3</v>
          </cell>
          <cell r="AK424">
            <v>0</v>
          </cell>
          <cell r="AL424">
            <v>1</v>
          </cell>
          <cell r="AM424">
            <v>2</v>
          </cell>
          <cell r="AN424" t="str">
            <v/>
          </cell>
          <cell r="AO424" t="str">
            <v>عمليات الفروع</v>
          </cell>
          <cell r="AP424" t="str">
            <v>Al Rajhi Bank</v>
          </cell>
          <cell r="AQ424" t="str">
            <v>SA4180000517608016002210</v>
          </cell>
          <cell r="AR424">
            <v>9551</v>
          </cell>
          <cell r="AS424" t="str">
            <v/>
          </cell>
          <cell r="AT424">
            <v>455.1</v>
          </cell>
          <cell r="AU424">
            <v>2387.75</v>
          </cell>
          <cell r="AV424" t="str">
            <v/>
          </cell>
        </row>
        <row r="425">
          <cell r="A425">
            <v>400244</v>
          </cell>
          <cell r="B425" t="str">
            <v>1093537890</v>
          </cell>
          <cell r="C425" t="str">
            <v>السيد</v>
          </cell>
          <cell r="D425" t="str">
            <v>Ridha Ali Ibrahim Aldalwi</v>
          </cell>
          <cell r="E425" t="str">
            <v>رضا علي ابراهيم الدالوي</v>
          </cell>
          <cell r="F425" t="str">
            <v>Male</v>
          </cell>
          <cell r="G425" t="str">
            <v>متزوج</v>
          </cell>
          <cell r="H425">
            <v>35424</v>
          </cell>
          <cell r="I425">
            <v>29</v>
          </cell>
          <cell r="J425">
            <v>10766</v>
          </cell>
          <cell r="K425" t="str">
            <v>Reda.AlDalawi@agriserv.sa</v>
          </cell>
          <cell r="L425" t="str">
            <v>0532406315</v>
          </cell>
          <cell r="M425" t="str">
            <v/>
          </cell>
          <cell r="N425" t="str">
            <v>المملكة العربية السعودية</v>
          </cell>
          <cell r="O425" t="str">
            <v>50001075</v>
          </cell>
          <cell r="P425" t="str">
            <v>طبيب بيطري</v>
          </cell>
          <cell r="Q425" t="str">
            <v>الدرجة 3</v>
          </cell>
          <cell r="R425" t="str">
            <v>Class A</v>
          </cell>
          <cell r="S425" t="str">
            <v/>
          </cell>
          <cell r="T425" t="str">
            <v>محافظة ضرماء</v>
          </cell>
          <cell r="U425" t="str">
            <v>عمليات الفروع</v>
          </cell>
          <cell r="V425" t="str">
            <v>الفروع</v>
          </cell>
          <cell r="W425" t="str">
            <v>Al Riyadh</v>
          </cell>
          <cell r="X425" t="str">
            <v xml:space="preserve">الفرع </v>
          </cell>
          <cell r="Y425">
            <v>44835</v>
          </cell>
          <cell r="Z425">
            <v>3.71</v>
          </cell>
          <cell r="AA425">
            <v>1355</v>
          </cell>
          <cell r="AB425" t="str">
            <v>نشط</v>
          </cell>
          <cell r="AC425" t="str">
            <v>400146</v>
          </cell>
          <cell r="AD425" t="str">
            <v>Talal Alotaibi</v>
          </cell>
          <cell r="AE425" t="str">
            <v>إعارة</v>
          </cell>
          <cell r="AF425" t="str">
            <v/>
          </cell>
          <cell r="AG425" t="str">
            <v/>
          </cell>
          <cell r="AH425" t="str">
            <v>طب بيطري</v>
          </cell>
          <cell r="AI425" t="str">
            <v>بكالوريوس</v>
          </cell>
          <cell r="AJ425">
            <v>3</v>
          </cell>
          <cell r="AK425">
            <v>0</v>
          </cell>
          <cell r="AL425">
            <v>1</v>
          </cell>
          <cell r="AM425">
            <v>2</v>
          </cell>
          <cell r="AN425" t="str">
            <v/>
          </cell>
          <cell r="AO425" t="str">
            <v>عمليات الفروع</v>
          </cell>
          <cell r="AP425" t="str">
            <v>Saudi National Bank</v>
          </cell>
          <cell r="AQ425" t="str">
            <v>SA8910000014900000104710</v>
          </cell>
          <cell r="AR425">
            <v>9551</v>
          </cell>
          <cell r="AS425" t="str">
            <v/>
          </cell>
          <cell r="AT425">
            <v>455.1</v>
          </cell>
          <cell r="AU425">
            <v>2387.75</v>
          </cell>
          <cell r="AV425" t="str">
            <v/>
          </cell>
        </row>
        <row r="426">
          <cell r="A426">
            <v>400245</v>
          </cell>
          <cell r="B426" t="str">
            <v/>
          </cell>
          <cell r="C426" t="str">
            <v>السيد</v>
          </cell>
          <cell r="D426" t="str">
            <v>Abdulrhman Wali Ali Hakami</v>
          </cell>
          <cell r="E426" t="str">
            <v>عبدالرحمن ولي علي حكمي</v>
          </cell>
          <cell r="F426" t="str">
            <v>Male</v>
          </cell>
          <cell r="G426" t="str">
            <v>أعزب</v>
          </cell>
          <cell r="H426">
            <v>35473</v>
          </cell>
          <cell r="I426">
            <v>29</v>
          </cell>
          <cell r="J426">
            <v>10717</v>
          </cell>
          <cell r="K426" t="str">
            <v>ABWHAKAMI@agriserv.com.sa</v>
          </cell>
          <cell r="L426" t="str">
            <v>0549827727</v>
          </cell>
          <cell r="M426" t="str">
            <v/>
          </cell>
          <cell r="N426" t="str">
            <v>المملكة العربية السعودية</v>
          </cell>
          <cell r="O426" t="str">
            <v>50001076</v>
          </cell>
          <cell r="P426" t="str">
            <v>طبيب بيطري مساعد</v>
          </cell>
          <cell r="Q426" t="str">
            <v>2B الدرجة</v>
          </cell>
          <cell r="R426" t="str">
            <v/>
          </cell>
          <cell r="S426" t="str">
            <v/>
          </cell>
          <cell r="T426" t="str">
            <v>عيادة جنوب الرياض</v>
          </cell>
          <cell r="U426" t="str">
            <v>عمليات الفروع</v>
          </cell>
          <cell r="V426" t="str">
            <v>الفروع</v>
          </cell>
          <cell r="W426" t="str">
            <v>Al Riyadh</v>
          </cell>
          <cell r="X426" t="str">
            <v xml:space="preserve">الفرع </v>
          </cell>
          <cell r="Y426">
            <v>44835</v>
          </cell>
          <cell r="Z426">
            <v>3.71</v>
          </cell>
          <cell r="AA426">
            <v>1355</v>
          </cell>
          <cell r="AB426" t="str">
            <v>غير نشط</v>
          </cell>
          <cell r="AC426" t="str">
            <v>400146</v>
          </cell>
          <cell r="AD426" t="str">
            <v>Talal Alotaibi</v>
          </cell>
          <cell r="AE426" t="str">
            <v>إعارة</v>
          </cell>
          <cell r="AF426">
            <v>45377</v>
          </cell>
          <cell r="AG426" t="str">
            <v/>
          </cell>
          <cell r="AH426" t="str">
            <v/>
          </cell>
          <cell r="AI426" t="str">
            <v/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 t="str">
            <v/>
          </cell>
          <cell r="AO426" t="str">
            <v>Livestock Extension &amp; Protection</v>
          </cell>
          <cell r="AP426" t="str">
            <v>Al Rajhi Bank</v>
          </cell>
          <cell r="AQ426" t="str">
            <v>SA5380000316608010546579</v>
          </cell>
          <cell r="AR426">
            <v>5723</v>
          </cell>
          <cell r="AS426" t="str">
            <v/>
          </cell>
          <cell r="AT426">
            <v>72.3</v>
          </cell>
          <cell r="AU426">
            <v>1430.75</v>
          </cell>
          <cell r="AV426" t="str">
            <v/>
          </cell>
        </row>
        <row r="427">
          <cell r="A427">
            <v>400246</v>
          </cell>
          <cell r="B427" t="str">
            <v>1091808152</v>
          </cell>
          <cell r="C427" t="str">
            <v>السيد</v>
          </cell>
          <cell r="D427" t="str">
            <v>Hassan Ali Aqeel Alnakhli</v>
          </cell>
          <cell r="E427" t="str">
            <v>حسن علي عقيل النخلي</v>
          </cell>
          <cell r="F427" t="str">
            <v>Male</v>
          </cell>
          <cell r="G427" t="str">
            <v>متزوج</v>
          </cell>
          <cell r="H427">
            <v>34916</v>
          </cell>
          <cell r="I427">
            <v>31</v>
          </cell>
          <cell r="J427">
            <v>11274</v>
          </cell>
          <cell r="K427" t="str">
            <v>Hassan.AlNakhli@agriserv.sa</v>
          </cell>
          <cell r="L427" t="str">
            <v>0580490012</v>
          </cell>
          <cell r="M427" t="str">
            <v/>
          </cell>
          <cell r="N427" t="str">
            <v>المملكة العربية السعودية</v>
          </cell>
          <cell r="O427" t="str">
            <v>50001077</v>
          </cell>
          <cell r="P427" t="str">
            <v>طبيب بيطري</v>
          </cell>
          <cell r="Q427" t="str">
            <v>الدرجة 3</v>
          </cell>
          <cell r="R427" t="str">
            <v>Class A</v>
          </cell>
          <cell r="S427" t="str">
            <v/>
          </cell>
          <cell r="T427" t="str">
            <v>محافظة   ثادق</v>
          </cell>
          <cell r="U427" t="str">
            <v>عمليات الفروع</v>
          </cell>
          <cell r="V427" t="str">
            <v>الفروع</v>
          </cell>
          <cell r="W427" t="str">
            <v>Al Riyadh</v>
          </cell>
          <cell r="X427" t="str">
            <v xml:space="preserve">الفرع </v>
          </cell>
          <cell r="Y427">
            <v>44835</v>
          </cell>
          <cell r="Z427">
            <v>3.71</v>
          </cell>
          <cell r="AA427">
            <v>1355</v>
          </cell>
          <cell r="AB427" t="str">
            <v>نشط</v>
          </cell>
          <cell r="AC427" t="str">
            <v>400146</v>
          </cell>
          <cell r="AD427" t="str">
            <v>Talal Alotaibi</v>
          </cell>
          <cell r="AE427" t="str">
            <v>إعارة</v>
          </cell>
          <cell r="AF427" t="str">
            <v/>
          </cell>
          <cell r="AG427" t="str">
            <v/>
          </cell>
          <cell r="AH427" t="str">
            <v>طب بيطري</v>
          </cell>
          <cell r="AI427" t="str">
            <v>بكالوريوس</v>
          </cell>
          <cell r="AJ427">
            <v>5</v>
          </cell>
          <cell r="AK427">
            <v>2</v>
          </cell>
          <cell r="AL427">
            <v>1</v>
          </cell>
          <cell r="AM427">
            <v>2</v>
          </cell>
          <cell r="AN427" t="str">
            <v/>
          </cell>
          <cell r="AO427" t="str">
            <v>عمليات الفروع</v>
          </cell>
          <cell r="AP427" t="str">
            <v>Al Rajhi Bank</v>
          </cell>
          <cell r="AQ427" t="str">
            <v>SA4080000562608010092096</v>
          </cell>
          <cell r="AR427">
            <v>9461</v>
          </cell>
          <cell r="AS427" t="str">
            <v/>
          </cell>
          <cell r="AT427">
            <v>446.1</v>
          </cell>
          <cell r="AU427">
            <v>2365.25</v>
          </cell>
          <cell r="AV427" t="str">
            <v/>
          </cell>
        </row>
        <row r="428">
          <cell r="A428">
            <v>400247</v>
          </cell>
          <cell r="B428" t="str">
            <v>1099923623</v>
          </cell>
          <cell r="C428" t="str">
            <v>السيد</v>
          </cell>
          <cell r="D428" t="str">
            <v>Suliman Hamad Mohammed Aleidi</v>
          </cell>
          <cell r="E428" t="str">
            <v>سليمان حمد محمد العيدي</v>
          </cell>
          <cell r="F428" t="str">
            <v>Male</v>
          </cell>
          <cell r="G428" t="str">
            <v>أعزب</v>
          </cell>
          <cell r="H428">
            <v>35288</v>
          </cell>
          <cell r="I428">
            <v>30</v>
          </cell>
          <cell r="J428">
            <v>10902</v>
          </cell>
          <cell r="K428" t="str">
            <v>Suleiman.AlEidi@agriserv.sa</v>
          </cell>
          <cell r="L428" t="str">
            <v>0577401730</v>
          </cell>
          <cell r="M428" t="str">
            <v/>
          </cell>
          <cell r="N428" t="str">
            <v>المملكة العربية السعودية</v>
          </cell>
          <cell r="O428" t="str">
            <v>50001078</v>
          </cell>
          <cell r="P428" t="str">
            <v>طبيب بيطري</v>
          </cell>
          <cell r="Q428" t="str">
            <v>الدرجة 3</v>
          </cell>
          <cell r="R428" t="str">
            <v>Class A</v>
          </cell>
          <cell r="S428" t="str">
            <v/>
          </cell>
          <cell r="T428" t="str">
            <v>محافظة  شقراء</v>
          </cell>
          <cell r="U428" t="str">
            <v>عمليات الفروع</v>
          </cell>
          <cell r="V428" t="str">
            <v>الفروع</v>
          </cell>
          <cell r="W428" t="str">
            <v>Al Riyadh</v>
          </cell>
          <cell r="X428" t="str">
            <v xml:space="preserve">الفرع </v>
          </cell>
          <cell r="Y428">
            <v>44835</v>
          </cell>
          <cell r="Z428">
            <v>3.71</v>
          </cell>
          <cell r="AA428">
            <v>1355</v>
          </cell>
          <cell r="AB428" t="str">
            <v>نشط</v>
          </cell>
          <cell r="AC428" t="str">
            <v>400240</v>
          </cell>
          <cell r="AD428" t="str">
            <v>Abdulghani Almohsen</v>
          </cell>
          <cell r="AE428" t="str">
            <v>إعارة</v>
          </cell>
          <cell r="AF428" t="str">
            <v/>
          </cell>
          <cell r="AG428" t="str">
            <v/>
          </cell>
          <cell r="AH428" t="str">
            <v>طب بيطري</v>
          </cell>
          <cell r="AI428" t="str">
            <v>بكالوريوس</v>
          </cell>
          <cell r="AJ428">
            <v>2</v>
          </cell>
          <cell r="AK428">
            <v>0</v>
          </cell>
          <cell r="AL428">
            <v>0</v>
          </cell>
          <cell r="AM428">
            <v>2</v>
          </cell>
          <cell r="AN428" t="str">
            <v/>
          </cell>
          <cell r="AO428" t="str">
            <v>عمليات الفروع</v>
          </cell>
          <cell r="AP428" t="str">
            <v>Al Rajhi Bank</v>
          </cell>
          <cell r="AQ428" t="str">
            <v>SA6680000192608010997581</v>
          </cell>
          <cell r="AR428">
            <v>9459</v>
          </cell>
          <cell r="AS428" t="str">
            <v/>
          </cell>
          <cell r="AT428">
            <v>445.9</v>
          </cell>
          <cell r="AU428">
            <v>2364.75</v>
          </cell>
          <cell r="AV428" t="str">
            <v/>
          </cell>
        </row>
        <row r="429">
          <cell r="A429">
            <v>400248</v>
          </cell>
          <cell r="B429" t="str">
            <v>1109260388</v>
          </cell>
          <cell r="C429" t="str">
            <v>السيد</v>
          </cell>
          <cell r="D429" t="str">
            <v>Ali Ahmed Salih Alomran</v>
          </cell>
          <cell r="E429" t="str">
            <v>علي احمد صالح العمران</v>
          </cell>
          <cell r="F429" t="str">
            <v>Male</v>
          </cell>
          <cell r="G429" t="str">
            <v>متزوج</v>
          </cell>
          <cell r="H429">
            <v>36499</v>
          </cell>
          <cell r="I429">
            <v>27</v>
          </cell>
          <cell r="J429">
            <v>9691</v>
          </cell>
          <cell r="K429" t="str">
            <v>Ali.AlOmran@agriserv.sa</v>
          </cell>
          <cell r="L429" t="str">
            <v>0539228803</v>
          </cell>
          <cell r="M429" t="str">
            <v/>
          </cell>
          <cell r="N429" t="str">
            <v>المملكة العربية السعودية</v>
          </cell>
          <cell r="O429" t="str">
            <v>50001079</v>
          </cell>
          <cell r="P429" t="str">
            <v>طبيب بيطري مساعد</v>
          </cell>
          <cell r="Q429" t="str">
            <v>2B الدرجة</v>
          </cell>
          <cell r="R429" t="str">
            <v>Class A</v>
          </cell>
          <cell r="S429" t="str">
            <v/>
          </cell>
          <cell r="T429" t="str">
            <v>محافظة   ثادق</v>
          </cell>
          <cell r="U429" t="str">
            <v>عمليات الفروع</v>
          </cell>
          <cell r="V429" t="str">
            <v>الفروع</v>
          </cell>
          <cell r="W429" t="str">
            <v>Al Riyadh</v>
          </cell>
          <cell r="X429" t="str">
            <v xml:space="preserve">الفرع </v>
          </cell>
          <cell r="Y429">
            <v>44835</v>
          </cell>
          <cell r="Z429">
            <v>3.71</v>
          </cell>
          <cell r="AA429">
            <v>1355</v>
          </cell>
          <cell r="AB429" t="str">
            <v>نشط</v>
          </cell>
          <cell r="AC429" t="str">
            <v>400246</v>
          </cell>
          <cell r="AD429" t="str">
            <v>Hassan Alnakhli</v>
          </cell>
          <cell r="AE429" t="str">
            <v>إعارة</v>
          </cell>
          <cell r="AF429" t="str">
            <v/>
          </cell>
          <cell r="AG429" t="str">
            <v/>
          </cell>
          <cell r="AH429" t="str">
            <v>طب بيطري</v>
          </cell>
          <cell r="AI429" t="str">
            <v>دبلوم</v>
          </cell>
          <cell r="AJ429">
            <v>5</v>
          </cell>
          <cell r="AK429">
            <v>2</v>
          </cell>
          <cell r="AL429">
            <v>1</v>
          </cell>
          <cell r="AM429">
            <v>2</v>
          </cell>
          <cell r="AN429" t="str">
            <v/>
          </cell>
          <cell r="AO429" t="str">
            <v>عمليات الفروع</v>
          </cell>
          <cell r="AP429" t="str">
            <v>Saudi National Bank</v>
          </cell>
          <cell r="AQ429" t="str">
            <v>SA3910000032100000112510</v>
          </cell>
          <cell r="AR429">
            <v>6009</v>
          </cell>
          <cell r="AS429" t="str">
            <v/>
          </cell>
          <cell r="AT429">
            <v>100.9</v>
          </cell>
          <cell r="AU429">
            <v>1502.25</v>
          </cell>
          <cell r="AV429" t="str">
            <v/>
          </cell>
        </row>
        <row r="430">
          <cell r="A430">
            <v>400249</v>
          </cell>
          <cell r="B430" t="str">
            <v>1101491858</v>
          </cell>
          <cell r="C430" t="str">
            <v>السيد</v>
          </cell>
          <cell r="D430" t="str">
            <v>Mustafa Ali Saleh Ahmed</v>
          </cell>
          <cell r="E430" t="str">
            <v>مصطفى علي صالح احمد</v>
          </cell>
          <cell r="F430" t="str">
            <v>Male</v>
          </cell>
          <cell r="G430" t="str">
            <v>أعزب</v>
          </cell>
          <cell r="H430">
            <v>36101</v>
          </cell>
          <cell r="I430">
            <v>28</v>
          </cell>
          <cell r="J430">
            <v>10089</v>
          </cell>
          <cell r="K430" t="str">
            <v>Mustafa.Ahmed@agriserv.sa</v>
          </cell>
          <cell r="L430" t="str">
            <v>0507014893</v>
          </cell>
          <cell r="M430" t="str">
            <v/>
          </cell>
          <cell r="N430" t="str">
            <v>المملكة العربية السعودية</v>
          </cell>
          <cell r="O430" t="str">
            <v>50001080</v>
          </cell>
          <cell r="P430" t="str">
            <v>طبيب بيطري مساعد</v>
          </cell>
          <cell r="Q430" t="str">
            <v>2B الدرجة</v>
          </cell>
          <cell r="R430" t="str">
            <v>Class A</v>
          </cell>
          <cell r="S430" t="str">
            <v/>
          </cell>
          <cell r="T430" t="str">
            <v>محافظة  الافلاج</v>
          </cell>
          <cell r="U430" t="str">
            <v>عمليات الفروع</v>
          </cell>
          <cell r="V430" t="str">
            <v>الفروع</v>
          </cell>
          <cell r="W430" t="str">
            <v>Al Riyadh</v>
          </cell>
          <cell r="X430" t="str">
            <v xml:space="preserve">الفرع </v>
          </cell>
          <cell r="Y430">
            <v>44835</v>
          </cell>
          <cell r="Z430">
            <v>3.71</v>
          </cell>
          <cell r="AA430">
            <v>1355</v>
          </cell>
          <cell r="AB430" t="str">
            <v>نشط</v>
          </cell>
          <cell r="AC430" t="str">
            <v>400146</v>
          </cell>
          <cell r="AD430" t="str">
            <v>Talal Alotaibi</v>
          </cell>
          <cell r="AE430" t="str">
            <v>إعارة</v>
          </cell>
          <cell r="AF430" t="str">
            <v/>
          </cell>
          <cell r="AG430" t="str">
            <v/>
          </cell>
          <cell r="AH430" t="str">
            <v>طب بيطري</v>
          </cell>
          <cell r="AI430" t="str">
            <v>دبلوم</v>
          </cell>
          <cell r="AJ430">
            <v>3</v>
          </cell>
          <cell r="AK430">
            <v>0</v>
          </cell>
          <cell r="AL430">
            <v>1</v>
          </cell>
          <cell r="AM430">
            <v>2</v>
          </cell>
          <cell r="AN430" t="str">
            <v/>
          </cell>
          <cell r="AO430" t="str">
            <v>عمليات الفروع</v>
          </cell>
          <cell r="AP430" t="str">
            <v>Al Rajhi Bank</v>
          </cell>
          <cell r="AQ430" t="str">
            <v>SA5680000603608016006661</v>
          </cell>
          <cell r="AR430">
            <v>6190</v>
          </cell>
          <cell r="AS430" t="str">
            <v/>
          </cell>
          <cell r="AT430">
            <v>119</v>
          </cell>
          <cell r="AU430">
            <v>1547.5</v>
          </cell>
          <cell r="AV430" t="str">
            <v/>
          </cell>
        </row>
        <row r="431">
          <cell r="A431">
            <v>400250</v>
          </cell>
          <cell r="B431" t="str">
            <v>1084979242</v>
          </cell>
          <cell r="C431" t="str">
            <v>السيد</v>
          </cell>
          <cell r="D431" t="str">
            <v>Fahad Saad Fahad Alduhailan</v>
          </cell>
          <cell r="E431" t="str">
            <v>فهد سعد فهد الدحيلان</v>
          </cell>
          <cell r="F431" t="str">
            <v>Male</v>
          </cell>
          <cell r="G431" t="str">
            <v>أعزب</v>
          </cell>
          <cell r="H431">
            <v>34757</v>
          </cell>
          <cell r="I431">
            <v>31</v>
          </cell>
          <cell r="J431">
            <v>11433</v>
          </cell>
          <cell r="K431" t="str">
            <v>Fahad.Duhailan@agriserv.sa</v>
          </cell>
          <cell r="L431" t="str">
            <v>0555004128</v>
          </cell>
          <cell r="M431" t="str">
            <v/>
          </cell>
          <cell r="N431" t="str">
            <v>المملكة العربية السعودية</v>
          </cell>
          <cell r="O431" t="str">
            <v>50001081</v>
          </cell>
          <cell r="P431" t="str">
            <v>طبيب بيطري</v>
          </cell>
          <cell r="Q431" t="str">
            <v>الدرجة 3</v>
          </cell>
          <cell r="R431" t="str">
            <v>Class A</v>
          </cell>
          <cell r="S431" t="str">
            <v/>
          </cell>
          <cell r="T431" t="str">
            <v>محافظة  حوطة بني تميم</v>
          </cell>
          <cell r="U431" t="str">
            <v>عمليات الفروع</v>
          </cell>
          <cell r="V431" t="str">
            <v>الفروع</v>
          </cell>
          <cell r="W431" t="str">
            <v>Al Riyadh</v>
          </cell>
          <cell r="X431" t="str">
            <v xml:space="preserve">الفرع </v>
          </cell>
          <cell r="Y431">
            <v>44835</v>
          </cell>
          <cell r="Z431">
            <v>3.71</v>
          </cell>
          <cell r="AA431">
            <v>1355</v>
          </cell>
          <cell r="AB431" t="str">
            <v>نشط</v>
          </cell>
          <cell r="AC431" t="str">
            <v>400188</v>
          </cell>
          <cell r="AD431" t="str">
            <v>Sultan Masraa</v>
          </cell>
          <cell r="AE431" t="str">
            <v>إعارة</v>
          </cell>
          <cell r="AF431" t="str">
            <v/>
          </cell>
          <cell r="AG431" t="str">
            <v/>
          </cell>
          <cell r="AH431" t="str">
            <v>طب بيطري</v>
          </cell>
          <cell r="AI431" t="str">
            <v>بكالوريوس</v>
          </cell>
          <cell r="AJ431">
            <v>2</v>
          </cell>
          <cell r="AK431">
            <v>0</v>
          </cell>
          <cell r="AL431">
            <v>0</v>
          </cell>
          <cell r="AM431">
            <v>2</v>
          </cell>
          <cell r="AN431" t="str">
            <v/>
          </cell>
          <cell r="AO431" t="str">
            <v>عمليات الفروع</v>
          </cell>
          <cell r="AP431" t="str">
            <v>Inma Bank</v>
          </cell>
          <cell r="AQ431" t="str">
            <v>SA9805000068201089313000</v>
          </cell>
          <cell r="AR431">
            <v>9643</v>
          </cell>
          <cell r="AS431" t="str">
            <v/>
          </cell>
          <cell r="AT431">
            <v>464.3</v>
          </cell>
          <cell r="AU431">
            <v>2410.75</v>
          </cell>
          <cell r="AV431" t="str">
            <v/>
          </cell>
        </row>
        <row r="432">
          <cell r="A432">
            <v>400251</v>
          </cell>
          <cell r="B432" t="str">
            <v>1109387108</v>
          </cell>
          <cell r="C432" t="str">
            <v>السيد</v>
          </cell>
          <cell r="D432" t="str">
            <v>Mohammed Khalil Ibrahim Alali</v>
          </cell>
          <cell r="E432" t="str">
            <v>محمد خليل ابراهيم العلي</v>
          </cell>
          <cell r="F432" t="str">
            <v>Male</v>
          </cell>
          <cell r="G432" t="str">
            <v>أعزب</v>
          </cell>
          <cell r="H432">
            <v>36776</v>
          </cell>
          <cell r="I432">
            <v>26</v>
          </cell>
          <cell r="J432">
            <v>9414</v>
          </cell>
          <cell r="K432" t="str">
            <v>Muhammad.AlAli@agriserv.sa</v>
          </cell>
          <cell r="L432" t="str">
            <v>0538053005</v>
          </cell>
          <cell r="M432" t="str">
            <v/>
          </cell>
          <cell r="N432" t="str">
            <v>المملكة العربية السعودية</v>
          </cell>
          <cell r="O432" t="str">
            <v>50001082</v>
          </cell>
          <cell r="P432" t="str">
            <v>طبيب بيطري مساعد</v>
          </cell>
          <cell r="Q432" t="str">
            <v>2B الدرجة</v>
          </cell>
          <cell r="R432" t="str">
            <v>Class A</v>
          </cell>
          <cell r="S432" t="str">
            <v/>
          </cell>
          <cell r="T432" t="str">
            <v>محافظة   ثادق</v>
          </cell>
          <cell r="U432" t="str">
            <v>عمليات الفروع</v>
          </cell>
          <cell r="V432" t="str">
            <v>الفروع</v>
          </cell>
          <cell r="W432" t="str">
            <v>Al Riyadh</v>
          </cell>
          <cell r="X432" t="str">
            <v xml:space="preserve">الفرع </v>
          </cell>
          <cell r="Y432">
            <v>44835</v>
          </cell>
          <cell r="Z432">
            <v>3.71</v>
          </cell>
          <cell r="AA432">
            <v>1355</v>
          </cell>
          <cell r="AB432" t="str">
            <v>نشط</v>
          </cell>
          <cell r="AC432" t="str">
            <v>400246</v>
          </cell>
          <cell r="AD432" t="str">
            <v>Hassan Alnakhli</v>
          </cell>
          <cell r="AE432" t="str">
            <v>إعارة</v>
          </cell>
          <cell r="AF432" t="str">
            <v/>
          </cell>
          <cell r="AG432" t="str">
            <v/>
          </cell>
          <cell r="AH432" t="str">
            <v>انتاج حيواني</v>
          </cell>
          <cell r="AI432" t="str">
            <v>دبلوم</v>
          </cell>
          <cell r="AJ432">
            <v>3</v>
          </cell>
          <cell r="AK432">
            <v>0</v>
          </cell>
          <cell r="AL432">
            <v>1</v>
          </cell>
          <cell r="AM432">
            <v>2</v>
          </cell>
          <cell r="AN432" t="str">
            <v/>
          </cell>
          <cell r="AO432" t="str">
            <v>عمليات الفروع</v>
          </cell>
          <cell r="AP432" t="str">
            <v>Al Rajhi Bank</v>
          </cell>
          <cell r="AQ432" t="str">
            <v>SA3280000126608016042292</v>
          </cell>
          <cell r="AR432">
            <v>6189</v>
          </cell>
          <cell r="AS432" t="str">
            <v/>
          </cell>
          <cell r="AT432">
            <v>118.9</v>
          </cell>
          <cell r="AU432">
            <v>1547.25</v>
          </cell>
          <cell r="AV432" t="str">
            <v/>
          </cell>
        </row>
        <row r="433">
          <cell r="A433">
            <v>400252</v>
          </cell>
          <cell r="B433" t="str">
            <v>1084686516</v>
          </cell>
          <cell r="C433" t="str">
            <v>السيد</v>
          </cell>
          <cell r="D433" t="str">
            <v>Adnan Ahmed Adnan Alhashem</v>
          </cell>
          <cell r="E433" t="str">
            <v>عدنان احمد عدنان الهاشم</v>
          </cell>
          <cell r="F433" t="str">
            <v>Male</v>
          </cell>
          <cell r="G433" t="str">
            <v>متزوج</v>
          </cell>
          <cell r="H433">
            <v>34689</v>
          </cell>
          <cell r="I433">
            <v>31</v>
          </cell>
          <cell r="J433">
            <v>11501</v>
          </cell>
          <cell r="K433" t="str">
            <v>Adnan.Alhashem@agriserv.sa</v>
          </cell>
          <cell r="L433" t="str">
            <v>0564220047</v>
          </cell>
          <cell r="M433" t="str">
            <v/>
          </cell>
          <cell r="N433" t="str">
            <v>المملكة العربية السعودية</v>
          </cell>
          <cell r="O433" t="str">
            <v>50001083</v>
          </cell>
          <cell r="P433" t="str">
            <v>طبيب بيطري</v>
          </cell>
          <cell r="Q433" t="str">
            <v>الدرجة 3</v>
          </cell>
          <cell r="R433" t="str">
            <v>Class A</v>
          </cell>
          <cell r="S433" t="str">
            <v/>
          </cell>
          <cell r="T433" t="str">
            <v>محافظة  وادي الدواسر</v>
          </cell>
          <cell r="U433" t="str">
            <v>عمليات الفروع</v>
          </cell>
          <cell r="V433" t="str">
            <v>الفروع</v>
          </cell>
          <cell r="W433" t="str">
            <v>Al Riyadh</v>
          </cell>
          <cell r="X433" t="str">
            <v xml:space="preserve">الفرع </v>
          </cell>
          <cell r="Y433">
            <v>44835</v>
          </cell>
          <cell r="Z433">
            <v>3.71</v>
          </cell>
          <cell r="AA433">
            <v>1355</v>
          </cell>
          <cell r="AB433" t="str">
            <v>نشط</v>
          </cell>
          <cell r="AC433" t="str">
            <v>400146</v>
          </cell>
          <cell r="AD433" t="str">
            <v>Talal Alotaibi</v>
          </cell>
          <cell r="AE433" t="str">
            <v>إعارة</v>
          </cell>
          <cell r="AF433" t="str">
            <v/>
          </cell>
          <cell r="AG433" t="str">
            <v/>
          </cell>
          <cell r="AH433" t="str">
            <v>طب بيطري</v>
          </cell>
          <cell r="AI433" t="str">
            <v>بكالوريوس</v>
          </cell>
          <cell r="AJ433">
            <v>3</v>
          </cell>
          <cell r="AK433">
            <v>0</v>
          </cell>
          <cell r="AL433">
            <v>1</v>
          </cell>
          <cell r="AM433">
            <v>2</v>
          </cell>
          <cell r="AN433" t="str">
            <v/>
          </cell>
          <cell r="AO433" t="str">
            <v>عمليات الفروع</v>
          </cell>
          <cell r="AP433" t="str">
            <v>Saudi National Bank</v>
          </cell>
          <cell r="AQ433" t="str">
            <v>SA3310000014950558000100</v>
          </cell>
          <cell r="AR433">
            <v>9461</v>
          </cell>
          <cell r="AS433" t="str">
            <v/>
          </cell>
          <cell r="AT433">
            <v>446.1</v>
          </cell>
          <cell r="AU433">
            <v>2365.25</v>
          </cell>
          <cell r="AV433" t="str">
            <v/>
          </cell>
        </row>
        <row r="434">
          <cell r="A434">
            <v>400253</v>
          </cell>
          <cell r="B434" t="str">
            <v>1065819540</v>
          </cell>
          <cell r="C434" t="str">
            <v>السيد</v>
          </cell>
          <cell r="D434" t="str">
            <v>Ali Heji Moussa Alabbadi</v>
          </cell>
          <cell r="E434" t="str">
            <v>علي حجي موسى العبادي</v>
          </cell>
          <cell r="F434" t="str">
            <v>Male</v>
          </cell>
          <cell r="G434" t="str">
            <v>متزوج</v>
          </cell>
          <cell r="H434">
            <v>32784</v>
          </cell>
          <cell r="I434">
            <v>37</v>
          </cell>
          <cell r="J434">
            <v>13406</v>
          </cell>
          <cell r="K434" t="str">
            <v>Ali.AlAbadi@agriserv.sa</v>
          </cell>
          <cell r="L434" t="str">
            <v>0560527791</v>
          </cell>
          <cell r="M434" t="str">
            <v/>
          </cell>
          <cell r="N434" t="str">
            <v>المملكة العربية السعودية</v>
          </cell>
          <cell r="O434" t="str">
            <v>50001084</v>
          </cell>
          <cell r="P434" t="str">
            <v>طبيب بيطري مساعد</v>
          </cell>
          <cell r="Q434" t="str">
            <v>2B الدرجة</v>
          </cell>
          <cell r="R434" t="str">
            <v>Class A</v>
          </cell>
          <cell r="S434" t="str">
            <v/>
          </cell>
          <cell r="T434" t="str">
            <v>عيادة جنوب الرياض</v>
          </cell>
          <cell r="U434" t="str">
            <v>عمليات الفروع</v>
          </cell>
          <cell r="V434" t="str">
            <v>الفروع</v>
          </cell>
          <cell r="W434" t="str">
            <v>Al Riyadh</v>
          </cell>
          <cell r="X434" t="str">
            <v xml:space="preserve">الفرع </v>
          </cell>
          <cell r="Y434">
            <v>44835</v>
          </cell>
          <cell r="Z434">
            <v>3.71</v>
          </cell>
          <cell r="AA434">
            <v>1355</v>
          </cell>
          <cell r="AB434" t="str">
            <v>نشط</v>
          </cell>
          <cell r="AC434" t="str">
            <v>400220</v>
          </cell>
          <cell r="AD434" t="str">
            <v>Nahedh Alhaydan</v>
          </cell>
          <cell r="AE434" t="str">
            <v>إعارة</v>
          </cell>
          <cell r="AF434" t="str">
            <v/>
          </cell>
          <cell r="AG434" t="str">
            <v/>
          </cell>
          <cell r="AH434" t="str">
            <v>ثانوية</v>
          </cell>
          <cell r="AI434" t="str">
            <v>شهادة المدرسة الثانوية</v>
          </cell>
          <cell r="AJ434">
            <v>5</v>
          </cell>
          <cell r="AK434">
            <v>3</v>
          </cell>
          <cell r="AL434">
            <v>1</v>
          </cell>
          <cell r="AM434">
            <v>1</v>
          </cell>
          <cell r="AN434" t="str">
            <v/>
          </cell>
          <cell r="AO434" t="str">
            <v>عمليات الفروع</v>
          </cell>
          <cell r="AP434" t="str">
            <v>Riyad Bank</v>
          </cell>
          <cell r="AQ434" t="str">
            <v>SA4720000003052719699940</v>
          </cell>
          <cell r="AR434">
            <v>5847</v>
          </cell>
          <cell r="AS434" t="str">
            <v/>
          </cell>
          <cell r="AT434">
            <v>184.7</v>
          </cell>
          <cell r="AU434">
            <v>1461.75</v>
          </cell>
          <cell r="AV434" t="str">
            <v/>
          </cell>
        </row>
        <row r="435">
          <cell r="A435">
            <v>400254</v>
          </cell>
          <cell r="B435" t="str">
            <v>1077836078</v>
          </cell>
          <cell r="C435" t="str">
            <v>السيد</v>
          </cell>
          <cell r="D435" t="str">
            <v>Ahmed Hassan Muhanna Almomen</v>
          </cell>
          <cell r="E435" t="str">
            <v>احمد حسن مهناء المؤمن</v>
          </cell>
          <cell r="F435" t="str">
            <v>Male</v>
          </cell>
          <cell r="G435" t="str">
            <v>متزوج</v>
          </cell>
          <cell r="H435">
            <v>34175</v>
          </cell>
          <cell r="I435">
            <v>33</v>
          </cell>
          <cell r="J435">
            <v>12015</v>
          </cell>
          <cell r="K435" t="str">
            <v>Ahmed.AlMomen@agriserv.sa</v>
          </cell>
          <cell r="L435" t="str">
            <v>0531228159</v>
          </cell>
          <cell r="M435" t="str">
            <v/>
          </cell>
          <cell r="N435" t="str">
            <v>المملكة العربية السعودية</v>
          </cell>
          <cell r="O435" t="str">
            <v>50001085</v>
          </cell>
          <cell r="P435" t="str">
            <v>طبيب بيطري</v>
          </cell>
          <cell r="Q435" t="str">
            <v>الدرجة 3</v>
          </cell>
          <cell r="R435" t="str">
            <v>Class A</v>
          </cell>
          <cell r="S435" t="str">
            <v/>
          </cell>
          <cell r="T435" t="str">
            <v>عيادة جنوب الرياض</v>
          </cell>
          <cell r="U435" t="str">
            <v>عمليات الفروع</v>
          </cell>
          <cell r="V435" t="str">
            <v>الفروع</v>
          </cell>
          <cell r="W435" t="str">
            <v>Al Riyadh</v>
          </cell>
          <cell r="X435" t="str">
            <v xml:space="preserve">الفرع </v>
          </cell>
          <cell r="Y435">
            <v>44835</v>
          </cell>
          <cell r="Z435">
            <v>3.71</v>
          </cell>
          <cell r="AA435">
            <v>1355</v>
          </cell>
          <cell r="AB435" t="str">
            <v>غير نشط</v>
          </cell>
          <cell r="AC435" t="str">
            <v>400220</v>
          </cell>
          <cell r="AD435" t="str">
            <v>Nahedh Alhaydan</v>
          </cell>
          <cell r="AE435" t="str">
            <v>إعارة</v>
          </cell>
          <cell r="AF435">
            <v>45521</v>
          </cell>
          <cell r="AG435" t="str">
            <v/>
          </cell>
          <cell r="AH435" t="str">
            <v>ثانوية</v>
          </cell>
          <cell r="AI435" t="str">
            <v>شهادة المدرسة الثانوية</v>
          </cell>
          <cell r="AJ435">
            <v>4</v>
          </cell>
          <cell r="AK435">
            <v>1</v>
          </cell>
          <cell r="AL435">
            <v>1</v>
          </cell>
          <cell r="AM435">
            <v>2</v>
          </cell>
          <cell r="AN435" t="str">
            <v/>
          </cell>
          <cell r="AO435" t="str">
            <v>Livestock Extension &amp; Protection</v>
          </cell>
          <cell r="AP435" t="str">
            <v>Saudi National Bank</v>
          </cell>
          <cell r="AQ435" t="str">
            <v>SA4810000009000000485304</v>
          </cell>
          <cell r="AR435">
            <v>8663</v>
          </cell>
          <cell r="AS435" t="str">
            <v/>
          </cell>
          <cell r="AT435">
            <v>366.3</v>
          </cell>
          <cell r="AU435">
            <v>2165.75</v>
          </cell>
          <cell r="AV435" t="str">
            <v/>
          </cell>
        </row>
        <row r="436">
          <cell r="A436">
            <v>400255</v>
          </cell>
          <cell r="B436" t="str">
            <v>1101499653</v>
          </cell>
          <cell r="C436" t="str">
            <v>السيد</v>
          </cell>
          <cell r="D436" t="str">
            <v>Ibrahim Abdullah Nasser Aldubayb</v>
          </cell>
          <cell r="E436" t="str">
            <v>ابراهيم عبدالله ناصر الدبيب</v>
          </cell>
          <cell r="F436" t="str">
            <v>Male</v>
          </cell>
          <cell r="G436" t="str">
            <v>أعزب</v>
          </cell>
          <cell r="H436">
            <v>35576</v>
          </cell>
          <cell r="I436">
            <v>29</v>
          </cell>
          <cell r="J436">
            <v>10614</v>
          </cell>
          <cell r="K436" t="str">
            <v>Ibrahim.AlDabib@agriserv.sa</v>
          </cell>
          <cell r="L436" t="str">
            <v>0548897107</v>
          </cell>
          <cell r="M436" t="str">
            <v/>
          </cell>
          <cell r="N436" t="str">
            <v>المملكة العربية السعودية</v>
          </cell>
          <cell r="O436" t="str">
            <v>50001086</v>
          </cell>
          <cell r="P436" t="str">
            <v>طبيب بيطري</v>
          </cell>
          <cell r="Q436" t="str">
            <v>الدرجة 3</v>
          </cell>
          <cell r="R436" t="str">
            <v>Class A</v>
          </cell>
          <cell r="S436" t="str">
            <v/>
          </cell>
          <cell r="T436" t="str">
            <v>محافظة ضرماء</v>
          </cell>
          <cell r="U436" t="str">
            <v>عمليات الفروع</v>
          </cell>
          <cell r="V436" t="str">
            <v>الفروع</v>
          </cell>
          <cell r="W436" t="str">
            <v>Al Riyadh</v>
          </cell>
          <cell r="X436" t="str">
            <v xml:space="preserve">الفرع </v>
          </cell>
          <cell r="Y436">
            <v>44835</v>
          </cell>
          <cell r="Z436">
            <v>3.71</v>
          </cell>
          <cell r="AA436">
            <v>1355</v>
          </cell>
          <cell r="AB436" t="str">
            <v>نشط</v>
          </cell>
          <cell r="AC436" t="str">
            <v>400244</v>
          </cell>
          <cell r="AD436" t="str">
            <v>Ridha Aldalwi</v>
          </cell>
          <cell r="AE436" t="str">
            <v>إعارة</v>
          </cell>
          <cell r="AF436" t="str">
            <v/>
          </cell>
          <cell r="AG436" t="str">
            <v/>
          </cell>
          <cell r="AH436" t="str">
            <v>طب بيطري</v>
          </cell>
          <cell r="AI436" t="str">
            <v>بكالوريوس</v>
          </cell>
          <cell r="AJ436">
            <v>3</v>
          </cell>
          <cell r="AK436">
            <v>0</v>
          </cell>
          <cell r="AL436">
            <v>1</v>
          </cell>
          <cell r="AM436">
            <v>2</v>
          </cell>
          <cell r="AN436" t="str">
            <v/>
          </cell>
          <cell r="AO436" t="str">
            <v>عمليات الفروع</v>
          </cell>
          <cell r="AP436" t="str">
            <v>Al Rajhi Bank</v>
          </cell>
          <cell r="AQ436" t="str">
            <v>SA4880000288608010162397</v>
          </cell>
          <cell r="AR436">
            <v>9459</v>
          </cell>
          <cell r="AS436" t="str">
            <v/>
          </cell>
          <cell r="AT436">
            <v>445.9</v>
          </cell>
          <cell r="AU436">
            <v>2364.75</v>
          </cell>
          <cell r="AV436" t="str">
            <v/>
          </cell>
        </row>
        <row r="437">
          <cell r="A437">
            <v>400256</v>
          </cell>
          <cell r="B437" t="str">
            <v/>
          </cell>
          <cell r="C437" t="str">
            <v>السيد</v>
          </cell>
          <cell r="D437" t="str">
            <v>Majed Abdulaziz Rashid Alfaraj</v>
          </cell>
          <cell r="E437" t="str">
            <v>ماجد عبدالعزيز راشد الفراج</v>
          </cell>
          <cell r="F437" t="str">
            <v>Male</v>
          </cell>
          <cell r="G437" t="str">
            <v>متزوج</v>
          </cell>
          <cell r="H437">
            <v>29752</v>
          </cell>
          <cell r="I437">
            <v>45</v>
          </cell>
          <cell r="J437">
            <v>16438</v>
          </cell>
          <cell r="K437" t="str">
            <v/>
          </cell>
          <cell r="L437" t="str">
            <v>0506150029</v>
          </cell>
          <cell r="M437" t="str">
            <v/>
          </cell>
          <cell r="N437" t="str">
            <v>المملكة العربية السعودية</v>
          </cell>
          <cell r="O437" t="str">
            <v>50000395</v>
          </cell>
          <cell r="P437" t="str">
            <v>مشرف مكتب التنسيق مع الفروع</v>
          </cell>
          <cell r="Q437" t="str">
            <v>الدرجة 9</v>
          </cell>
          <cell r="R437" t="str">
            <v>Class VVIP</v>
          </cell>
          <cell r="S437" t="str">
            <v/>
          </cell>
          <cell r="T437" t="str">
            <v/>
          </cell>
          <cell r="U437" t="str">
            <v/>
          </cell>
          <cell r="V437" t="str">
            <v>الفروع</v>
          </cell>
          <cell r="W437" t="str">
            <v>Al Riyadh</v>
          </cell>
          <cell r="X437" t="str">
            <v xml:space="preserve">المقر الرئيسي </v>
          </cell>
          <cell r="Y437">
            <v>44805</v>
          </cell>
          <cell r="Z437">
            <v>3.79</v>
          </cell>
          <cell r="AA437">
            <v>1385</v>
          </cell>
          <cell r="AB437" t="str">
            <v>غير نشط</v>
          </cell>
          <cell r="AC437" t="str">
            <v>100045</v>
          </cell>
          <cell r="AD437" t="str">
            <v>Omar Alsuhaibani</v>
          </cell>
          <cell r="AE437" t="str">
            <v>إعارة</v>
          </cell>
          <cell r="AF437">
            <v>45539</v>
          </cell>
          <cell r="AG437" t="str">
            <v/>
          </cell>
          <cell r="AH437" t="str">
            <v>علم الزراعة</v>
          </cell>
          <cell r="AI437" t="str">
            <v>ماجستير</v>
          </cell>
          <cell r="AJ437">
            <v>4</v>
          </cell>
          <cell r="AK437">
            <v>3</v>
          </cell>
          <cell r="AL437">
            <v>1</v>
          </cell>
          <cell r="AM437">
            <v>0</v>
          </cell>
          <cell r="AN437" t="str">
            <v/>
          </cell>
          <cell r="AO437" t="str">
            <v>Branches Liaison /Coordination Office</v>
          </cell>
          <cell r="AP437" t="str">
            <v>Al Rajhi Bank</v>
          </cell>
          <cell r="AQ437" t="str">
            <v>SA6280000371608010042274</v>
          </cell>
          <cell r="AR437">
            <v>59953.599999999999</v>
          </cell>
          <cell r="AS437">
            <v>59953.599999999999</v>
          </cell>
          <cell r="AT437">
            <v>3500</v>
          </cell>
          <cell r="AU437">
            <v>14988.4</v>
          </cell>
          <cell r="AV437">
            <v>800</v>
          </cell>
        </row>
        <row r="438">
          <cell r="A438">
            <v>400258</v>
          </cell>
          <cell r="B438" t="str">
            <v>1027522299</v>
          </cell>
          <cell r="C438" t="str">
            <v>السيد</v>
          </cell>
          <cell r="D438" t="str">
            <v>Ibrahim Abdullah Saleh Zebara</v>
          </cell>
          <cell r="E438" t="str">
            <v>ابراهيم عبدالله صالح زباره</v>
          </cell>
          <cell r="F438" t="str">
            <v>Male</v>
          </cell>
          <cell r="G438" t="str">
            <v>متزوج</v>
          </cell>
          <cell r="H438">
            <v>26875</v>
          </cell>
          <cell r="I438">
            <v>53</v>
          </cell>
          <cell r="J438">
            <v>19315</v>
          </cell>
          <cell r="K438" t="str">
            <v>Ibrahim.Zebara@agriserv.sa</v>
          </cell>
          <cell r="L438" t="str">
            <v>0504783331</v>
          </cell>
          <cell r="M438" t="str">
            <v/>
          </cell>
          <cell r="N438" t="str">
            <v>المملكة العربية السعودية</v>
          </cell>
          <cell r="O438" t="str">
            <v>50000062</v>
          </cell>
          <cell r="P438" t="str">
            <v>طبيب بيطري مساعد</v>
          </cell>
          <cell r="Q438" t="str">
            <v>2B الدرجة</v>
          </cell>
          <cell r="R438" t="str">
            <v>Class A</v>
          </cell>
          <cell r="S438" t="str">
            <v>منفذ الوديعة  (نجران)</v>
          </cell>
          <cell r="T438" t="str">
            <v>خدمات المحجر</v>
          </cell>
          <cell r="U438" t="str">
            <v>الاذونات وخدمات المحاجر</v>
          </cell>
          <cell r="V438" t="str">
            <v>العمليات</v>
          </cell>
          <cell r="W438" t="str">
            <v>Najran</v>
          </cell>
          <cell r="X438" t="str">
            <v xml:space="preserve">الفرع </v>
          </cell>
          <cell r="Y438">
            <v>45126</v>
          </cell>
          <cell r="Z438">
            <v>2.91</v>
          </cell>
          <cell r="AA438">
            <v>1064</v>
          </cell>
          <cell r="AB438" t="str">
            <v>نشط</v>
          </cell>
          <cell r="AC438" t="str">
            <v>100135</v>
          </cell>
          <cell r="AD438" t="str">
            <v>Abdulrahman Alzahrani</v>
          </cell>
          <cell r="AE438" t="str">
            <v>إعارة</v>
          </cell>
          <cell r="AF438" t="str">
            <v/>
          </cell>
          <cell r="AG438" t="str">
            <v/>
          </cell>
          <cell r="AH438" t="str">
            <v>طب بيطري</v>
          </cell>
          <cell r="AI438" t="str">
            <v>دبلوم</v>
          </cell>
          <cell r="AJ438">
            <v>7</v>
          </cell>
          <cell r="AK438">
            <v>6</v>
          </cell>
          <cell r="AL438">
            <v>1</v>
          </cell>
          <cell r="AM438">
            <v>0</v>
          </cell>
          <cell r="AN438" t="str">
            <v/>
          </cell>
          <cell r="AO438" t="str">
            <v>الاذونات وخدمات المحاجر</v>
          </cell>
          <cell r="AP438" t="str">
            <v>Saudi National Bank</v>
          </cell>
          <cell r="AQ438" t="str">
            <v>SA7510000088600000026005</v>
          </cell>
          <cell r="AR438">
            <v>15855</v>
          </cell>
          <cell r="AS438" t="str">
            <v/>
          </cell>
          <cell r="AT438">
            <v>100</v>
          </cell>
          <cell r="AU438">
            <v>3963.75</v>
          </cell>
          <cell r="AV438" t="str">
            <v/>
          </cell>
        </row>
        <row r="439">
          <cell r="A439">
            <v>400259</v>
          </cell>
          <cell r="B439" t="str">
            <v>1003166129</v>
          </cell>
          <cell r="C439" t="str">
            <v>السيد</v>
          </cell>
          <cell r="D439" t="str">
            <v>Fayez Mohsan Zwued Alamrry</v>
          </cell>
          <cell r="E439" t="str">
            <v>فايز محسن زويد العمري</v>
          </cell>
          <cell r="F439" t="str">
            <v>Male</v>
          </cell>
          <cell r="G439" t="str">
            <v>متزوج</v>
          </cell>
          <cell r="H439">
            <v>28908</v>
          </cell>
          <cell r="I439">
            <v>47</v>
          </cell>
          <cell r="J439">
            <v>17282</v>
          </cell>
          <cell r="K439" t="str">
            <v>Faiz.AlAmri@agriserv.sa</v>
          </cell>
          <cell r="L439" t="str">
            <v>0538008006</v>
          </cell>
          <cell r="M439" t="str">
            <v/>
          </cell>
          <cell r="N439" t="str">
            <v>المملكة العربية السعودية</v>
          </cell>
          <cell r="O439" t="str">
            <v>50000507</v>
          </cell>
          <cell r="P439" t="str">
            <v>فني زراعي</v>
          </cell>
          <cell r="Q439" t="str">
            <v>2A الدرجة</v>
          </cell>
          <cell r="R439" t="str">
            <v>Class A</v>
          </cell>
          <cell r="S439" t="str">
            <v>منفذ ضباء  (تبوك)</v>
          </cell>
          <cell r="T439" t="str">
            <v>خدمات المحجر</v>
          </cell>
          <cell r="U439" t="str">
            <v>الاذونات وخدمات المحاجر</v>
          </cell>
          <cell r="V439" t="str">
            <v>العمليات</v>
          </cell>
          <cell r="W439" t="str">
            <v>Tabbuk</v>
          </cell>
          <cell r="X439" t="str">
            <v xml:space="preserve">الفرع </v>
          </cell>
          <cell r="Y439">
            <v>45126</v>
          </cell>
          <cell r="Z439">
            <v>2.91</v>
          </cell>
          <cell r="AA439">
            <v>1064</v>
          </cell>
          <cell r="AB439" t="str">
            <v>نشط</v>
          </cell>
          <cell r="AC439" t="str">
            <v>100063</v>
          </cell>
          <cell r="AD439" t="str">
            <v>Hazza Alruwaili</v>
          </cell>
          <cell r="AE439" t="str">
            <v>إعارة</v>
          </cell>
          <cell r="AF439" t="str">
            <v/>
          </cell>
          <cell r="AG439" t="str">
            <v/>
          </cell>
          <cell r="AH439" t="str">
            <v>انتاج نباتى</v>
          </cell>
          <cell r="AI439" t="str">
            <v>دبلوم</v>
          </cell>
          <cell r="AJ439">
            <v>1</v>
          </cell>
          <cell r="AK439">
            <v>1</v>
          </cell>
          <cell r="AL439">
            <v>0</v>
          </cell>
          <cell r="AM439">
            <v>0</v>
          </cell>
          <cell r="AN439" t="str">
            <v/>
          </cell>
          <cell r="AO439" t="str">
            <v>الاذونات وخدمات المحاجر</v>
          </cell>
          <cell r="AP439" t="str">
            <v>Saudi National Bank</v>
          </cell>
          <cell r="AQ439" t="str">
            <v>SA9510000036856666000104</v>
          </cell>
          <cell r="AR439">
            <v>9200</v>
          </cell>
          <cell r="AS439" t="str">
            <v/>
          </cell>
          <cell r="AT439">
            <v>100</v>
          </cell>
          <cell r="AU439">
            <v>2300</v>
          </cell>
          <cell r="AV439" t="str">
            <v/>
          </cell>
        </row>
        <row r="440">
          <cell r="A440">
            <v>400260</v>
          </cell>
          <cell r="B440" t="str">
            <v>1004679955</v>
          </cell>
          <cell r="C440" t="str">
            <v>السيد</v>
          </cell>
          <cell r="D440" t="str">
            <v>Turki Musalam Salim Alghashmari</v>
          </cell>
          <cell r="E440" t="str">
            <v>تركى مسلم سالم الغشمري</v>
          </cell>
          <cell r="F440" t="str">
            <v>Male</v>
          </cell>
          <cell r="G440" t="str">
            <v>متزوج</v>
          </cell>
          <cell r="H440">
            <v>26875</v>
          </cell>
          <cell r="I440">
            <v>53</v>
          </cell>
          <cell r="J440">
            <v>19315</v>
          </cell>
          <cell r="K440" t="str">
            <v>Turki.Alghashmari@agriserv.sa</v>
          </cell>
          <cell r="L440" t="str">
            <v>0504396540</v>
          </cell>
          <cell r="M440" t="str">
            <v/>
          </cell>
          <cell r="N440" t="str">
            <v>المملكة العربية السعودية</v>
          </cell>
          <cell r="O440" t="str">
            <v>50000929</v>
          </cell>
          <cell r="P440" t="str">
            <v>طبيب بيطري مساعد</v>
          </cell>
          <cell r="Q440" t="str">
            <v>2B الدرجة</v>
          </cell>
          <cell r="R440" t="str">
            <v>Class A</v>
          </cell>
          <cell r="S440" t="str">
            <v>محجر مطار الأمير محمد بن عبدالعزيز (المدينة المنورة)</v>
          </cell>
          <cell r="T440" t="str">
            <v>خدمات المحجر</v>
          </cell>
          <cell r="U440" t="str">
            <v>الاذونات وخدمات المحاجر</v>
          </cell>
          <cell r="V440" t="str">
            <v>العمليات</v>
          </cell>
          <cell r="W440" t="str">
            <v>Al-Madinah</v>
          </cell>
          <cell r="X440" t="str">
            <v xml:space="preserve">الفرع </v>
          </cell>
          <cell r="Y440">
            <v>45126</v>
          </cell>
          <cell r="Z440">
            <v>2.91</v>
          </cell>
          <cell r="AA440">
            <v>1064</v>
          </cell>
          <cell r="AB440" t="str">
            <v>نشط</v>
          </cell>
          <cell r="AC440" t="str">
            <v>100135</v>
          </cell>
          <cell r="AD440" t="str">
            <v>Abdulrahman Alzahrani</v>
          </cell>
          <cell r="AE440" t="str">
            <v>إعارة</v>
          </cell>
          <cell r="AF440" t="str">
            <v/>
          </cell>
          <cell r="AG440" t="str">
            <v/>
          </cell>
          <cell r="AH440" t="str">
            <v>طب بيطري</v>
          </cell>
          <cell r="AI440" t="str">
            <v>دبلوم</v>
          </cell>
          <cell r="AJ440">
            <v>7</v>
          </cell>
          <cell r="AK440">
            <v>4</v>
          </cell>
          <cell r="AL440">
            <v>1</v>
          </cell>
          <cell r="AM440">
            <v>2</v>
          </cell>
          <cell r="AN440" t="str">
            <v/>
          </cell>
          <cell r="AO440" t="str">
            <v>الاذونات وخدمات المحاجر</v>
          </cell>
          <cell r="AP440" t="str">
            <v>Bank Al Bilad</v>
          </cell>
          <cell r="AQ440" t="str">
            <v>SA3815000724115788660007</v>
          </cell>
          <cell r="AR440">
            <v>13820</v>
          </cell>
          <cell r="AS440" t="str">
            <v/>
          </cell>
          <cell r="AT440">
            <v>100</v>
          </cell>
          <cell r="AU440">
            <v>3455</v>
          </cell>
          <cell r="AV440" t="str">
            <v/>
          </cell>
        </row>
        <row r="441">
          <cell r="A441">
            <v>400261</v>
          </cell>
          <cell r="B441" t="str">
            <v>1036069613</v>
          </cell>
          <cell r="C441" t="str">
            <v>السيد</v>
          </cell>
          <cell r="D441" t="str">
            <v>Bander Ali Mohameed Alqamdee</v>
          </cell>
          <cell r="E441" t="str">
            <v>بندر على محمد الغامدي</v>
          </cell>
          <cell r="F441" t="str">
            <v>Male</v>
          </cell>
          <cell r="G441" t="str">
            <v>متزوج</v>
          </cell>
          <cell r="H441">
            <v>28387</v>
          </cell>
          <cell r="I441">
            <v>49</v>
          </cell>
          <cell r="J441">
            <v>17803</v>
          </cell>
          <cell r="K441" t="str">
            <v>bander.alghamdi@agriserv.sa</v>
          </cell>
          <cell r="L441" t="str">
            <v>0506345188</v>
          </cell>
          <cell r="M441" t="str">
            <v/>
          </cell>
          <cell r="N441" t="str">
            <v>المملكة العربية السعودية</v>
          </cell>
          <cell r="O441" t="str">
            <v>50001101</v>
          </cell>
          <cell r="P441" t="str">
            <v>مساعد مشرف مختبرات الثروة النباتية</v>
          </cell>
          <cell r="Q441" t="str">
            <v>الدرجة 7</v>
          </cell>
          <cell r="R441" t="str">
            <v>Class A</v>
          </cell>
          <cell r="S441" t="str">
            <v>محجر ميناء ينبع  (المدينة المنورة)</v>
          </cell>
          <cell r="T441" t="str">
            <v>خدمات المحجر</v>
          </cell>
          <cell r="U441" t="str">
            <v>الاذونات وخدمات المحاجر</v>
          </cell>
          <cell r="V441" t="str">
            <v>العمليات</v>
          </cell>
          <cell r="W441" t="str">
            <v>Al-Madinah</v>
          </cell>
          <cell r="X441" t="str">
            <v xml:space="preserve">الفرع </v>
          </cell>
          <cell r="Y441">
            <v>45126</v>
          </cell>
          <cell r="Z441">
            <v>2.91</v>
          </cell>
          <cell r="AA441">
            <v>1064</v>
          </cell>
          <cell r="AB441" t="str">
            <v>نشط</v>
          </cell>
          <cell r="AC441" t="str">
            <v>100135</v>
          </cell>
          <cell r="AD441" t="str">
            <v>Abdulrahman Alzahrani</v>
          </cell>
          <cell r="AE441" t="str">
            <v>إعارة</v>
          </cell>
          <cell r="AF441" t="str">
            <v/>
          </cell>
          <cell r="AG441" t="str">
            <v/>
          </cell>
          <cell r="AH441" t="str">
            <v>ارشاد زراعى</v>
          </cell>
          <cell r="AI441" t="str">
            <v>بكالوريوس</v>
          </cell>
          <cell r="AJ441">
            <v>6</v>
          </cell>
          <cell r="AK441">
            <v>4</v>
          </cell>
          <cell r="AL441">
            <v>1</v>
          </cell>
          <cell r="AM441">
            <v>1</v>
          </cell>
          <cell r="AN441" t="str">
            <v/>
          </cell>
          <cell r="AO441" t="str">
            <v>الاذونات وخدمات المحاجر</v>
          </cell>
          <cell r="AP441" t="str">
            <v>Al Rajhi Bank</v>
          </cell>
          <cell r="AQ441" t="str">
            <v>SA5380000327608010089353</v>
          </cell>
          <cell r="AR441">
            <v>14995</v>
          </cell>
          <cell r="AS441" t="str">
            <v/>
          </cell>
          <cell r="AT441">
            <v>599.5</v>
          </cell>
          <cell r="AU441">
            <v>3748.75</v>
          </cell>
          <cell r="AV441" t="str">
            <v/>
          </cell>
        </row>
        <row r="442">
          <cell r="A442">
            <v>400262</v>
          </cell>
          <cell r="B442" t="str">
            <v>1069942553</v>
          </cell>
          <cell r="C442" t="str">
            <v>السيد</v>
          </cell>
          <cell r="D442" t="str">
            <v>Abdullah Ibrahim Naser Alshadokhi</v>
          </cell>
          <cell r="E442" t="str">
            <v>عبدالله ابراهيم ناصر الشدوخي</v>
          </cell>
          <cell r="F442" t="str">
            <v>Male</v>
          </cell>
          <cell r="G442" t="str">
            <v>متزوج</v>
          </cell>
          <cell r="H442">
            <v>29270</v>
          </cell>
          <cell r="I442">
            <v>46</v>
          </cell>
          <cell r="J442">
            <v>16920</v>
          </cell>
          <cell r="K442" t="str">
            <v>abdullah.alshudoky@agriserv.sa</v>
          </cell>
          <cell r="L442" t="str">
            <v>0503970701</v>
          </cell>
          <cell r="M442" t="str">
            <v/>
          </cell>
          <cell r="N442" t="str">
            <v>المملكة العربية السعودية</v>
          </cell>
          <cell r="O442" t="str">
            <v>50001100</v>
          </cell>
          <cell r="P442" t="str">
            <v>أخصائي أول محاجر الثروة الحيوانية</v>
          </cell>
          <cell r="Q442" t="str">
            <v>الدرجة 6</v>
          </cell>
          <cell r="R442" t="str">
            <v>Class A</v>
          </cell>
          <cell r="S442" t="str">
            <v>محجر مطار القصيم  (القصيم)</v>
          </cell>
          <cell r="T442" t="str">
            <v>خدمات المحجر</v>
          </cell>
          <cell r="U442" t="str">
            <v>الاذونات وخدمات المحاجر</v>
          </cell>
          <cell r="V442" t="str">
            <v>العمليات</v>
          </cell>
          <cell r="W442" t="str">
            <v>Buraydah</v>
          </cell>
          <cell r="X442" t="str">
            <v xml:space="preserve">الفرع </v>
          </cell>
          <cell r="Y442">
            <v>45126</v>
          </cell>
          <cell r="Z442">
            <v>2.91</v>
          </cell>
          <cell r="AA442">
            <v>1064</v>
          </cell>
          <cell r="AB442" t="str">
            <v>نشط</v>
          </cell>
          <cell r="AC442" t="str">
            <v>100063</v>
          </cell>
          <cell r="AD442" t="str">
            <v>Hazza Alruwaili</v>
          </cell>
          <cell r="AE442" t="str">
            <v>إعارة</v>
          </cell>
          <cell r="AF442" t="str">
            <v/>
          </cell>
          <cell r="AG442" t="str">
            <v/>
          </cell>
          <cell r="AH442" t="str">
            <v>طب بيطري</v>
          </cell>
          <cell r="AI442" t="str">
            <v>بكالوريوس</v>
          </cell>
          <cell r="AJ442">
            <v>8</v>
          </cell>
          <cell r="AK442">
            <v>5</v>
          </cell>
          <cell r="AL442">
            <v>1</v>
          </cell>
          <cell r="AM442">
            <v>2</v>
          </cell>
          <cell r="AN442" t="str">
            <v/>
          </cell>
          <cell r="AO442" t="str">
            <v>الاذونات وخدمات المحاجر</v>
          </cell>
          <cell r="AP442" t="str">
            <v>Al Rajhi Bank</v>
          </cell>
          <cell r="AQ442" t="str">
            <v>SA5480000374608010091641</v>
          </cell>
          <cell r="AR442">
            <v>17415</v>
          </cell>
          <cell r="AS442" t="str">
            <v/>
          </cell>
          <cell r="AT442">
            <v>1041.5</v>
          </cell>
          <cell r="AU442">
            <v>4353.75</v>
          </cell>
          <cell r="AV442" t="str">
            <v/>
          </cell>
        </row>
        <row r="443">
          <cell r="A443">
            <v>400263</v>
          </cell>
          <cell r="B443" t="str">
            <v>1007523853</v>
          </cell>
          <cell r="C443" t="str">
            <v>السيد</v>
          </cell>
          <cell r="D443" t="str">
            <v>Naseem Ali Mohmeed Bokhudher</v>
          </cell>
          <cell r="E443" t="str">
            <v>نسيم علي محمد بوخضر</v>
          </cell>
          <cell r="F443" t="str">
            <v>Male</v>
          </cell>
          <cell r="G443" t="str">
            <v>متزوج</v>
          </cell>
          <cell r="H443">
            <v>30442</v>
          </cell>
          <cell r="I443">
            <v>43</v>
          </cell>
          <cell r="J443">
            <v>15748</v>
          </cell>
          <cell r="K443" t="str">
            <v>Naseem.Bokhudher@agriserv.sa</v>
          </cell>
          <cell r="L443" t="str">
            <v>0570373333</v>
          </cell>
          <cell r="M443" t="str">
            <v/>
          </cell>
          <cell r="N443" t="str">
            <v>المملكة العربية السعودية</v>
          </cell>
          <cell r="O443" t="str">
            <v>50001099</v>
          </cell>
          <cell r="P443" t="str">
            <v>مساعد مشرف محاجر الثروة السمكية</v>
          </cell>
          <cell r="Q443" t="str">
            <v>الدرجة 7</v>
          </cell>
          <cell r="R443" t="str">
            <v>Class A</v>
          </cell>
          <cell r="S443" t="str">
            <v>محجر جسر الملك فهد  (الشرقية)</v>
          </cell>
          <cell r="T443" t="str">
            <v>خدمات المحجر</v>
          </cell>
          <cell r="U443" t="str">
            <v>الاذونات وخدمات المحاجر</v>
          </cell>
          <cell r="V443" t="str">
            <v>العمليات</v>
          </cell>
          <cell r="W443" t="str">
            <v>Ad-Dammam</v>
          </cell>
          <cell r="X443" t="str">
            <v xml:space="preserve">الفرع </v>
          </cell>
          <cell r="Y443">
            <v>45126</v>
          </cell>
          <cell r="Z443">
            <v>2.91</v>
          </cell>
          <cell r="AA443">
            <v>1064</v>
          </cell>
          <cell r="AB443" t="str">
            <v>نشط</v>
          </cell>
          <cell r="AC443" t="str">
            <v>400325</v>
          </cell>
          <cell r="AD443" t="str">
            <v>Abdullah Almubarak</v>
          </cell>
          <cell r="AE443" t="str">
            <v>إعارة</v>
          </cell>
          <cell r="AF443" t="str">
            <v/>
          </cell>
          <cell r="AG443" t="str">
            <v/>
          </cell>
          <cell r="AH443" t="str">
            <v>طب بيطري</v>
          </cell>
          <cell r="AI443" t="str">
            <v>بكالوريوس</v>
          </cell>
          <cell r="AJ443">
            <v>9</v>
          </cell>
          <cell r="AK443">
            <v>7</v>
          </cell>
          <cell r="AL443">
            <v>1</v>
          </cell>
          <cell r="AM443">
            <v>1</v>
          </cell>
          <cell r="AN443" t="str">
            <v/>
          </cell>
          <cell r="AO443" t="str">
            <v>الاذونات وخدمات المحاجر</v>
          </cell>
          <cell r="AP443" t="str">
            <v>Banque Saudi Fransi</v>
          </cell>
          <cell r="AQ443" t="str">
            <v>SA5655000000024689400106</v>
          </cell>
          <cell r="AR443">
            <v>15375</v>
          </cell>
          <cell r="AS443" t="str">
            <v/>
          </cell>
          <cell r="AT443">
            <v>837.5</v>
          </cell>
          <cell r="AU443">
            <v>3843.75</v>
          </cell>
          <cell r="AV443" t="str">
            <v/>
          </cell>
        </row>
        <row r="444">
          <cell r="A444">
            <v>400264</v>
          </cell>
          <cell r="B444" t="str">
            <v>1009819887</v>
          </cell>
          <cell r="C444" t="str">
            <v>السيد</v>
          </cell>
          <cell r="D444" t="str">
            <v>Bayan Ayedh Eseemer Alrashidi</v>
          </cell>
          <cell r="E444" t="str">
            <v>بيان عايض اسيمر الرشيدي</v>
          </cell>
          <cell r="F444" t="str">
            <v>Male</v>
          </cell>
          <cell r="G444" t="str">
            <v/>
          </cell>
          <cell r="H444">
            <v>24041</v>
          </cell>
          <cell r="I444">
            <v>61</v>
          </cell>
          <cell r="J444">
            <v>22149</v>
          </cell>
          <cell r="K444" t="str">
            <v/>
          </cell>
          <cell r="L444" t="str">
            <v/>
          </cell>
          <cell r="M444" t="str">
            <v/>
          </cell>
          <cell r="N444" t="str">
            <v>المملكة العربية السعودية</v>
          </cell>
          <cell r="O444" t="str">
            <v>50000493</v>
          </cell>
          <cell r="P444" t="str">
            <v>فني زراعي</v>
          </cell>
          <cell r="Q444" t="str">
            <v>2A الدرجة</v>
          </cell>
          <cell r="R444" t="str">
            <v/>
          </cell>
          <cell r="S444" t="str">
            <v>محجر الخفجي  (الشرقية)</v>
          </cell>
          <cell r="T444" t="str">
            <v>خدمات المحجر</v>
          </cell>
          <cell r="U444" t="str">
            <v>الاذونات وخدمات المحاجر</v>
          </cell>
          <cell r="V444" t="str">
            <v>العمليات</v>
          </cell>
          <cell r="W444" t="str">
            <v>Al-Khafji</v>
          </cell>
          <cell r="X444" t="str">
            <v xml:space="preserve">الفرع </v>
          </cell>
          <cell r="Y444">
            <v>45126</v>
          </cell>
          <cell r="Z444">
            <v>2.91</v>
          </cell>
          <cell r="AA444">
            <v>1064</v>
          </cell>
          <cell r="AB444" t="str">
            <v>غير نشط</v>
          </cell>
          <cell r="AC444" t="str">
            <v>400158</v>
          </cell>
          <cell r="AD444" t="str">
            <v>Abdulrahman Alzahrani</v>
          </cell>
          <cell r="AE444" t="str">
            <v>إعارة</v>
          </cell>
          <cell r="AF444">
            <v>45294</v>
          </cell>
          <cell r="AG444" t="str">
            <v/>
          </cell>
          <cell r="AH444" t="str">
            <v/>
          </cell>
          <cell r="AI444" t="str">
            <v/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 t="str">
            <v/>
          </cell>
          <cell r="AO444" t="str">
            <v>Corp Extension &amp; Protection</v>
          </cell>
          <cell r="AP444" t="str">
            <v>Al Rajhi Bank</v>
          </cell>
          <cell r="AQ444" t="str">
            <v>SA9580000187608010055148</v>
          </cell>
          <cell r="AR444">
            <v>15855</v>
          </cell>
          <cell r="AS444" t="str">
            <v/>
          </cell>
          <cell r="AT444">
            <v>100</v>
          </cell>
          <cell r="AU444">
            <v>3963.75</v>
          </cell>
          <cell r="AV444" t="str">
            <v/>
          </cell>
        </row>
        <row r="445">
          <cell r="A445">
            <v>400265</v>
          </cell>
          <cell r="B445" t="str">
            <v>1012057269</v>
          </cell>
          <cell r="C445" t="str">
            <v>السيد</v>
          </cell>
          <cell r="D445" t="str">
            <v>Ahmad Khalifa Khamis Alissa</v>
          </cell>
          <cell r="E445" t="str">
            <v>احمد خليفه خميس العيسى</v>
          </cell>
          <cell r="F445" t="str">
            <v>Male</v>
          </cell>
          <cell r="G445" t="str">
            <v>متزوج</v>
          </cell>
          <cell r="H445">
            <v>26730</v>
          </cell>
          <cell r="I445">
            <v>53</v>
          </cell>
          <cell r="J445">
            <v>19460</v>
          </cell>
          <cell r="K445" t="str">
            <v>Ahmad.Alissa@agriserv.sa</v>
          </cell>
          <cell r="L445" t="str">
            <v>0503918757</v>
          </cell>
          <cell r="M445" t="str">
            <v/>
          </cell>
          <cell r="N445" t="str">
            <v>المملكة العربية السعودية</v>
          </cell>
          <cell r="O445" t="str">
            <v>50001098</v>
          </cell>
          <cell r="P445" t="str">
            <v>أخصائي أول محاجر الثروة النباتية</v>
          </cell>
          <cell r="Q445" t="str">
            <v>الدرجة 6</v>
          </cell>
          <cell r="R445" t="str">
            <v>Class A</v>
          </cell>
          <cell r="S445" t="str">
            <v>محجر الربع الخالي  (الشرقية)</v>
          </cell>
          <cell r="T445" t="str">
            <v>خدمات المحجر</v>
          </cell>
          <cell r="U445" t="str">
            <v>الاذونات وخدمات المحاجر</v>
          </cell>
          <cell r="V445" t="str">
            <v>العمليات</v>
          </cell>
          <cell r="W445" t="str">
            <v>Ad-Dammam</v>
          </cell>
          <cell r="X445" t="str">
            <v xml:space="preserve">الفرع </v>
          </cell>
          <cell r="Y445">
            <v>45126</v>
          </cell>
          <cell r="Z445">
            <v>2.91</v>
          </cell>
          <cell r="AA445">
            <v>1064</v>
          </cell>
          <cell r="AB445" t="str">
            <v>غير نشط</v>
          </cell>
          <cell r="AC445" t="str">
            <v>400337</v>
          </cell>
          <cell r="AD445" t="str">
            <v>Abdullah Alzunaydi</v>
          </cell>
          <cell r="AE445" t="str">
            <v>إعارة</v>
          </cell>
          <cell r="AF445">
            <v>45708</v>
          </cell>
          <cell r="AG445" t="str">
            <v/>
          </cell>
          <cell r="AH445" t="str">
            <v>طب بيطري</v>
          </cell>
          <cell r="AI445" t="str">
            <v>بكالوريوس</v>
          </cell>
          <cell r="AJ445">
            <v>9</v>
          </cell>
          <cell r="AK445">
            <v>8</v>
          </cell>
          <cell r="AL445">
            <v>1</v>
          </cell>
          <cell r="AM445">
            <v>0</v>
          </cell>
          <cell r="AN445" t="str">
            <v/>
          </cell>
          <cell r="AO445" t="str">
            <v>Corp Extension &amp; Protection</v>
          </cell>
          <cell r="AP445" t="str">
            <v>Saudi Awwal Bank</v>
          </cell>
          <cell r="AQ445" t="str">
            <v>SA7145000000058130352001</v>
          </cell>
          <cell r="AR445">
            <v>18705</v>
          </cell>
          <cell r="AS445" t="str">
            <v/>
          </cell>
          <cell r="AT445">
            <v>970.5</v>
          </cell>
          <cell r="AU445">
            <v>4676.25</v>
          </cell>
          <cell r="AV445" t="str">
            <v/>
          </cell>
        </row>
        <row r="446">
          <cell r="A446">
            <v>400266</v>
          </cell>
          <cell r="B446" t="str">
            <v>1035647443</v>
          </cell>
          <cell r="C446" t="str">
            <v>السيد</v>
          </cell>
          <cell r="D446" t="str">
            <v>Faisel Owed Saad Almutairii</v>
          </cell>
          <cell r="E446" t="str">
            <v>فيصل عويد سعد المطيري</v>
          </cell>
          <cell r="F446" t="str">
            <v>Male</v>
          </cell>
          <cell r="G446" t="str">
            <v>متزوج</v>
          </cell>
          <cell r="H446">
            <v>30371</v>
          </cell>
          <cell r="I446">
            <v>43</v>
          </cell>
          <cell r="J446">
            <v>15819</v>
          </cell>
          <cell r="K446" t="str">
            <v>Faisal.AlMutairi@agriserv.sa</v>
          </cell>
          <cell r="L446" t="str">
            <v>0555937797</v>
          </cell>
          <cell r="M446" t="str">
            <v/>
          </cell>
          <cell r="N446" t="str">
            <v>المملكة العربية السعودية</v>
          </cell>
          <cell r="O446" t="str">
            <v>50001097</v>
          </cell>
          <cell r="P446" t="str">
            <v>أخصائي أول محاجر الثروة الحيوانية</v>
          </cell>
          <cell r="Q446" t="str">
            <v>الدرجة 6</v>
          </cell>
          <cell r="R446" t="str">
            <v>Class A</v>
          </cell>
          <cell r="S446" t="str">
            <v>محجر الرقعي  (الشرقية)</v>
          </cell>
          <cell r="T446" t="str">
            <v>خدمات المحجر</v>
          </cell>
          <cell r="U446" t="str">
            <v>الاذونات وخدمات المحاجر</v>
          </cell>
          <cell r="V446" t="str">
            <v>العمليات</v>
          </cell>
          <cell r="W446" t="str">
            <v>Ad-Dammam</v>
          </cell>
          <cell r="X446" t="str">
            <v xml:space="preserve">الفرع </v>
          </cell>
          <cell r="Y446">
            <v>45126</v>
          </cell>
          <cell r="Z446">
            <v>2.91</v>
          </cell>
          <cell r="AA446">
            <v>1064</v>
          </cell>
          <cell r="AB446" t="str">
            <v>نشط</v>
          </cell>
          <cell r="AC446" t="str">
            <v>100135</v>
          </cell>
          <cell r="AD446" t="str">
            <v>Abdulrahman Alzahrani</v>
          </cell>
          <cell r="AE446" t="str">
            <v>إعارة</v>
          </cell>
          <cell r="AF446" t="str">
            <v/>
          </cell>
          <cell r="AG446" t="str">
            <v/>
          </cell>
          <cell r="AH446" t="str">
            <v>وقاية النبات</v>
          </cell>
          <cell r="AI446" t="str">
            <v>بكالوريوس</v>
          </cell>
          <cell r="AJ446">
            <v>6</v>
          </cell>
          <cell r="AK446">
            <v>4</v>
          </cell>
          <cell r="AL446">
            <v>1</v>
          </cell>
          <cell r="AM446">
            <v>1</v>
          </cell>
          <cell r="AN446" t="str">
            <v/>
          </cell>
          <cell r="AO446" t="str">
            <v>الاذونات وخدمات المحاجر</v>
          </cell>
          <cell r="AP446" t="str">
            <v>Al Rajhi Bank</v>
          </cell>
          <cell r="AQ446" t="str">
            <v>SA7280000114608010379215</v>
          </cell>
          <cell r="AR446">
            <v>13505</v>
          </cell>
          <cell r="AS446" t="str">
            <v/>
          </cell>
          <cell r="AT446">
            <v>650.5</v>
          </cell>
          <cell r="AU446">
            <v>3376.25</v>
          </cell>
          <cell r="AV446" t="str">
            <v/>
          </cell>
        </row>
        <row r="447">
          <cell r="A447">
            <v>400267</v>
          </cell>
          <cell r="B447" t="str">
            <v>1027898202</v>
          </cell>
          <cell r="C447" t="str">
            <v>السيد</v>
          </cell>
          <cell r="D447" t="str">
            <v>Mahmood Mobarak Hasan Alsharari</v>
          </cell>
          <cell r="E447" t="str">
            <v>محمود مبارك حسن الشراري</v>
          </cell>
          <cell r="F447" t="str">
            <v>Male</v>
          </cell>
          <cell r="G447" t="str">
            <v>متزوج</v>
          </cell>
          <cell r="H447">
            <v>30286</v>
          </cell>
          <cell r="I447">
            <v>44</v>
          </cell>
          <cell r="J447">
            <v>15904</v>
          </cell>
          <cell r="K447" t="str">
            <v>Mahmood.Alsharari@agriserv.sa</v>
          </cell>
          <cell r="L447" t="str">
            <v>0552565515</v>
          </cell>
          <cell r="M447" t="str">
            <v/>
          </cell>
          <cell r="N447" t="str">
            <v>المملكة العربية السعودية</v>
          </cell>
          <cell r="O447" t="str">
            <v>50000465</v>
          </cell>
          <cell r="P447" t="str">
            <v>مساعد مشرف مختبرات الثروة الحيوانية</v>
          </cell>
          <cell r="Q447" t="str">
            <v>الدرجة 7</v>
          </cell>
          <cell r="R447" t="str">
            <v>Class A</v>
          </cell>
          <cell r="S447" t="str">
            <v>محجر الحديثة  (الجوف)</v>
          </cell>
          <cell r="T447" t="str">
            <v>خدمات المحجر</v>
          </cell>
          <cell r="U447" t="str">
            <v>الاذونات وخدمات المحاجر</v>
          </cell>
          <cell r="V447" t="str">
            <v>العمليات</v>
          </cell>
          <cell r="W447" t="str">
            <v>Sakaka</v>
          </cell>
          <cell r="X447" t="str">
            <v xml:space="preserve">الفرع </v>
          </cell>
          <cell r="Y447">
            <v>45126</v>
          </cell>
          <cell r="Z447">
            <v>2.91</v>
          </cell>
          <cell r="AA447">
            <v>1064</v>
          </cell>
          <cell r="AB447" t="str">
            <v>نشط</v>
          </cell>
          <cell r="AC447" t="str">
            <v>100135</v>
          </cell>
          <cell r="AD447" t="str">
            <v>Abdulrahman Alzahrani</v>
          </cell>
          <cell r="AE447" t="str">
            <v>إعارة</v>
          </cell>
          <cell r="AF447" t="str">
            <v/>
          </cell>
          <cell r="AG447" t="str">
            <v/>
          </cell>
          <cell r="AH447" t="str">
            <v>طب بيطري</v>
          </cell>
          <cell r="AI447" t="str">
            <v>بكالوريوس</v>
          </cell>
          <cell r="AJ447">
            <v>8</v>
          </cell>
          <cell r="AK447">
            <v>6</v>
          </cell>
          <cell r="AL447">
            <v>1</v>
          </cell>
          <cell r="AM447">
            <v>1</v>
          </cell>
          <cell r="AN447" t="str">
            <v/>
          </cell>
          <cell r="AO447" t="str">
            <v>الاذونات وخدمات المحاجر</v>
          </cell>
          <cell r="AP447" t="str">
            <v>Al Rajhi Bank</v>
          </cell>
          <cell r="AQ447" t="str">
            <v>SA6980000371608010037977</v>
          </cell>
          <cell r="AR447">
            <v>16055</v>
          </cell>
          <cell r="AS447" t="str">
            <v/>
          </cell>
          <cell r="AT447">
            <v>705.5</v>
          </cell>
          <cell r="AU447">
            <v>4013.75</v>
          </cell>
          <cell r="AV447" t="str">
            <v/>
          </cell>
        </row>
        <row r="448">
          <cell r="A448">
            <v>400268</v>
          </cell>
          <cell r="B448" t="str">
            <v>1009488691</v>
          </cell>
          <cell r="C448" t="str">
            <v>السيد</v>
          </cell>
          <cell r="D448" t="str">
            <v>Mutlaq Hammad Mutlaq Alshummari</v>
          </cell>
          <cell r="E448" t="str">
            <v>مطلق حماد مطلق الشمري</v>
          </cell>
          <cell r="F448" t="str">
            <v>Male</v>
          </cell>
          <cell r="G448" t="str">
            <v>متزوج</v>
          </cell>
          <cell r="H448">
            <v>29390</v>
          </cell>
          <cell r="I448">
            <v>46</v>
          </cell>
          <cell r="J448">
            <v>16800</v>
          </cell>
          <cell r="K448" t="str">
            <v>Mutlaq.AlShamri@agriserv.sa</v>
          </cell>
          <cell r="L448" t="str">
            <v>0580008532</v>
          </cell>
          <cell r="M448" t="str">
            <v/>
          </cell>
          <cell r="N448" t="str">
            <v>المملكة العربية السعودية</v>
          </cell>
          <cell r="O448" t="str">
            <v>50001102</v>
          </cell>
          <cell r="P448" t="str">
            <v>أخصائي أول محاجر الثروة الحيوانية</v>
          </cell>
          <cell r="Q448" t="str">
            <v>الدرجة 6</v>
          </cell>
          <cell r="R448" t="str">
            <v>Class A</v>
          </cell>
          <cell r="S448" t="str">
            <v>محجر جسر الملك فهد  (الشرقية)</v>
          </cell>
          <cell r="T448" t="str">
            <v>خدمات المحجر</v>
          </cell>
          <cell r="U448" t="str">
            <v>الاذونات وخدمات المحاجر</v>
          </cell>
          <cell r="V448" t="str">
            <v>العمليات</v>
          </cell>
          <cell r="W448" t="str">
            <v>Ad-Dammam</v>
          </cell>
          <cell r="X448" t="str">
            <v xml:space="preserve">الفرع </v>
          </cell>
          <cell r="Y448">
            <v>45126</v>
          </cell>
          <cell r="Z448">
            <v>2.91</v>
          </cell>
          <cell r="AA448">
            <v>1064</v>
          </cell>
          <cell r="AB448" t="str">
            <v>غير نشط</v>
          </cell>
          <cell r="AC448" t="str">
            <v>400325</v>
          </cell>
          <cell r="AD448" t="str">
            <v>Abdullah Almubarak</v>
          </cell>
          <cell r="AE448" t="str">
            <v>إعارة</v>
          </cell>
          <cell r="AF448">
            <v>45689</v>
          </cell>
          <cell r="AG448" t="str">
            <v/>
          </cell>
          <cell r="AH448" t="str">
            <v>طب بيطري</v>
          </cell>
          <cell r="AI448" t="str">
            <v>بكالوريوس</v>
          </cell>
          <cell r="AJ448">
            <v>4</v>
          </cell>
          <cell r="AK448">
            <v>1</v>
          </cell>
          <cell r="AL448">
            <v>1</v>
          </cell>
          <cell r="AM448">
            <v>2</v>
          </cell>
          <cell r="AN448" t="str">
            <v/>
          </cell>
          <cell r="AO448" t="str">
            <v>Livestock Extension &amp; Protection</v>
          </cell>
          <cell r="AP448" t="str">
            <v>Banque Saudi Fransi</v>
          </cell>
          <cell r="AQ448" t="str">
            <v>SA5655000000030087200137</v>
          </cell>
          <cell r="AR448">
            <v>15855</v>
          </cell>
          <cell r="AS448" t="str">
            <v/>
          </cell>
          <cell r="AT448">
            <v>885.5</v>
          </cell>
          <cell r="AU448">
            <v>3963.75</v>
          </cell>
          <cell r="AV448" t="str">
            <v/>
          </cell>
        </row>
        <row r="449">
          <cell r="A449">
            <v>400269</v>
          </cell>
          <cell r="B449" t="str">
            <v>1031451386</v>
          </cell>
          <cell r="C449" t="str">
            <v>السيد</v>
          </cell>
          <cell r="D449" t="str">
            <v>BADER AUDAH ABDULAZIZ ALFADHLI</v>
          </cell>
          <cell r="E449" t="str">
            <v>بدر عبد العزيز عوده الفضلى</v>
          </cell>
          <cell r="F449" t="str">
            <v>Male</v>
          </cell>
          <cell r="G449" t="str">
            <v/>
          </cell>
          <cell r="H449">
            <v>26294</v>
          </cell>
          <cell r="I449">
            <v>54</v>
          </cell>
          <cell r="J449">
            <v>19896</v>
          </cell>
          <cell r="K449" t="str">
            <v/>
          </cell>
          <cell r="L449" t="str">
            <v/>
          </cell>
          <cell r="M449" t="str">
            <v/>
          </cell>
          <cell r="N449" t="str">
            <v>المملكة العربية السعودية</v>
          </cell>
          <cell r="O449" t="str">
            <v>50001103</v>
          </cell>
          <cell r="P449" t="str">
            <v>طبيب بيطري مساعد</v>
          </cell>
          <cell r="Q449" t="str">
            <v>2B الدرجة</v>
          </cell>
          <cell r="R449" t="str">
            <v/>
          </cell>
          <cell r="S449" t="str">
            <v>الشهادات والمستندات الرسمية للثروة الحيوانية</v>
          </cell>
          <cell r="T449" t="str">
            <v>الخدمات الصحية و الإرشاد ودعم التسويق للثروة الحيوانية</v>
          </cell>
          <cell r="U449" t="str">
            <v/>
          </cell>
          <cell r="V449" t="str">
            <v>العمليات</v>
          </cell>
          <cell r="W449" t="str">
            <v>Abqaiq</v>
          </cell>
          <cell r="X449" t="str">
            <v xml:space="preserve">الفرع </v>
          </cell>
          <cell r="Y449">
            <v>45126</v>
          </cell>
          <cell r="Z449">
            <v>2.91</v>
          </cell>
          <cell r="AA449">
            <v>1064</v>
          </cell>
          <cell r="AB449" t="str">
            <v>غير نشط</v>
          </cell>
          <cell r="AC449" t="str">
            <v>400158</v>
          </cell>
          <cell r="AD449" t="str">
            <v>Abdulrahman Alzahrani</v>
          </cell>
          <cell r="AE449" t="str">
            <v>إعارة</v>
          </cell>
          <cell r="AF449">
            <v>45152</v>
          </cell>
          <cell r="AG449" t="str">
            <v/>
          </cell>
          <cell r="AH449" t="str">
            <v/>
          </cell>
          <cell r="AI449" t="str">
            <v/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 t="str">
            <v/>
          </cell>
          <cell r="AO449" t="str">
            <v>Livestock Extension &amp; Protection</v>
          </cell>
          <cell r="AP449" t="str">
            <v>Saudi National Bank</v>
          </cell>
          <cell r="AQ449" t="str">
            <v>SA7610000019000000244807</v>
          </cell>
          <cell r="AR449">
            <v>12575</v>
          </cell>
          <cell r="AS449" t="str">
            <v/>
          </cell>
          <cell r="AT449">
            <v>100</v>
          </cell>
          <cell r="AU449">
            <v>3143.75</v>
          </cell>
          <cell r="AV449" t="str">
            <v/>
          </cell>
        </row>
        <row r="450">
          <cell r="A450">
            <v>400270</v>
          </cell>
          <cell r="B450" t="str">
            <v>1011666664</v>
          </cell>
          <cell r="C450" t="str">
            <v>السيد</v>
          </cell>
          <cell r="D450" t="str">
            <v>Hesham Yousef Abaas Almutlaq</v>
          </cell>
          <cell r="E450" t="str">
            <v>هشام يوسف عباس المطلق</v>
          </cell>
          <cell r="F450" t="str">
            <v>Male</v>
          </cell>
          <cell r="G450" t="str">
            <v>متزوج</v>
          </cell>
          <cell r="H450">
            <v>30195</v>
          </cell>
          <cell r="I450">
            <v>44</v>
          </cell>
          <cell r="J450">
            <v>15995</v>
          </cell>
          <cell r="K450" t="str">
            <v>Hesham.AlMutlaq@agriserv.sa</v>
          </cell>
          <cell r="L450" t="str">
            <v>0503908129</v>
          </cell>
          <cell r="M450" t="str">
            <v/>
          </cell>
          <cell r="N450" t="str">
            <v>المملكة العربية السعودية</v>
          </cell>
          <cell r="O450" t="str">
            <v>50001096</v>
          </cell>
          <cell r="P450" t="str">
            <v>مساعد مشرف محاجر الثروة السمكية</v>
          </cell>
          <cell r="Q450" t="str">
            <v>الدرجة 7</v>
          </cell>
          <cell r="R450" t="str">
            <v>Class A</v>
          </cell>
          <cell r="S450" t="str">
            <v>محجر مطار الملك فهد  (الشرقية)</v>
          </cell>
          <cell r="T450" t="str">
            <v>خدمات المحجر</v>
          </cell>
          <cell r="U450" t="str">
            <v>الاذونات وخدمات المحاجر</v>
          </cell>
          <cell r="V450" t="str">
            <v>العمليات</v>
          </cell>
          <cell r="W450" t="str">
            <v>Ad-Dammam</v>
          </cell>
          <cell r="X450" t="str">
            <v xml:space="preserve">الفرع </v>
          </cell>
          <cell r="Y450">
            <v>45126</v>
          </cell>
          <cell r="Z450">
            <v>2.91</v>
          </cell>
          <cell r="AA450">
            <v>1064</v>
          </cell>
          <cell r="AB450" t="str">
            <v>نشط</v>
          </cell>
          <cell r="AC450" t="str">
            <v>100135</v>
          </cell>
          <cell r="AD450" t="str">
            <v>Abdulrahman Alzahrani</v>
          </cell>
          <cell r="AE450" t="str">
            <v>إعارة</v>
          </cell>
          <cell r="AF450" t="str">
            <v/>
          </cell>
          <cell r="AG450" t="str">
            <v/>
          </cell>
          <cell r="AH450" t="str">
            <v>الولادة والتناسليات والتلقيح</v>
          </cell>
          <cell r="AI450" t="str">
            <v>ماجستير</v>
          </cell>
          <cell r="AJ450">
            <v>5</v>
          </cell>
          <cell r="AK450">
            <v>2</v>
          </cell>
          <cell r="AL450">
            <v>1</v>
          </cell>
          <cell r="AM450">
            <v>2</v>
          </cell>
          <cell r="AN450" t="str">
            <v/>
          </cell>
          <cell r="AO450" t="str">
            <v>الاذونات وخدمات المحاجر</v>
          </cell>
          <cell r="AP450" t="str">
            <v>Bank Al Jazirah</v>
          </cell>
          <cell r="AQ450" t="str">
            <v xml:space="preserve">SA6360100021880333371001
</v>
          </cell>
          <cell r="AR450">
            <v>16585</v>
          </cell>
          <cell r="AS450" t="str">
            <v/>
          </cell>
          <cell r="AT450">
            <v>758.5</v>
          </cell>
          <cell r="AU450">
            <v>4146.25</v>
          </cell>
          <cell r="AV450" t="str">
            <v/>
          </cell>
        </row>
        <row r="451">
          <cell r="A451">
            <v>400271</v>
          </cell>
          <cell r="B451" t="str">
            <v>1002762225</v>
          </cell>
          <cell r="C451" t="str">
            <v>السيد</v>
          </cell>
          <cell r="D451" t="str">
            <v>Fahad Abdulrhmaan Ahmed Alfrhaan</v>
          </cell>
          <cell r="E451" t="str">
            <v>فهد عبدالرحمن احمد الفرحان</v>
          </cell>
          <cell r="F451" t="str">
            <v>Male</v>
          </cell>
          <cell r="G451" t="str">
            <v>أعزب</v>
          </cell>
          <cell r="H451">
            <v>28277</v>
          </cell>
          <cell r="I451">
            <v>49</v>
          </cell>
          <cell r="J451">
            <v>17913</v>
          </cell>
          <cell r="K451" t="str">
            <v>Fahad.Alfarhan@agriserv.sa</v>
          </cell>
          <cell r="L451" t="str">
            <v>0506839391</v>
          </cell>
          <cell r="M451" t="str">
            <v/>
          </cell>
          <cell r="N451" t="str">
            <v>المملكة العربية السعودية</v>
          </cell>
          <cell r="O451" t="str">
            <v>50001095</v>
          </cell>
          <cell r="P451" t="str">
            <v>مساعد مشرف محاجر الثروة السمكية</v>
          </cell>
          <cell r="Q451" t="str">
            <v>الدرجة 7</v>
          </cell>
          <cell r="R451" t="str">
            <v>Class A</v>
          </cell>
          <cell r="S451" t="str">
            <v>محجر ميناء الدمام   (الشرقية)</v>
          </cell>
          <cell r="T451" t="str">
            <v>خدمات المحجر</v>
          </cell>
          <cell r="U451" t="str">
            <v>الاذونات وخدمات المحاجر</v>
          </cell>
          <cell r="V451" t="str">
            <v>العمليات</v>
          </cell>
          <cell r="W451" t="str">
            <v>Ad-Dammam</v>
          </cell>
          <cell r="X451" t="str">
            <v xml:space="preserve">الفرع </v>
          </cell>
          <cell r="Y451">
            <v>45126</v>
          </cell>
          <cell r="Z451">
            <v>2.91</v>
          </cell>
          <cell r="AA451">
            <v>1064</v>
          </cell>
          <cell r="AB451" t="str">
            <v>نشط</v>
          </cell>
          <cell r="AC451" t="str">
            <v>100135</v>
          </cell>
          <cell r="AD451" t="str">
            <v>Abdulrahman Alzahrani</v>
          </cell>
          <cell r="AE451" t="str">
            <v>إعارة</v>
          </cell>
          <cell r="AF451" t="str">
            <v/>
          </cell>
          <cell r="AG451" t="str">
            <v/>
          </cell>
          <cell r="AH451" t="str">
            <v>طب بيطري</v>
          </cell>
          <cell r="AI451" t="str">
            <v>بكالوريوس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 t="str">
            <v/>
          </cell>
          <cell r="AO451" t="str">
            <v>الاذونات وخدمات المحاجر</v>
          </cell>
          <cell r="AP451" t="str">
            <v>Al Rajhi Bank</v>
          </cell>
          <cell r="AQ451" t="str">
            <v>SA5880000301608010146435</v>
          </cell>
          <cell r="AR451">
            <v>13820</v>
          </cell>
          <cell r="AS451" t="str">
            <v/>
          </cell>
          <cell r="AT451">
            <v>682</v>
          </cell>
          <cell r="AU451">
            <v>3455</v>
          </cell>
          <cell r="AV451" t="str">
            <v/>
          </cell>
        </row>
        <row r="452">
          <cell r="A452">
            <v>400272</v>
          </cell>
          <cell r="B452" t="str">
            <v>1057836908</v>
          </cell>
          <cell r="C452" t="str">
            <v>السيد</v>
          </cell>
          <cell r="D452" t="str">
            <v>Rajeh Ahmad Sror Alshanbari</v>
          </cell>
          <cell r="E452" t="str">
            <v>راجح احمد سرور الشنبري</v>
          </cell>
          <cell r="F452" t="str">
            <v>Male</v>
          </cell>
          <cell r="G452" t="str">
            <v/>
          </cell>
          <cell r="H452">
            <v>31008</v>
          </cell>
          <cell r="I452">
            <v>42</v>
          </cell>
          <cell r="J452">
            <v>15182</v>
          </cell>
          <cell r="K452" t="str">
            <v/>
          </cell>
          <cell r="L452" t="str">
            <v>0506970075</v>
          </cell>
          <cell r="M452" t="str">
            <v/>
          </cell>
          <cell r="N452" t="str">
            <v>المملكة العربية السعودية</v>
          </cell>
          <cell r="O452" t="str">
            <v>50001111</v>
          </cell>
          <cell r="P452" t="str">
            <v>طبيب بيطري</v>
          </cell>
          <cell r="Q452" t="str">
            <v>الدرجة 4</v>
          </cell>
          <cell r="R452" t="str">
            <v/>
          </cell>
          <cell r="S452" t="str">
            <v>محجر الخمرة  (مكة المكرمة)</v>
          </cell>
          <cell r="T452" t="str">
            <v>خدمات المحجر</v>
          </cell>
          <cell r="U452" t="str">
            <v>الاذونات وخدمات المحاجر</v>
          </cell>
          <cell r="V452" t="str">
            <v>العمليات</v>
          </cell>
          <cell r="W452" t="str">
            <v>Jiddah</v>
          </cell>
          <cell r="X452" t="str">
            <v xml:space="preserve">الفرع </v>
          </cell>
          <cell r="Y452">
            <v>45126</v>
          </cell>
          <cell r="Z452">
            <v>2.91</v>
          </cell>
          <cell r="AA452">
            <v>1064</v>
          </cell>
          <cell r="AB452" t="str">
            <v>غير نشط</v>
          </cell>
          <cell r="AC452" t="str">
            <v>400158</v>
          </cell>
          <cell r="AD452" t="str">
            <v>Abdulrahman Alzahrani</v>
          </cell>
          <cell r="AE452" t="str">
            <v>إعارة</v>
          </cell>
          <cell r="AF452">
            <v>45260</v>
          </cell>
          <cell r="AG452" t="str">
            <v/>
          </cell>
          <cell r="AH452" t="str">
            <v/>
          </cell>
          <cell r="AI452" t="str">
            <v/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 t="str">
            <v/>
          </cell>
          <cell r="AO452" t="str">
            <v>Livestock Extension &amp; Protection</v>
          </cell>
          <cell r="AP452" t="str">
            <v>Riyad Bank</v>
          </cell>
          <cell r="AQ452" t="str">
            <v>SA6820000001531568189940</v>
          </cell>
          <cell r="AR452">
            <v>14355</v>
          </cell>
          <cell r="AS452" t="str">
            <v/>
          </cell>
          <cell r="AT452">
            <v>735.5</v>
          </cell>
          <cell r="AU452">
            <v>3588.75</v>
          </cell>
          <cell r="AV452" t="str">
            <v/>
          </cell>
        </row>
        <row r="453">
          <cell r="A453">
            <v>400273</v>
          </cell>
          <cell r="B453" t="str">
            <v>1046508949</v>
          </cell>
          <cell r="C453" t="str">
            <v>السيد</v>
          </cell>
          <cell r="D453" t="str">
            <v>Yahya Ahmed Yahya Alzahrani</v>
          </cell>
          <cell r="E453" t="str">
            <v>يحي أحمد يحي الزهراني</v>
          </cell>
          <cell r="F453" t="str">
            <v>Male</v>
          </cell>
          <cell r="G453" t="str">
            <v>متزوج</v>
          </cell>
          <cell r="H453">
            <v>29349</v>
          </cell>
          <cell r="I453">
            <v>46</v>
          </cell>
          <cell r="J453">
            <v>16841</v>
          </cell>
          <cell r="K453" t="str">
            <v>Yahya.Alzahrani@agriserv.sa</v>
          </cell>
          <cell r="L453" t="str">
            <v>0503719140</v>
          </cell>
          <cell r="M453" t="str">
            <v/>
          </cell>
          <cell r="N453" t="str">
            <v>المملكة العربية السعودية</v>
          </cell>
          <cell r="O453" t="str">
            <v>50001110</v>
          </cell>
          <cell r="P453" t="str">
            <v>أخصائي أول محاجر الثروة الحيوانية</v>
          </cell>
          <cell r="Q453" t="str">
            <v>الدرجة 6</v>
          </cell>
          <cell r="R453" t="str">
            <v>Class A</v>
          </cell>
          <cell r="S453" t="str">
            <v>محجر مطار جدة  (مكة المكرمة)</v>
          </cell>
          <cell r="T453" t="str">
            <v>خدمات المحجر</v>
          </cell>
          <cell r="U453" t="str">
            <v>الاذونات وخدمات المحاجر</v>
          </cell>
          <cell r="V453" t="str">
            <v>العمليات</v>
          </cell>
          <cell r="W453" t="str">
            <v>Jiddah</v>
          </cell>
          <cell r="X453" t="str">
            <v xml:space="preserve">الفرع </v>
          </cell>
          <cell r="Y453">
            <v>45126</v>
          </cell>
          <cell r="Z453">
            <v>2.91</v>
          </cell>
          <cell r="AA453">
            <v>1064</v>
          </cell>
          <cell r="AB453" t="str">
            <v>نشط</v>
          </cell>
          <cell r="AC453" t="str">
            <v>100135</v>
          </cell>
          <cell r="AD453" t="str">
            <v>Abdulrahman Alzahrani</v>
          </cell>
          <cell r="AE453" t="str">
            <v>إعارة</v>
          </cell>
          <cell r="AF453" t="str">
            <v/>
          </cell>
          <cell r="AG453" t="str">
            <v/>
          </cell>
          <cell r="AH453" t="str">
            <v>علم الإحياء</v>
          </cell>
          <cell r="AI453" t="str">
            <v>بكالوريوس</v>
          </cell>
          <cell r="AJ453">
            <v>4</v>
          </cell>
          <cell r="AK453">
            <v>2</v>
          </cell>
          <cell r="AL453">
            <v>1</v>
          </cell>
          <cell r="AM453">
            <v>1</v>
          </cell>
          <cell r="AN453" t="str">
            <v/>
          </cell>
          <cell r="AO453" t="str">
            <v>الاذونات وخدمات المحاجر</v>
          </cell>
          <cell r="AP453" t="str">
            <v>Al Rajhi Bank</v>
          </cell>
          <cell r="AQ453" t="str">
            <v>SA7880000387608010023144</v>
          </cell>
          <cell r="AR453">
            <v>17995</v>
          </cell>
          <cell r="AS453" t="str">
            <v/>
          </cell>
          <cell r="AT453">
            <v>899.5</v>
          </cell>
          <cell r="AU453">
            <v>4498.75</v>
          </cell>
          <cell r="AV453" t="str">
            <v/>
          </cell>
        </row>
        <row r="454">
          <cell r="A454">
            <v>400274</v>
          </cell>
          <cell r="B454" t="str">
            <v>1004531727</v>
          </cell>
          <cell r="C454" t="str">
            <v>السيد</v>
          </cell>
          <cell r="D454" t="str">
            <v>Hussain Mohammad Rasheed Albakmani</v>
          </cell>
          <cell r="E454" t="str">
            <v>حسين محمد رشيد البكماني</v>
          </cell>
          <cell r="F454" t="str">
            <v>Male</v>
          </cell>
          <cell r="G454" t="str">
            <v>متزوج</v>
          </cell>
          <cell r="H454">
            <v>27599</v>
          </cell>
          <cell r="I454">
            <v>51</v>
          </cell>
          <cell r="J454">
            <v>18591</v>
          </cell>
          <cell r="K454" t="str">
            <v>Hussein.AlBakmani@agriserv.sa</v>
          </cell>
          <cell r="L454" t="str">
            <v>0555688285</v>
          </cell>
          <cell r="M454" t="str">
            <v/>
          </cell>
          <cell r="N454" t="str">
            <v>المملكة العربية السعودية</v>
          </cell>
          <cell r="O454" t="str">
            <v>50001109</v>
          </cell>
          <cell r="P454" t="str">
            <v>مساعد مشرف محاجر الثروة السمكية</v>
          </cell>
          <cell r="Q454" t="str">
            <v>الدرجة 7</v>
          </cell>
          <cell r="R454" t="str">
            <v>Class A</v>
          </cell>
          <cell r="S454" t="str">
            <v>محجر ميناء جدة الاسلامي  (مكة المكرمة)</v>
          </cell>
          <cell r="T454" t="str">
            <v>خدمات المحجر</v>
          </cell>
          <cell r="U454" t="str">
            <v>الاذونات وخدمات المحاجر</v>
          </cell>
          <cell r="V454" t="str">
            <v>العمليات</v>
          </cell>
          <cell r="W454" t="str">
            <v>Jiddah</v>
          </cell>
          <cell r="X454" t="str">
            <v xml:space="preserve">الفرع </v>
          </cell>
          <cell r="Y454">
            <v>45126</v>
          </cell>
          <cell r="Z454">
            <v>2.91</v>
          </cell>
          <cell r="AA454">
            <v>1064</v>
          </cell>
          <cell r="AB454" t="str">
            <v>نشط</v>
          </cell>
          <cell r="AC454" t="str">
            <v>100135</v>
          </cell>
          <cell r="AD454" t="str">
            <v>Abdulrahman Alzahrani</v>
          </cell>
          <cell r="AE454" t="str">
            <v>إعارة</v>
          </cell>
          <cell r="AF454" t="str">
            <v/>
          </cell>
          <cell r="AG454" t="str">
            <v/>
          </cell>
          <cell r="AH454" t="str">
            <v>علم الزراعة</v>
          </cell>
          <cell r="AI454" t="str">
            <v>بكالوريوس</v>
          </cell>
          <cell r="AJ454">
            <v>9</v>
          </cell>
          <cell r="AK454">
            <v>6</v>
          </cell>
          <cell r="AL454">
            <v>1</v>
          </cell>
          <cell r="AM454">
            <v>2</v>
          </cell>
          <cell r="AN454" t="str">
            <v/>
          </cell>
          <cell r="AO454" t="str">
            <v>الاذونات وخدمات المحاجر</v>
          </cell>
          <cell r="AP454" t="str">
            <v>Al Rajhi Bank</v>
          </cell>
          <cell r="AQ454" t="str">
            <v>SA1080000322608010083005</v>
          </cell>
          <cell r="AR454">
            <v>18175</v>
          </cell>
          <cell r="AS454" t="str">
            <v/>
          </cell>
          <cell r="AT454">
            <v>917.5</v>
          </cell>
          <cell r="AU454">
            <v>4543.75</v>
          </cell>
          <cell r="AV454" t="str">
            <v/>
          </cell>
        </row>
        <row r="455">
          <cell r="A455">
            <v>400275</v>
          </cell>
          <cell r="B455" t="str">
            <v>1022117657</v>
          </cell>
          <cell r="C455" t="str">
            <v>السيد</v>
          </cell>
          <cell r="D455" t="str">
            <v>Tareq Saud Omar Almalekei</v>
          </cell>
          <cell r="E455" t="str">
            <v>طارق سعود عمر المالكي</v>
          </cell>
          <cell r="F455" t="str">
            <v>Male</v>
          </cell>
          <cell r="G455" t="str">
            <v>متزوج</v>
          </cell>
          <cell r="H455">
            <v>29868</v>
          </cell>
          <cell r="I455">
            <v>45</v>
          </cell>
          <cell r="J455">
            <v>16322</v>
          </cell>
          <cell r="K455" t="str">
            <v>Tareq.Almalki@agriserv.sa</v>
          </cell>
          <cell r="L455" t="str">
            <v>0555585579</v>
          </cell>
          <cell r="M455" t="str">
            <v/>
          </cell>
          <cell r="N455" t="str">
            <v>المملكة العربية السعودية</v>
          </cell>
          <cell r="O455" t="str">
            <v>50001108</v>
          </cell>
          <cell r="P455" t="str">
            <v>أخصائي أول محاجر الثروة النباتية</v>
          </cell>
          <cell r="Q455" t="str">
            <v>الدرجة 6</v>
          </cell>
          <cell r="R455" t="str">
            <v>Class A</v>
          </cell>
          <cell r="S455" t="str">
            <v>محجر ميناء الملك عبدالله رابغ</v>
          </cell>
          <cell r="T455" t="str">
            <v>خدمات المحجر</v>
          </cell>
          <cell r="U455" t="str">
            <v>الاذونات وخدمات المحاجر</v>
          </cell>
          <cell r="V455" t="str">
            <v>العمليات</v>
          </cell>
          <cell r="W455" t="str">
            <v>Makkah</v>
          </cell>
          <cell r="X455" t="str">
            <v xml:space="preserve">الفرع </v>
          </cell>
          <cell r="Y455">
            <v>45126</v>
          </cell>
          <cell r="Z455">
            <v>2.91</v>
          </cell>
          <cell r="AA455">
            <v>1064</v>
          </cell>
          <cell r="AB455" t="str">
            <v>نشط</v>
          </cell>
          <cell r="AC455" t="str">
            <v>100135</v>
          </cell>
          <cell r="AD455" t="str">
            <v>Abdulrahman Alzahrani</v>
          </cell>
          <cell r="AE455" t="str">
            <v>إعارة</v>
          </cell>
          <cell r="AF455" t="str">
            <v/>
          </cell>
          <cell r="AG455" t="str">
            <v/>
          </cell>
          <cell r="AH455" t="str">
            <v>وقاية النبات</v>
          </cell>
          <cell r="AI455" t="str">
            <v>بكالوريوس</v>
          </cell>
          <cell r="AJ455">
            <v>4</v>
          </cell>
          <cell r="AK455">
            <v>1</v>
          </cell>
          <cell r="AL455">
            <v>1</v>
          </cell>
          <cell r="AM455">
            <v>2</v>
          </cell>
          <cell r="AN455" t="str">
            <v/>
          </cell>
          <cell r="AO455" t="str">
            <v>الاذونات وخدمات المحاجر</v>
          </cell>
          <cell r="AP455" t="str">
            <v>Bank Al Jazirah</v>
          </cell>
          <cell r="AQ455" t="str">
            <v>SA0660100011880048992001</v>
          </cell>
          <cell r="AR455">
            <v>16055</v>
          </cell>
          <cell r="AS455" t="str">
            <v/>
          </cell>
          <cell r="AT455">
            <v>705.5</v>
          </cell>
          <cell r="AU455">
            <v>4013.75</v>
          </cell>
          <cell r="AV455" t="str">
            <v/>
          </cell>
        </row>
        <row r="456">
          <cell r="A456">
            <v>400276</v>
          </cell>
          <cell r="B456" t="str">
            <v>1023611005</v>
          </cell>
          <cell r="C456" t="str">
            <v>السيد</v>
          </cell>
          <cell r="D456" t="str">
            <v>Adi Abdulaziz Abdulrahman Almohimeed</v>
          </cell>
          <cell r="E456" t="str">
            <v>عدي عبدالعزيز عبدالرحمن المحيميد</v>
          </cell>
          <cell r="F456" t="str">
            <v>Male</v>
          </cell>
          <cell r="G456" t="str">
            <v>أعزب</v>
          </cell>
          <cell r="H456">
            <v>26875</v>
          </cell>
          <cell r="I456">
            <v>53</v>
          </cell>
          <cell r="J456">
            <v>19315</v>
          </cell>
          <cell r="K456" t="str">
            <v>Odai.AlMuhaimeed@agriserv.sa</v>
          </cell>
          <cell r="L456" t="str">
            <v>0504612212</v>
          </cell>
          <cell r="M456" t="str">
            <v/>
          </cell>
          <cell r="N456" t="str">
            <v>المملكة العربية السعودية</v>
          </cell>
          <cell r="O456" t="str">
            <v>50001107</v>
          </cell>
          <cell r="P456" t="str">
            <v>مساعد مشرف مختبرات الثروة الحيوانية</v>
          </cell>
          <cell r="Q456" t="str">
            <v>الدرجة 7</v>
          </cell>
          <cell r="R456" t="str">
            <v>Class A</v>
          </cell>
          <cell r="S456" t="str">
            <v>مختبرات مكة  (مكة المكرمة)</v>
          </cell>
          <cell r="T456" t="str">
            <v>خدمات المحجر</v>
          </cell>
          <cell r="U456" t="str">
            <v>الاذونات وخدمات المحاجر</v>
          </cell>
          <cell r="V456" t="str">
            <v>العمليات</v>
          </cell>
          <cell r="W456" t="str">
            <v>Makkah</v>
          </cell>
          <cell r="X456" t="str">
            <v xml:space="preserve">الفرع </v>
          </cell>
          <cell r="Y456">
            <v>45126</v>
          </cell>
          <cell r="Z456">
            <v>2.91</v>
          </cell>
          <cell r="AA456">
            <v>1064</v>
          </cell>
          <cell r="AB456" t="str">
            <v>نشط</v>
          </cell>
          <cell r="AC456" t="str">
            <v>400274</v>
          </cell>
          <cell r="AD456" t="str">
            <v>Hussain Albakmani</v>
          </cell>
          <cell r="AE456" t="str">
            <v>إعارة</v>
          </cell>
          <cell r="AF456" t="str">
            <v/>
          </cell>
          <cell r="AG456" t="str">
            <v/>
          </cell>
          <cell r="AH456" t="str">
            <v>علم الإحياء</v>
          </cell>
          <cell r="AI456" t="str">
            <v>بكالوريوس</v>
          </cell>
          <cell r="AJ456">
            <v>1</v>
          </cell>
          <cell r="AK456">
            <v>0</v>
          </cell>
          <cell r="AL456">
            <v>0</v>
          </cell>
          <cell r="AM456">
            <v>1</v>
          </cell>
          <cell r="AN456" t="str">
            <v/>
          </cell>
          <cell r="AO456" t="str">
            <v>الاذونات وخدمات المحاجر</v>
          </cell>
          <cell r="AP456" t="str">
            <v>Saudi Awwal Bank</v>
          </cell>
          <cell r="AQ456" t="str">
            <v>SA7945000000022077911001</v>
          </cell>
          <cell r="AR456">
            <v>19415</v>
          </cell>
          <cell r="AS456" t="str">
            <v/>
          </cell>
          <cell r="AT456">
            <v>1041.5</v>
          </cell>
          <cell r="AU456">
            <v>4853.75</v>
          </cell>
          <cell r="AV456" t="str">
            <v/>
          </cell>
        </row>
        <row r="457">
          <cell r="A457">
            <v>400277</v>
          </cell>
          <cell r="B457" t="str">
            <v>1014856635</v>
          </cell>
          <cell r="C457" t="str">
            <v>السيد</v>
          </cell>
          <cell r="D457" t="str">
            <v>Sanad Fantool Hlael Alenezi</v>
          </cell>
          <cell r="E457" t="str">
            <v>سند فنطول هليل العنزى</v>
          </cell>
          <cell r="F457" t="str">
            <v>Male</v>
          </cell>
          <cell r="G457" t="str">
            <v>متزوج</v>
          </cell>
          <cell r="H457">
            <v>25258</v>
          </cell>
          <cell r="I457">
            <v>57</v>
          </cell>
          <cell r="J457">
            <v>20932</v>
          </cell>
          <cell r="K457" t="str">
            <v>Sanad.Alenezi@agriserv.sa</v>
          </cell>
          <cell r="L457" t="str">
            <v>0504975761</v>
          </cell>
          <cell r="M457" t="str">
            <v/>
          </cell>
          <cell r="N457" t="str">
            <v>المملكة العربية السعودية</v>
          </cell>
          <cell r="O457" t="str">
            <v>50001105</v>
          </cell>
          <cell r="P457" t="str">
            <v>طبيب بيطري مساعد</v>
          </cell>
          <cell r="Q457" t="str">
            <v>2B الدرجة</v>
          </cell>
          <cell r="R457" t="str">
            <v>Class A</v>
          </cell>
          <cell r="S457" t="str">
            <v>محجر جديدة عرعر  (عرعر)</v>
          </cell>
          <cell r="T457" t="str">
            <v>خدمات المحجر</v>
          </cell>
          <cell r="U457" t="str">
            <v>الاذونات وخدمات المحاجر</v>
          </cell>
          <cell r="V457" t="str">
            <v>العمليات</v>
          </cell>
          <cell r="W457" t="str">
            <v>Arar</v>
          </cell>
          <cell r="X457" t="str">
            <v xml:space="preserve">الفرع </v>
          </cell>
          <cell r="Y457">
            <v>45126</v>
          </cell>
          <cell r="Z457">
            <v>2.91</v>
          </cell>
          <cell r="AA457">
            <v>1064</v>
          </cell>
          <cell r="AB457" t="str">
            <v>نشط</v>
          </cell>
          <cell r="AC457" t="str">
            <v>100063</v>
          </cell>
          <cell r="AD457" t="str">
            <v>Hazza Alruwaili</v>
          </cell>
          <cell r="AE457" t="str">
            <v>إعارة</v>
          </cell>
          <cell r="AF457" t="str">
            <v/>
          </cell>
          <cell r="AG457" t="str">
            <v/>
          </cell>
          <cell r="AH457" t="str">
            <v>طب بيطري</v>
          </cell>
          <cell r="AI457" t="str">
            <v>دبلوم</v>
          </cell>
          <cell r="AJ457">
            <v>10</v>
          </cell>
          <cell r="AK457">
            <v>8</v>
          </cell>
          <cell r="AL457">
            <v>1</v>
          </cell>
          <cell r="AM457">
            <v>1</v>
          </cell>
          <cell r="AN457" t="str">
            <v/>
          </cell>
          <cell r="AO457" t="str">
            <v>الاذونات وخدمات المحاجر</v>
          </cell>
          <cell r="AP457" t="str">
            <v>Al Rajhi Bank</v>
          </cell>
          <cell r="AQ457" t="str">
            <v>SA2280000133608010085934</v>
          </cell>
          <cell r="AR457">
            <v>18705</v>
          </cell>
          <cell r="AS457" t="str">
            <v/>
          </cell>
          <cell r="AT457" t="str">
            <v/>
          </cell>
          <cell r="AU457">
            <v>4676.25</v>
          </cell>
          <cell r="AV457" t="str">
            <v/>
          </cell>
        </row>
        <row r="458">
          <cell r="A458">
            <v>400278</v>
          </cell>
          <cell r="B458" t="str">
            <v>1047071053</v>
          </cell>
          <cell r="C458" t="str">
            <v>السيد</v>
          </cell>
          <cell r="D458" t="str">
            <v>Abdullah Saleh Sulaiman Shafei</v>
          </cell>
          <cell r="E458" t="str">
            <v>عبدالله صالح سليمان شافعى</v>
          </cell>
          <cell r="F458" t="str">
            <v>Male</v>
          </cell>
          <cell r="G458" t="str">
            <v>متزوج</v>
          </cell>
          <cell r="H458">
            <v>25812</v>
          </cell>
          <cell r="I458">
            <v>56</v>
          </cell>
          <cell r="J458">
            <v>20378</v>
          </cell>
          <cell r="K458" t="str">
            <v>Abdullah.Shafei@agriserv.sa</v>
          </cell>
          <cell r="L458" t="str">
            <v>0555787712</v>
          </cell>
          <cell r="M458" t="str">
            <v/>
          </cell>
          <cell r="N458" t="str">
            <v>المملكة العربية السعودية</v>
          </cell>
          <cell r="O458" t="str">
            <v>50001104</v>
          </cell>
          <cell r="P458" t="str">
            <v>طبيب بيطري مساعد</v>
          </cell>
          <cell r="Q458" t="str">
            <v>2B الدرجة</v>
          </cell>
          <cell r="R458" t="str">
            <v>Class A</v>
          </cell>
          <cell r="S458" t="str">
            <v>منفذ جيزان  (جيزان)</v>
          </cell>
          <cell r="T458" t="str">
            <v>خدمات المحجر</v>
          </cell>
          <cell r="U458" t="str">
            <v>الاذونات وخدمات المحاجر</v>
          </cell>
          <cell r="V458" t="str">
            <v>العمليات</v>
          </cell>
          <cell r="W458" t="str">
            <v>Jizan</v>
          </cell>
          <cell r="X458" t="str">
            <v xml:space="preserve">الفرع </v>
          </cell>
          <cell r="Y458">
            <v>45126</v>
          </cell>
          <cell r="Z458">
            <v>2.91</v>
          </cell>
          <cell r="AA458">
            <v>1064</v>
          </cell>
          <cell r="AB458" t="str">
            <v>نشط</v>
          </cell>
          <cell r="AC458" t="str">
            <v>100135</v>
          </cell>
          <cell r="AD458" t="str">
            <v>Abdulrahman Alzahrani</v>
          </cell>
          <cell r="AE458" t="str">
            <v>إعارة</v>
          </cell>
          <cell r="AF458" t="str">
            <v/>
          </cell>
          <cell r="AG458" t="str">
            <v/>
          </cell>
          <cell r="AH458" t="str">
            <v>انتاج حيواني</v>
          </cell>
          <cell r="AI458" t="str">
            <v>دبلوم</v>
          </cell>
          <cell r="AJ458">
            <v>7</v>
          </cell>
          <cell r="AK458">
            <v>5</v>
          </cell>
          <cell r="AL458">
            <v>1</v>
          </cell>
          <cell r="AM458">
            <v>1</v>
          </cell>
          <cell r="AN458" t="str">
            <v/>
          </cell>
          <cell r="AO458" t="str">
            <v>الاذونات وخدمات المحاجر</v>
          </cell>
          <cell r="AP458" t="str">
            <v>Saudi National Bank</v>
          </cell>
          <cell r="AQ458" t="str">
            <v>SA9010000044355100000100</v>
          </cell>
          <cell r="AR458">
            <v>16395</v>
          </cell>
          <cell r="AS458" t="str">
            <v/>
          </cell>
          <cell r="AT458">
            <v>100</v>
          </cell>
          <cell r="AU458">
            <v>4098.75</v>
          </cell>
          <cell r="AV458" t="str">
            <v/>
          </cell>
        </row>
        <row r="459">
          <cell r="A459">
            <v>400279</v>
          </cell>
          <cell r="B459" t="str">
            <v>1120600125</v>
          </cell>
          <cell r="C459" t="str">
            <v>السيد</v>
          </cell>
          <cell r="D459" t="str">
            <v>Mohammed Abdullah Mohammed Alsharari</v>
          </cell>
          <cell r="E459" t="str">
            <v>محمد عبدالله محمد الشراري</v>
          </cell>
          <cell r="F459" t="str">
            <v>Male</v>
          </cell>
          <cell r="G459" t="str">
            <v>أعزب</v>
          </cell>
          <cell r="H459">
            <v>37771</v>
          </cell>
          <cell r="I459">
            <v>23</v>
          </cell>
          <cell r="J459">
            <v>8419</v>
          </cell>
          <cell r="K459" t="str">
            <v>Mohammad.AlSharari@agriserv.sa</v>
          </cell>
          <cell r="L459" t="str">
            <v>0500368156</v>
          </cell>
          <cell r="M459" t="str">
            <v/>
          </cell>
          <cell r="N459" t="str">
            <v>المملكة العربية السعودية</v>
          </cell>
          <cell r="O459" t="str">
            <v>50001119</v>
          </cell>
          <cell r="P459" t="str">
            <v>طبيب بيطري مساعد</v>
          </cell>
          <cell r="Q459" t="str">
            <v>2B الدرجة</v>
          </cell>
          <cell r="R459" t="str">
            <v>Class A</v>
          </cell>
          <cell r="S459" t="str">
            <v>محجر الحديثة  (الجوف)</v>
          </cell>
          <cell r="T459" t="str">
            <v>خدمات المحجر</v>
          </cell>
          <cell r="U459" t="str">
            <v>الاذونات وخدمات المحاجر</v>
          </cell>
          <cell r="V459" t="str">
            <v>العمليات</v>
          </cell>
          <cell r="W459" t="str">
            <v>Sakaka</v>
          </cell>
          <cell r="X459" t="str">
            <v xml:space="preserve">الفرع </v>
          </cell>
          <cell r="Y459">
            <v>45126</v>
          </cell>
          <cell r="Z459">
            <v>2.91</v>
          </cell>
          <cell r="AA459">
            <v>1064</v>
          </cell>
          <cell r="AB459" t="str">
            <v>نشط</v>
          </cell>
          <cell r="AC459" t="str">
            <v>400267</v>
          </cell>
          <cell r="AD459" t="str">
            <v>Mahmood Alsharari</v>
          </cell>
          <cell r="AE459" t="str">
            <v>إعارة</v>
          </cell>
          <cell r="AF459" t="str">
            <v/>
          </cell>
          <cell r="AG459" t="str">
            <v/>
          </cell>
          <cell r="AH459" t="str">
            <v>انتاج حيواني</v>
          </cell>
          <cell r="AI459" t="str">
            <v>دبلوم</v>
          </cell>
          <cell r="AJ459">
            <v>2</v>
          </cell>
          <cell r="AK459">
            <v>0</v>
          </cell>
          <cell r="AL459">
            <v>0</v>
          </cell>
          <cell r="AM459">
            <v>2</v>
          </cell>
          <cell r="AN459" t="str">
            <v/>
          </cell>
          <cell r="AO459" t="str">
            <v>الاذونات وخدمات المحاجر</v>
          </cell>
          <cell r="AP459" t="str">
            <v>Al Rajhi Bank</v>
          </cell>
          <cell r="AQ459" t="str">
            <v>SA4480000128608010355060</v>
          </cell>
          <cell r="AR459">
            <v>6009</v>
          </cell>
          <cell r="AS459" t="str">
            <v/>
          </cell>
          <cell r="AT459">
            <v>100.9</v>
          </cell>
          <cell r="AU459">
            <v>1502.25</v>
          </cell>
          <cell r="AV459" t="str">
            <v/>
          </cell>
        </row>
        <row r="460">
          <cell r="A460">
            <v>400280</v>
          </cell>
          <cell r="B460" t="str">
            <v>1089876922</v>
          </cell>
          <cell r="C460" t="str">
            <v>السيد</v>
          </cell>
          <cell r="D460" t="str">
            <v>Saleh Abdullah Saleh Alfaraj</v>
          </cell>
          <cell r="E460" t="str">
            <v>صالح عبدالله صالح الفراج</v>
          </cell>
          <cell r="F460" t="str">
            <v>Male</v>
          </cell>
          <cell r="G460" t="str">
            <v>متزوج</v>
          </cell>
          <cell r="H460">
            <v>35115</v>
          </cell>
          <cell r="I460">
            <v>30</v>
          </cell>
          <cell r="J460">
            <v>11075</v>
          </cell>
          <cell r="K460" t="str">
            <v>Saleh.Alfaraj@agriserv.sa</v>
          </cell>
          <cell r="L460" t="str">
            <v>0540742724</v>
          </cell>
          <cell r="M460" t="str">
            <v/>
          </cell>
          <cell r="N460" t="str">
            <v>المملكة العربية السعودية</v>
          </cell>
          <cell r="O460" t="str">
            <v>50001117</v>
          </cell>
          <cell r="P460" t="str">
            <v>طبيب بيطري</v>
          </cell>
          <cell r="Q460" t="str">
            <v>الدرجة 4</v>
          </cell>
          <cell r="R460" t="str">
            <v>Class A</v>
          </cell>
          <cell r="S460" t="str">
            <v>محجر الحديثة  (الجوف)</v>
          </cell>
          <cell r="T460" t="str">
            <v>خدمات المحجر</v>
          </cell>
          <cell r="U460" t="str">
            <v>الاذونات وخدمات المحاجر</v>
          </cell>
          <cell r="V460" t="str">
            <v>العمليات</v>
          </cell>
          <cell r="W460" t="str">
            <v>Sakaka</v>
          </cell>
          <cell r="X460" t="str">
            <v xml:space="preserve">الفرع </v>
          </cell>
          <cell r="Y460">
            <v>45126</v>
          </cell>
          <cell r="Z460">
            <v>2.91</v>
          </cell>
          <cell r="AA460">
            <v>1064</v>
          </cell>
          <cell r="AB460" t="str">
            <v>نشط</v>
          </cell>
          <cell r="AC460" t="str">
            <v>400267</v>
          </cell>
          <cell r="AD460" t="str">
            <v>Mahmood Alsharari</v>
          </cell>
          <cell r="AE460" t="str">
            <v>إعارة</v>
          </cell>
          <cell r="AF460" t="str">
            <v/>
          </cell>
          <cell r="AG460" t="str">
            <v/>
          </cell>
          <cell r="AH460" t="str">
            <v>طب بيطري</v>
          </cell>
          <cell r="AI460" t="str">
            <v>بكالوريوس</v>
          </cell>
          <cell r="AJ460">
            <v>4</v>
          </cell>
          <cell r="AK460">
            <v>1</v>
          </cell>
          <cell r="AL460">
            <v>1</v>
          </cell>
          <cell r="AM460">
            <v>2</v>
          </cell>
          <cell r="AN460" t="str">
            <v/>
          </cell>
          <cell r="AO460" t="str">
            <v>الاذونات وخدمات المحاجر</v>
          </cell>
          <cell r="AP460" t="str">
            <v>Al Rajhi Bank</v>
          </cell>
          <cell r="AQ460" t="str">
            <v>SA3880000238608010240640</v>
          </cell>
          <cell r="AR460">
            <v>11155</v>
          </cell>
          <cell r="AS460" t="str">
            <v/>
          </cell>
          <cell r="AT460">
            <v>415.5</v>
          </cell>
          <cell r="AU460">
            <v>2788.75</v>
          </cell>
          <cell r="AV460" t="str">
            <v/>
          </cell>
        </row>
        <row r="461">
          <cell r="A461">
            <v>400281</v>
          </cell>
          <cell r="B461" t="str">
            <v>1059123669</v>
          </cell>
          <cell r="C461" t="str">
            <v>السيد</v>
          </cell>
          <cell r="D461" t="str">
            <v>Shauem Mazeel Masalem Albalawy</v>
          </cell>
          <cell r="E461" t="str">
            <v>شايم مزعل مسلم البلوي</v>
          </cell>
          <cell r="F461" t="str">
            <v>Male</v>
          </cell>
          <cell r="G461" t="str">
            <v>متزوج</v>
          </cell>
          <cell r="H461">
            <v>32529</v>
          </cell>
          <cell r="I461">
            <v>37</v>
          </cell>
          <cell r="J461">
            <v>13661</v>
          </cell>
          <cell r="K461" t="str">
            <v>Shaim.AlBalawi@agriserv.sa</v>
          </cell>
          <cell r="L461" t="str">
            <v>0551383513</v>
          </cell>
          <cell r="M461" t="str">
            <v/>
          </cell>
          <cell r="N461" t="str">
            <v>المملكة العربية السعودية</v>
          </cell>
          <cell r="O461" t="str">
            <v>50000490</v>
          </cell>
          <cell r="P461" t="str">
            <v>فني مختبرات</v>
          </cell>
          <cell r="Q461" t="str">
            <v>2A الدرجة</v>
          </cell>
          <cell r="R461" t="str">
            <v>Class A</v>
          </cell>
          <cell r="S461" t="str">
            <v>محجر الحديثة  (الجوف)</v>
          </cell>
          <cell r="T461" t="str">
            <v>خدمات المحجر</v>
          </cell>
          <cell r="U461" t="str">
            <v>الاذونات وخدمات المحاجر</v>
          </cell>
          <cell r="V461" t="str">
            <v>العمليات</v>
          </cell>
          <cell r="W461" t="str">
            <v>Sakaka</v>
          </cell>
          <cell r="X461" t="str">
            <v xml:space="preserve">الفرع </v>
          </cell>
          <cell r="Y461">
            <v>45126</v>
          </cell>
          <cell r="Z461">
            <v>2.91</v>
          </cell>
          <cell r="AA461">
            <v>1064</v>
          </cell>
          <cell r="AB461" t="str">
            <v>نشط</v>
          </cell>
          <cell r="AC461" t="str">
            <v>400267</v>
          </cell>
          <cell r="AD461" t="str">
            <v>Mahmood Alsharari</v>
          </cell>
          <cell r="AE461" t="str">
            <v>إعارة</v>
          </cell>
          <cell r="AF461" t="str">
            <v/>
          </cell>
          <cell r="AG461" t="str">
            <v/>
          </cell>
          <cell r="AH461" t="str">
            <v>مختبرات طبيه</v>
          </cell>
          <cell r="AI461" t="str">
            <v>دبلوم</v>
          </cell>
          <cell r="AJ461">
            <v>4</v>
          </cell>
          <cell r="AK461">
            <v>3</v>
          </cell>
          <cell r="AL461">
            <v>1</v>
          </cell>
          <cell r="AM461">
            <v>0</v>
          </cell>
          <cell r="AN461" t="str">
            <v/>
          </cell>
          <cell r="AO461" t="str">
            <v>الاذونات وخدمات المحاجر</v>
          </cell>
          <cell r="AP461" t="str">
            <v>Al Rajhi Bank</v>
          </cell>
          <cell r="AQ461" t="str">
            <v>SA9280000111608010288310</v>
          </cell>
          <cell r="AR461">
            <v>6249</v>
          </cell>
          <cell r="AS461" t="str">
            <v/>
          </cell>
          <cell r="AT461">
            <v>124.9</v>
          </cell>
          <cell r="AU461">
            <v>1562.25</v>
          </cell>
          <cell r="AV461" t="str">
            <v/>
          </cell>
        </row>
        <row r="462">
          <cell r="A462">
            <v>400283</v>
          </cell>
          <cell r="B462" t="str">
            <v>1057175331</v>
          </cell>
          <cell r="C462" t="str">
            <v>السيد</v>
          </cell>
          <cell r="D462" t="str">
            <v>Nawaf Saleh Mohammed Alsharari</v>
          </cell>
          <cell r="E462" t="str">
            <v>نواف صالح محمد الشراري</v>
          </cell>
          <cell r="F462" t="str">
            <v>Male</v>
          </cell>
          <cell r="G462" t="str">
            <v>متزوج</v>
          </cell>
          <cell r="H462">
            <v>31705</v>
          </cell>
          <cell r="I462">
            <v>40</v>
          </cell>
          <cell r="J462">
            <v>14485</v>
          </cell>
          <cell r="K462" t="str">
            <v>Nawaf.AlSharari@agriserv.sa</v>
          </cell>
          <cell r="L462" t="str">
            <v>0505545571</v>
          </cell>
          <cell r="M462" t="str">
            <v/>
          </cell>
          <cell r="N462" t="str">
            <v>المملكة العربية السعودية</v>
          </cell>
          <cell r="O462" t="str">
            <v>50001116</v>
          </cell>
          <cell r="P462" t="str">
            <v>طبيب بيطري</v>
          </cell>
          <cell r="Q462" t="str">
            <v>الدرجة 4</v>
          </cell>
          <cell r="R462" t="str">
            <v>Class A</v>
          </cell>
          <cell r="S462" t="str">
            <v>محجر الحديثة  (الجوف)</v>
          </cell>
          <cell r="T462" t="str">
            <v>خدمات المحجر</v>
          </cell>
          <cell r="U462" t="str">
            <v>الاذونات وخدمات المحاجر</v>
          </cell>
          <cell r="V462" t="str">
            <v>العمليات</v>
          </cell>
          <cell r="W462" t="str">
            <v>Sakaka</v>
          </cell>
          <cell r="X462" t="str">
            <v xml:space="preserve">الفرع </v>
          </cell>
          <cell r="Y462">
            <v>45126</v>
          </cell>
          <cell r="Z462">
            <v>2.91</v>
          </cell>
          <cell r="AA462">
            <v>1064</v>
          </cell>
          <cell r="AB462" t="str">
            <v>نشط</v>
          </cell>
          <cell r="AC462" t="str">
            <v>400267</v>
          </cell>
          <cell r="AD462" t="str">
            <v>Mahmood Alsharari</v>
          </cell>
          <cell r="AE462" t="str">
            <v>إعارة</v>
          </cell>
          <cell r="AF462" t="str">
            <v/>
          </cell>
          <cell r="AG462" t="str">
            <v/>
          </cell>
          <cell r="AH462" t="str">
            <v>طب بيطري</v>
          </cell>
          <cell r="AI462" t="str">
            <v>بكالوريوس</v>
          </cell>
          <cell r="AJ462">
            <v>8</v>
          </cell>
          <cell r="AK462">
            <v>5</v>
          </cell>
          <cell r="AL462">
            <v>1</v>
          </cell>
          <cell r="AM462">
            <v>2</v>
          </cell>
          <cell r="AN462" t="str">
            <v/>
          </cell>
          <cell r="AO462" t="str">
            <v>الاذونات وخدمات المحاجر</v>
          </cell>
          <cell r="AP462" t="str">
            <v>Al Rajhi Bank</v>
          </cell>
          <cell r="AQ462" t="str">
            <v>SA8380000371608010051499</v>
          </cell>
          <cell r="AR462">
            <v>13505</v>
          </cell>
          <cell r="AS462" t="str">
            <v/>
          </cell>
          <cell r="AT462">
            <v>650.5</v>
          </cell>
          <cell r="AU462">
            <v>3376.25</v>
          </cell>
          <cell r="AV462" t="str">
            <v/>
          </cell>
        </row>
        <row r="463">
          <cell r="A463">
            <v>400284</v>
          </cell>
          <cell r="B463" t="str">
            <v>1028037222</v>
          </cell>
          <cell r="C463" t="str">
            <v>السيد</v>
          </cell>
          <cell r="D463" t="str">
            <v>Habib Ali Hussain Alissa</v>
          </cell>
          <cell r="E463" t="str">
            <v>حبيب علي حسين العيسى</v>
          </cell>
          <cell r="F463" t="str">
            <v>Male</v>
          </cell>
          <cell r="G463" t="str">
            <v>متزوج</v>
          </cell>
          <cell r="H463">
            <v>28317</v>
          </cell>
          <cell r="I463">
            <v>49</v>
          </cell>
          <cell r="J463">
            <v>17873</v>
          </cell>
          <cell r="K463" t="str">
            <v>habib.alaissa@agriserv.sa</v>
          </cell>
          <cell r="L463" t="str">
            <v>0558699220</v>
          </cell>
          <cell r="M463" t="str">
            <v/>
          </cell>
          <cell r="N463" t="str">
            <v>المملكة العربية السعودية</v>
          </cell>
          <cell r="O463" t="str">
            <v>50001115</v>
          </cell>
          <cell r="P463" t="str">
            <v>مهندس زراعي</v>
          </cell>
          <cell r="Q463" t="str">
            <v>الدرجة 3</v>
          </cell>
          <cell r="R463" t="str">
            <v>Class A</v>
          </cell>
          <cell r="S463" t="str">
            <v>محجر ميناء الدمام   (الشرقية)</v>
          </cell>
          <cell r="T463" t="str">
            <v>خدمات المحجر</v>
          </cell>
          <cell r="U463" t="str">
            <v>الاذونات وخدمات المحاجر</v>
          </cell>
          <cell r="V463" t="str">
            <v>العمليات</v>
          </cell>
          <cell r="W463" t="str">
            <v>Ad-Dammam</v>
          </cell>
          <cell r="X463" t="str">
            <v xml:space="preserve">الفرع </v>
          </cell>
          <cell r="Y463">
            <v>45126</v>
          </cell>
          <cell r="Z463">
            <v>2.91</v>
          </cell>
          <cell r="AA463">
            <v>1064</v>
          </cell>
          <cell r="AB463" t="str">
            <v>نشط</v>
          </cell>
          <cell r="AC463" t="str">
            <v>400271</v>
          </cell>
          <cell r="AD463" t="str">
            <v>Fahad Alfrhaan</v>
          </cell>
          <cell r="AE463" t="str">
            <v>إعارة</v>
          </cell>
          <cell r="AF463" t="str">
            <v/>
          </cell>
          <cell r="AG463" t="str">
            <v/>
          </cell>
          <cell r="AH463" t="str">
            <v>ثانوية</v>
          </cell>
          <cell r="AI463" t="str">
            <v>شهادة المدرسة الثانوية</v>
          </cell>
          <cell r="AJ463">
            <v>5</v>
          </cell>
          <cell r="AK463">
            <v>4</v>
          </cell>
          <cell r="AL463">
            <v>1</v>
          </cell>
          <cell r="AM463">
            <v>0</v>
          </cell>
          <cell r="AN463" t="str">
            <v/>
          </cell>
          <cell r="AO463" t="str">
            <v>الاذونات وخدمات المحاجر</v>
          </cell>
          <cell r="AP463" t="str">
            <v>Riyad Bank</v>
          </cell>
          <cell r="AQ463" t="str">
            <v>SA0420000003094658509940</v>
          </cell>
          <cell r="AR463">
            <v>12575</v>
          </cell>
          <cell r="AS463" t="str">
            <v/>
          </cell>
          <cell r="AT463">
            <v>557.5</v>
          </cell>
          <cell r="AU463">
            <v>3143.75</v>
          </cell>
          <cell r="AV463" t="str">
            <v/>
          </cell>
        </row>
        <row r="464">
          <cell r="A464">
            <v>400285</v>
          </cell>
          <cell r="B464" t="str">
            <v/>
          </cell>
          <cell r="C464" t="str">
            <v>السيد</v>
          </cell>
          <cell r="D464" t="str">
            <v>Adel Motlak Alshaikh AlHarbi</v>
          </cell>
          <cell r="E464" t="str">
            <v>عادل مطلق الشيخ الحربي</v>
          </cell>
          <cell r="F464" t="str">
            <v>Male</v>
          </cell>
          <cell r="G464" t="str">
            <v>متزوج</v>
          </cell>
          <cell r="H464">
            <v>31690</v>
          </cell>
          <cell r="I464">
            <v>40</v>
          </cell>
          <cell r="J464">
            <v>14500</v>
          </cell>
          <cell r="K464" t="str">
            <v>adel.alshaikh@agriserv.sa</v>
          </cell>
          <cell r="L464" t="str">
            <v>0566999579</v>
          </cell>
          <cell r="M464" t="str">
            <v/>
          </cell>
          <cell r="N464" t="str">
            <v>المملكة العربية السعودية</v>
          </cell>
          <cell r="O464" t="str">
            <v>50001299</v>
          </cell>
          <cell r="P464" t="str">
            <v>مدير العمليات</v>
          </cell>
          <cell r="Q464" t="str">
            <v>الدرجة 7</v>
          </cell>
          <cell r="R464" t="str">
            <v>Class A</v>
          </cell>
          <cell r="S464" t="str">
            <v/>
          </cell>
          <cell r="T464" t="str">
            <v/>
          </cell>
          <cell r="U464" t="str">
            <v>عمليات الفروع</v>
          </cell>
          <cell r="V464" t="str">
            <v>الفروع</v>
          </cell>
          <cell r="W464" t="str">
            <v>Makkah</v>
          </cell>
          <cell r="X464" t="str">
            <v xml:space="preserve">الفرع </v>
          </cell>
          <cell r="Y464">
            <v>45126</v>
          </cell>
          <cell r="Z464">
            <v>2.91</v>
          </cell>
          <cell r="AA464">
            <v>1064</v>
          </cell>
          <cell r="AB464" t="str">
            <v>غير نشط</v>
          </cell>
          <cell r="AC464" t="str">
            <v>100140</v>
          </cell>
          <cell r="AD464" t="str">
            <v>Majed Alfaraj</v>
          </cell>
          <cell r="AE464" t="str">
            <v>إعارة</v>
          </cell>
          <cell r="AF464">
            <v>45869</v>
          </cell>
          <cell r="AG464" t="str">
            <v/>
          </cell>
          <cell r="AH464" t="str">
            <v>زراعة المناطق الجافة</v>
          </cell>
          <cell r="AI464" t="str">
            <v>بكالوريوس</v>
          </cell>
          <cell r="AJ464">
            <v>5</v>
          </cell>
          <cell r="AK464">
            <v>3</v>
          </cell>
          <cell r="AL464">
            <v>1</v>
          </cell>
          <cell r="AM464">
            <v>1</v>
          </cell>
          <cell r="AN464" t="str">
            <v/>
          </cell>
          <cell r="AO464" t="str">
            <v>Branches Liaison /Coordination Office</v>
          </cell>
          <cell r="AP464" t="str">
            <v>Riyad Bank</v>
          </cell>
          <cell r="AQ464" t="str">
            <v>SA5720000001650068459940</v>
          </cell>
          <cell r="AR464">
            <v>13935</v>
          </cell>
          <cell r="AS464" t="str">
            <v/>
          </cell>
          <cell r="AT464">
            <v>493.5</v>
          </cell>
          <cell r="AU464">
            <v>3483.75</v>
          </cell>
          <cell r="AV464" t="str">
            <v/>
          </cell>
        </row>
        <row r="465">
          <cell r="A465">
            <v>400286</v>
          </cell>
          <cell r="B465" t="str">
            <v>1040521575</v>
          </cell>
          <cell r="C465" t="str">
            <v>السيد</v>
          </cell>
          <cell r="D465" t="str">
            <v>Kaseb Naser Hamad Alsharari</v>
          </cell>
          <cell r="E465" t="str">
            <v>كاسب ناصر حمد الشراري</v>
          </cell>
          <cell r="F465" t="str">
            <v>Male</v>
          </cell>
          <cell r="G465" t="str">
            <v>متزوج</v>
          </cell>
          <cell r="H465">
            <v>27756</v>
          </cell>
          <cell r="I465">
            <v>50</v>
          </cell>
          <cell r="J465">
            <v>18434</v>
          </cell>
          <cell r="K465" t="str">
            <v>kaseb.alsharari@agriserv.sa</v>
          </cell>
          <cell r="L465" t="str">
            <v>0557156245</v>
          </cell>
          <cell r="M465" t="str">
            <v/>
          </cell>
          <cell r="N465" t="str">
            <v>المملكة العربية السعودية</v>
          </cell>
          <cell r="O465" t="str">
            <v>50000489</v>
          </cell>
          <cell r="P465" t="str">
            <v>فني زراعي</v>
          </cell>
          <cell r="Q465" t="str">
            <v>2A الدرجة</v>
          </cell>
          <cell r="R465" t="str">
            <v>Class A</v>
          </cell>
          <cell r="S465" t="str">
            <v>محجر الحديثة  (الجوف)</v>
          </cell>
          <cell r="T465" t="str">
            <v>خدمات المحجر</v>
          </cell>
          <cell r="U465" t="str">
            <v>الاذونات وخدمات المحاجر</v>
          </cell>
          <cell r="V465" t="str">
            <v>العمليات</v>
          </cell>
          <cell r="W465" t="str">
            <v>Sakaka</v>
          </cell>
          <cell r="X465" t="str">
            <v xml:space="preserve">الفرع </v>
          </cell>
          <cell r="Y465">
            <v>45126</v>
          </cell>
          <cell r="Z465">
            <v>2.91</v>
          </cell>
          <cell r="AA465">
            <v>1064</v>
          </cell>
          <cell r="AB465" t="str">
            <v>نشط</v>
          </cell>
          <cell r="AC465" t="str">
            <v>400267</v>
          </cell>
          <cell r="AD465" t="str">
            <v>Mahmood Alsharari</v>
          </cell>
          <cell r="AE465" t="str">
            <v>إعارة</v>
          </cell>
          <cell r="AF465" t="str">
            <v/>
          </cell>
          <cell r="AG465" t="str">
            <v/>
          </cell>
          <cell r="AH465" t="str">
            <v>علم الزراعة</v>
          </cell>
          <cell r="AI465" t="str">
            <v>دبلوم</v>
          </cell>
          <cell r="AJ465">
            <v>9</v>
          </cell>
          <cell r="AK465">
            <v>8</v>
          </cell>
          <cell r="AL465">
            <v>1</v>
          </cell>
          <cell r="AM465">
            <v>0</v>
          </cell>
          <cell r="AN465" t="str">
            <v/>
          </cell>
          <cell r="AO465" t="str">
            <v>الاذونات وخدمات المحاجر</v>
          </cell>
          <cell r="AP465" t="str">
            <v>Al Rajhi Bank</v>
          </cell>
          <cell r="AQ465" t="str">
            <v>SA4680000250608010084017</v>
          </cell>
          <cell r="AR465">
            <v>14915</v>
          </cell>
          <cell r="AS465" t="str">
            <v/>
          </cell>
          <cell r="AT465">
            <v>100</v>
          </cell>
          <cell r="AU465">
            <v>3728.75</v>
          </cell>
          <cell r="AV465" t="str">
            <v/>
          </cell>
        </row>
        <row r="466">
          <cell r="A466">
            <v>400287</v>
          </cell>
          <cell r="B466" t="str">
            <v>1034119642</v>
          </cell>
          <cell r="C466" t="str">
            <v>السيد</v>
          </cell>
          <cell r="D466" t="str">
            <v>Abdualhadi Sanad Muhareb Alsharari</v>
          </cell>
          <cell r="E466" t="str">
            <v>عبدالهادي سند محارب الشراري</v>
          </cell>
          <cell r="F466" t="str">
            <v>Male</v>
          </cell>
          <cell r="G466" t="str">
            <v>متزوج</v>
          </cell>
          <cell r="H466">
            <v>27500</v>
          </cell>
          <cell r="I466">
            <v>51</v>
          </cell>
          <cell r="J466">
            <v>18690</v>
          </cell>
          <cell r="K466" t="str">
            <v>AbdulHadi.AlSharari@agriserv.sa</v>
          </cell>
          <cell r="L466" t="str">
            <v>0541345555</v>
          </cell>
          <cell r="M466" t="str">
            <v/>
          </cell>
          <cell r="N466" t="str">
            <v>المملكة العربية السعودية</v>
          </cell>
          <cell r="O466" t="str">
            <v>50001112</v>
          </cell>
          <cell r="P466" t="str">
            <v>طبيب بيطري مساعد</v>
          </cell>
          <cell r="Q466" t="str">
            <v>2B الدرجة</v>
          </cell>
          <cell r="R466" t="str">
            <v>Class A</v>
          </cell>
          <cell r="S466" t="str">
            <v>محجر الحديثة  (الجوف)</v>
          </cell>
          <cell r="T466" t="str">
            <v>خدمات المحجر</v>
          </cell>
          <cell r="U466" t="str">
            <v>الاذونات وخدمات المحاجر</v>
          </cell>
          <cell r="V466" t="str">
            <v>العمليات</v>
          </cell>
          <cell r="W466" t="str">
            <v>Sakaka</v>
          </cell>
          <cell r="X466" t="str">
            <v xml:space="preserve">الفرع </v>
          </cell>
          <cell r="Y466">
            <v>45126</v>
          </cell>
          <cell r="Z466">
            <v>2.91</v>
          </cell>
          <cell r="AA466">
            <v>1064</v>
          </cell>
          <cell r="AB466" t="str">
            <v>نشط</v>
          </cell>
          <cell r="AC466" t="str">
            <v>400267</v>
          </cell>
          <cell r="AD466" t="str">
            <v>Mahmood Alsharari</v>
          </cell>
          <cell r="AE466" t="str">
            <v>إعارة</v>
          </cell>
          <cell r="AF466" t="str">
            <v/>
          </cell>
          <cell r="AG466" t="str">
            <v/>
          </cell>
          <cell r="AH466" t="str">
            <v>انتاج حيواني</v>
          </cell>
          <cell r="AI466" t="str">
            <v>دبلوم</v>
          </cell>
          <cell r="AJ466">
            <v>15</v>
          </cell>
          <cell r="AK466">
            <v>13</v>
          </cell>
          <cell r="AL466">
            <v>2</v>
          </cell>
          <cell r="AM466">
            <v>0</v>
          </cell>
          <cell r="AN466" t="str">
            <v/>
          </cell>
          <cell r="AO466" t="str">
            <v>الاذونات وخدمات المحاجر</v>
          </cell>
          <cell r="AP466" t="str">
            <v>Al Rajhi Bank</v>
          </cell>
          <cell r="AQ466" t="str">
            <v>SA7980000178608010084016</v>
          </cell>
          <cell r="AR466">
            <v>12575</v>
          </cell>
          <cell r="AS466" t="str">
            <v/>
          </cell>
          <cell r="AT466">
            <v>100</v>
          </cell>
          <cell r="AU466">
            <v>3143.75</v>
          </cell>
          <cell r="AV466" t="str">
            <v/>
          </cell>
        </row>
        <row r="467">
          <cell r="A467">
            <v>400288</v>
          </cell>
          <cell r="B467" t="str">
            <v>1035654928</v>
          </cell>
          <cell r="C467" t="str">
            <v>السيد</v>
          </cell>
          <cell r="D467" t="str">
            <v>Mohammad Tuhaimer Saad Alsharari</v>
          </cell>
          <cell r="E467" t="str">
            <v>محمد طحيمر سعد الشراري</v>
          </cell>
          <cell r="F467" t="str">
            <v>Male</v>
          </cell>
          <cell r="G467" t="str">
            <v>متزوج</v>
          </cell>
          <cell r="H467">
            <v>28199</v>
          </cell>
          <cell r="I467">
            <v>49</v>
          </cell>
          <cell r="J467">
            <v>17991</v>
          </cell>
          <cell r="K467" t="str">
            <v>Mohammed.alshrari@agriserv.sa</v>
          </cell>
          <cell r="L467" t="str">
            <v>0553878488</v>
          </cell>
          <cell r="M467" t="str">
            <v/>
          </cell>
          <cell r="N467" t="str">
            <v>المملكة العربية السعودية</v>
          </cell>
          <cell r="O467" t="str">
            <v>50001042</v>
          </cell>
          <cell r="P467" t="str">
            <v>مهندس زراعي</v>
          </cell>
          <cell r="Q467" t="str">
            <v>الدرجة 3</v>
          </cell>
          <cell r="R467" t="str">
            <v>Class A</v>
          </cell>
          <cell r="S467" t="str">
            <v>محجر الحديثة  (الجوف)</v>
          </cell>
          <cell r="T467" t="str">
            <v>خدمات المحجر</v>
          </cell>
          <cell r="U467" t="str">
            <v>الاذونات وخدمات المحاجر</v>
          </cell>
          <cell r="V467" t="str">
            <v>العمليات</v>
          </cell>
          <cell r="W467" t="str">
            <v>Sakaka</v>
          </cell>
          <cell r="X467" t="str">
            <v xml:space="preserve">الفرع </v>
          </cell>
          <cell r="Y467">
            <v>45126</v>
          </cell>
          <cell r="Z467">
            <v>2.91</v>
          </cell>
          <cell r="AA467">
            <v>1064</v>
          </cell>
          <cell r="AB467" t="str">
            <v>نشط</v>
          </cell>
          <cell r="AC467" t="str">
            <v>400267</v>
          </cell>
          <cell r="AD467" t="str">
            <v>Mahmood Alsharari</v>
          </cell>
          <cell r="AE467" t="str">
            <v>إعارة</v>
          </cell>
          <cell r="AF467" t="str">
            <v/>
          </cell>
          <cell r="AG467" t="str">
            <v/>
          </cell>
          <cell r="AH467" t="str">
            <v>بساتين</v>
          </cell>
          <cell r="AI467" t="str">
            <v>بكالوريوس</v>
          </cell>
          <cell r="AJ467">
            <v>7</v>
          </cell>
          <cell r="AK467">
            <v>5</v>
          </cell>
          <cell r="AL467">
            <v>1</v>
          </cell>
          <cell r="AM467">
            <v>1</v>
          </cell>
          <cell r="AN467" t="str">
            <v/>
          </cell>
          <cell r="AO467" t="str">
            <v>الاذونات وخدمات المحاجر</v>
          </cell>
          <cell r="AP467" t="str">
            <v>Al Rajhi Bank</v>
          </cell>
          <cell r="AQ467" t="str">
            <v>SA6380000212608010112286</v>
          </cell>
          <cell r="AR467">
            <v>13975</v>
          </cell>
          <cell r="AS467" t="str">
            <v/>
          </cell>
          <cell r="AT467">
            <v>697.5</v>
          </cell>
          <cell r="AU467">
            <v>3493.75</v>
          </cell>
          <cell r="AV467" t="str">
            <v/>
          </cell>
        </row>
        <row r="468">
          <cell r="A468">
            <v>400289</v>
          </cell>
          <cell r="B468" t="str">
            <v>1051427431</v>
          </cell>
          <cell r="C468" t="str">
            <v>السيد</v>
          </cell>
          <cell r="D468" t="str">
            <v>Bandar Obedallah Qaed Alsharari</v>
          </cell>
          <cell r="E468" t="str">
            <v>بندر عبيدالله قاعد الشراري</v>
          </cell>
          <cell r="F468" t="str">
            <v>Male</v>
          </cell>
          <cell r="G468" t="str">
            <v>متزوج</v>
          </cell>
          <cell r="H468">
            <v>29348</v>
          </cell>
          <cell r="I468">
            <v>46</v>
          </cell>
          <cell r="J468">
            <v>16842</v>
          </cell>
          <cell r="K468" t="str">
            <v>Bander.alsharari@agriserv.sa</v>
          </cell>
          <cell r="L468" t="str">
            <v>0540344344</v>
          </cell>
          <cell r="M468" t="str">
            <v/>
          </cell>
          <cell r="N468" t="str">
            <v>المملكة العربية السعودية</v>
          </cell>
          <cell r="O468" t="str">
            <v>50001113</v>
          </cell>
          <cell r="P468" t="str">
            <v>مهندس زراعي</v>
          </cell>
          <cell r="Q468" t="str">
            <v>الدرجة 3</v>
          </cell>
          <cell r="R468" t="str">
            <v>Class A</v>
          </cell>
          <cell r="S468" t="str">
            <v>محجر الحديثة  (الجوف)</v>
          </cell>
          <cell r="T468" t="str">
            <v>خدمات المحجر</v>
          </cell>
          <cell r="U468" t="str">
            <v>الاذونات وخدمات المحاجر</v>
          </cell>
          <cell r="V468" t="str">
            <v>العمليات</v>
          </cell>
          <cell r="W468" t="str">
            <v>Sakaka</v>
          </cell>
          <cell r="X468" t="str">
            <v xml:space="preserve">الفرع </v>
          </cell>
          <cell r="Y468">
            <v>45126</v>
          </cell>
          <cell r="Z468">
            <v>2.91</v>
          </cell>
          <cell r="AA468">
            <v>1064</v>
          </cell>
          <cell r="AB468" t="str">
            <v>نشط</v>
          </cell>
          <cell r="AC468" t="str">
            <v>400267</v>
          </cell>
          <cell r="AD468" t="str">
            <v>Mahmood Alsharari</v>
          </cell>
          <cell r="AE468" t="str">
            <v>إعارة</v>
          </cell>
          <cell r="AF468" t="str">
            <v/>
          </cell>
          <cell r="AG468" t="str">
            <v/>
          </cell>
          <cell r="AH468" t="str">
            <v>وقاية النبات</v>
          </cell>
          <cell r="AI468" t="str">
            <v>بكالوريوس</v>
          </cell>
          <cell r="AJ468">
            <v>11</v>
          </cell>
          <cell r="AK468">
            <v>8</v>
          </cell>
          <cell r="AL468">
            <v>1</v>
          </cell>
          <cell r="AM468">
            <v>2</v>
          </cell>
          <cell r="AN468" t="str">
            <v/>
          </cell>
          <cell r="AO468" t="str">
            <v>الاذونات وخدمات المحاجر</v>
          </cell>
          <cell r="AP468" t="str">
            <v>Al Rajhi Bank</v>
          </cell>
          <cell r="AQ468" t="str">
            <v>SA2880000111608010141246</v>
          </cell>
          <cell r="AR468">
            <v>14445</v>
          </cell>
          <cell r="AS468" t="str">
            <v/>
          </cell>
          <cell r="AT468">
            <v>744.5</v>
          </cell>
          <cell r="AU468">
            <v>3611.25</v>
          </cell>
          <cell r="AV468" t="str">
            <v/>
          </cell>
        </row>
        <row r="469">
          <cell r="A469">
            <v>400290</v>
          </cell>
          <cell r="B469" t="str">
            <v>1056801770</v>
          </cell>
          <cell r="C469" t="str">
            <v>السيد</v>
          </cell>
          <cell r="D469" t="str">
            <v>Tariq Mousa Musallam Alsharari</v>
          </cell>
          <cell r="E469" t="str">
            <v>طارق موسى مسلم الشراري</v>
          </cell>
          <cell r="F469" t="str">
            <v>Male</v>
          </cell>
          <cell r="G469" t="str">
            <v>متزوج</v>
          </cell>
          <cell r="H469">
            <v>31541</v>
          </cell>
          <cell r="I469">
            <v>40</v>
          </cell>
          <cell r="J469">
            <v>14649</v>
          </cell>
          <cell r="K469" t="str">
            <v>tareq.alshrari@agriserv.sa</v>
          </cell>
          <cell r="L469" t="str">
            <v>0501777842</v>
          </cell>
          <cell r="M469" t="str">
            <v/>
          </cell>
          <cell r="N469" t="str">
            <v>المملكة العربية السعودية</v>
          </cell>
          <cell r="O469" t="str">
            <v>50001114</v>
          </cell>
          <cell r="P469" t="str">
            <v>طبيب بيطري</v>
          </cell>
          <cell r="Q469" t="str">
            <v>الدرجة 4</v>
          </cell>
          <cell r="R469" t="str">
            <v>Class A</v>
          </cell>
          <cell r="S469" t="str">
            <v>محجر الحديثة  (الجوف)</v>
          </cell>
          <cell r="T469" t="str">
            <v>خدمات المحجر</v>
          </cell>
          <cell r="U469" t="str">
            <v>الاذونات وخدمات المحاجر</v>
          </cell>
          <cell r="V469" t="str">
            <v>العمليات</v>
          </cell>
          <cell r="W469" t="str">
            <v>Sakaka</v>
          </cell>
          <cell r="X469" t="str">
            <v xml:space="preserve">الفرع </v>
          </cell>
          <cell r="Y469">
            <v>45126</v>
          </cell>
          <cell r="Z469">
            <v>2.91</v>
          </cell>
          <cell r="AA469">
            <v>1064</v>
          </cell>
          <cell r="AB469" t="str">
            <v>نشط</v>
          </cell>
          <cell r="AC469" t="str">
            <v>400267</v>
          </cell>
          <cell r="AD469" t="str">
            <v>Mahmood Alsharari</v>
          </cell>
          <cell r="AE469" t="str">
            <v>إعارة</v>
          </cell>
          <cell r="AF469" t="str">
            <v/>
          </cell>
          <cell r="AG469" t="str">
            <v/>
          </cell>
          <cell r="AH469" t="str">
            <v>طب بيطري</v>
          </cell>
          <cell r="AI469" t="str">
            <v>بكالوريوس</v>
          </cell>
          <cell r="AJ469">
            <v>10</v>
          </cell>
          <cell r="AK469">
            <v>8</v>
          </cell>
          <cell r="AL469">
            <v>1</v>
          </cell>
          <cell r="AM469">
            <v>1</v>
          </cell>
          <cell r="AN469" t="str">
            <v/>
          </cell>
          <cell r="AO469" t="str">
            <v>الاذونات وخدمات المحاجر</v>
          </cell>
          <cell r="AP469" t="str">
            <v>Al Rajhi Bank</v>
          </cell>
          <cell r="AQ469" t="str">
            <v>SA5980000252608010521735</v>
          </cell>
          <cell r="AR469">
            <v>15375</v>
          </cell>
          <cell r="AS469" t="str">
            <v/>
          </cell>
          <cell r="AT469">
            <v>837.5</v>
          </cell>
          <cell r="AU469">
            <v>3843.75</v>
          </cell>
          <cell r="AV469" t="str">
            <v/>
          </cell>
        </row>
        <row r="470">
          <cell r="A470">
            <v>400291</v>
          </cell>
          <cell r="B470" t="str">
            <v>1067849123</v>
          </cell>
          <cell r="C470" t="str">
            <v>السيد</v>
          </cell>
          <cell r="D470" t="str">
            <v>Abdalaziz Mohammd Farhan Alenazy</v>
          </cell>
          <cell r="E470" t="str">
            <v>عبدالعزيز محمد فرحان العنزي</v>
          </cell>
          <cell r="F470" t="str">
            <v>Male</v>
          </cell>
          <cell r="G470" t="str">
            <v>متزوج</v>
          </cell>
          <cell r="H470">
            <v>33025</v>
          </cell>
          <cell r="I470">
            <v>36</v>
          </cell>
          <cell r="J470">
            <v>13165</v>
          </cell>
          <cell r="K470" t="str">
            <v>abdulazizm.alanazi@agriserv.sa</v>
          </cell>
          <cell r="L470" t="str">
            <v>0582234622</v>
          </cell>
          <cell r="M470" t="str">
            <v/>
          </cell>
          <cell r="N470" t="str">
            <v>المملكة العربية السعودية</v>
          </cell>
          <cell r="O470" t="str">
            <v>50001118</v>
          </cell>
          <cell r="P470" t="str">
            <v>طبيب بيطري مساعد</v>
          </cell>
          <cell r="Q470" t="str">
            <v>2A الدرجة</v>
          </cell>
          <cell r="R470" t="str">
            <v>Class A</v>
          </cell>
          <cell r="S470" t="str">
            <v>محجر الحديثة  (الجوف)</v>
          </cell>
          <cell r="T470" t="str">
            <v>خدمات المحجر</v>
          </cell>
          <cell r="U470" t="str">
            <v>الاذونات وخدمات المحاجر</v>
          </cell>
          <cell r="V470" t="str">
            <v>العمليات</v>
          </cell>
          <cell r="W470" t="str">
            <v>Sakaka</v>
          </cell>
          <cell r="X470" t="str">
            <v xml:space="preserve">الفرع </v>
          </cell>
          <cell r="Y470">
            <v>45126</v>
          </cell>
          <cell r="Z470">
            <v>2.91</v>
          </cell>
          <cell r="AA470">
            <v>1064</v>
          </cell>
          <cell r="AB470" t="str">
            <v>نشط</v>
          </cell>
          <cell r="AC470" t="str">
            <v>400267</v>
          </cell>
          <cell r="AD470" t="str">
            <v>Mahmood Alsharari</v>
          </cell>
          <cell r="AE470" t="str">
            <v>إعارة</v>
          </cell>
          <cell r="AF470" t="str">
            <v/>
          </cell>
          <cell r="AG470" t="str">
            <v/>
          </cell>
          <cell r="AH470" t="str">
            <v>طب بيطري</v>
          </cell>
          <cell r="AI470" t="str">
            <v>دبلوم</v>
          </cell>
          <cell r="AJ470">
            <v>5</v>
          </cell>
          <cell r="AK470">
            <v>3</v>
          </cell>
          <cell r="AL470">
            <v>1</v>
          </cell>
          <cell r="AM470">
            <v>1</v>
          </cell>
          <cell r="AN470" t="str">
            <v/>
          </cell>
          <cell r="AO470" t="str">
            <v>الاذونات وخدمات المحاجر</v>
          </cell>
          <cell r="AP470" t="str">
            <v>Al Rajhi Bank</v>
          </cell>
          <cell r="AQ470" t="str">
            <v>SA9680000428608010250466</v>
          </cell>
          <cell r="AR470">
            <v>9565</v>
          </cell>
          <cell r="AS470" t="str">
            <v/>
          </cell>
          <cell r="AT470">
            <v>100</v>
          </cell>
          <cell r="AU470">
            <v>2391.25</v>
          </cell>
          <cell r="AV470" t="str">
            <v/>
          </cell>
        </row>
        <row r="471">
          <cell r="A471">
            <v>400292</v>
          </cell>
          <cell r="B471" t="str">
            <v>1020733513</v>
          </cell>
          <cell r="C471" t="str">
            <v>السيد</v>
          </cell>
          <cell r="D471" t="str">
            <v>Majed Saluman Mohammed Alfqiri</v>
          </cell>
          <cell r="E471" t="str">
            <v>ماجد سليمان محمد الفقيري</v>
          </cell>
          <cell r="F471" t="str">
            <v>Male</v>
          </cell>
          <cell r="G471" t="str">
            <v>متزوج</v>
          </cell>
          <cell r="H471">
            <v>30705</v>
          </cell>
          <cell r="I471">
            <v>42</v>
          </cell>
          <cell r="J471">
            <v>15485</v>
          </cell>
          <cell r="K471" t="str">
            <v>Majid.AlFaqiri@agriserv.sa</v>
          </cell>
          <cell r="L471" t="str">
            <v>0501515332</v>
          </cell>
          <cell r="M471" t="str">
            <v/>
          </cell>
          <cell r="N471" t="str">
            <v>المملكة العربية السعودية</v>
          </cell>
          <cell r="O471" t="str">
            <v>50000523</v>
          </cell>
          <cell r="P471" t="str">
            <v>فني مختبرات</v>
          </cell>
          <cell r="Q471" t="str">
            <v>2A الدرجة</v>
          </cell>
          <cell r="R471" t="str">
            <v>Class A</v>
          </cell>
          <cell r="S471" t="str">
            <v>محجر الحديثة  (الجوف)</v>
          </cell>
          <cell r="T471" t="str">
            <v>خدمات المحجر</v>
          </cell>
          <cell r="U471" t="str">
            <v>الاذونات وخدمات المحاجر</v>
          </cell>
          <cell r="V471" t="str">
            <v>العمليات</v>
          </cell>
          <cell r="W471" t="str">
            <v>Sakaka</v>
          </cell>
          <cell r="X471" t="str">
            <v xml:space="preserve">الفرع </v>
          </cell>
          <cell r="Y471">
            <v>45126</v>
          </cell>
          <cell r="Z471">
            <v>2.91</v>
          </cell>
          <cell r="AA471">
            <v>1064</v>
          </cell>
          <cell r="AB471" t="str">
            <v>غير نشط</v>
          </cell>
          <cell r="AC471" t="str">
            <v>400267</v>
          </cell>
          <cell r="AD471" t="str">
            <v>Mahmood Alsharari</v>
          </cell>
          <cell r="AE471" t="str">
            <v>إعارة</v>
          </cell>
          <cell r="AF471">
            <v>45504</v>
          </cell>
          <cell r="AG471" t="str">
            <v/>
          </cell>
          <cell r="AH471" t="str">
            <v>مختبرات طبيه</v>
          </cell>
          <cell r="AI471" t="str">
            <v>دبلوم</v>
          </cell>
          <cell r="AJ471">
            <v>11</v>
          </cell>
          <cell r="AK471">
            <v>7</v>
          </cell>
          <cell r="AL471">
            <v>2</v>
          </cell>
          <cell r="AM471">
            <v>2</v>
          </cell>
          <cell r="AN471" t="str">
            <v/>
          </cell>
          <cell r="AO471" t="str">
            <v>Fisheries Extension &amp; Protection</v>
          </cell>
          <cell r="AP471" t="str">
            <v>Al Rajhi Bank</v>
          </cell>
          <cell r="AQ471" t="str">
            <v>SA0980000268608010101340</v>
          </cell>
          <cell r="AR471">
            <v>5668</v>
          </cell>
          <cell r="AS471" t="str">
            <v/>
          </cell>
          <cell r="AT471">
            <v>66.8</v>
          </cell>
          <cell r="AU471">
            <v>1417</v>
          </cell>
          <cell r="AV471" t="str">
            <v/>
          </cell>
        </row>
        <row r="472">
          <cell r="A472">
            <v>400293</v>
          </cell>
          <cell r="B472" t="str">
            <v>1044959730</v>
          </cell>
          <cell r="C472" t="str">
            <v>السيد</v>
          </cell>
          <cell r="D472" t="str">
            <v>Mohammed Ali Ahmad Almousa</v>
          </cell>
          <cell r="E472" t="str">
            <v>محمد على احمد ال موسى</v>
          </cell>
          <cell r="F472" t="str">
            <v>Male</v>
          </cell>
          <cell r="G472" t="str">
            <v>متزوج</v>
          </cell>
          <cell r="H472">
            <v>25548</v>
          </cell>
          <cell r="I472">
            <v>57</v>
          </cell>
          <cell r="J472">
            <v>20642</v>
          </cell>
          <cell r="K472" t="str">
            <v>Mohammed.almousa@agriserv.sa</v>
          </cell>
          <cell r="L472" t="str">
            <v>0504992544</v>
          </cell>
          <cell r="M472" t="str">
            <v/>
          </cell>
          <cell r="N472" t="str">
            <v>المملكة العربية السعودية</v>
          </cell>
          <cell r="O472" t="str">
            <v>50001273</v>
          </cell>
          <cell r="P472" t="str">
            <v>فني زراعي</v>
          </cell>
          <cell r="Q472" t="str">
            <v>2A الدرجة</v>
          </cell>
          <cell r="R472" t="str">
            <v>Class A</v>
          </cell>
          <cell r="S472" t="str">
            <v>محجر ميناء الدمام   (الشرقية)</v>
          </cell>
          <cell r="T472" t="str">
            <v>خدمات المحجر</v>
          </cell>
          <cell r="U472" t="str">
            <v>الاذونات وخدمات المحاجر</v>
          </cell>
          <cell r="V472" t="str">
            <v>العمليات</v>
          </cell>
          <cell r="W472" t="str">
            <v>Ad-Dammam</v>
          </cell>
          <cell r="X472" t="str">
            <v xml:space="preserve">الفرع </v>
          </cell>
          <cell r="Y472">
            <v>45126</v>
          </cell>
          <cell r="Z472">
            <v>2.91</v>
          </cell>
          <cell r="AA472">
            <v>1064</v>
          </cell>
          <cell r="AB472" t="str">
            <v>نشط</v>
          </cell>
          <cell r="AC472" t="str">
            <v>400271</v>
          </cell>
          <cell r="AD472" t="str">
            <v>Fahad Alfrhaan</v>
          </cell>
          <cell r="AE472" t="str">
            <v>إعارة</v>
          </cell>
          <cell r="AF472" t="str">
            <v/>
          </cell>
          <cell r="AG472" t="str">
            <v/>
          </cell>
          <cell r="AH472" t="str">
            <v>علم الإحياء</v>
          </cell>
          <cell r="AI472" t="str">
            <v>بكالوريوس</v>
          </cell>
          <cell r="AJ472">
            <v>6</v>
          </cell>
          <cell r="AK472">
            <v>3</v>
          </cell>
          <cell r="AL472">
            <v>2</v>
          </cell>
          <cell r="AM472">
            <v>1</v>
          </cell>
          <cell r="AN472" t="str">
            <v/>
          </cell>
          <cell r="AO472" t="str">
            <v>الاذونات وخدمات المحاجر</v>
          </cell>
          <cell r="AP472" t="str">
            <v>Saudi Awwal Bank</v>
          </cell>
          <cell r="AQ472" t="str">
            <v>SA9745000000064004443001</v>
          </cell>
          <cell r="AR472">
            <v>15855</v>
          </cell>
          <cell r="AS472" t="str">
            <v/>
          </cell>
          <cell r="AT472">
            <v>100</v>
          </cell>
          <cell r="AU472">
            <v>3963.75</v>
          </cell>
          <cell r="AV472" t="str">
            <v/>
          </cell>
        </row>
        <row r="473">
          <cell r="A473">
            <v>400294</v>
          </cell>
          <cell r="B473" t="str">
            <v>1001881521</v>
          </cell>
          <cell r="C473" t="str">
            <v>السيد</v>
          </cell>
          <cell r="D473" t="str">
            <v>Habeeb Abdulkhaleq Abdullateef Alabdrabu</v>
          </cell>
          <cell r="E473" t="str">
            <v>حبيب عبدالخالق عبداللطيف آل عبدربه</v>
          </cell>
          <cell r="F473" t="str">
            <v>Male</v>
          </cell>
          <cell r="G473" t="str">
            <v>متزوج</v>
          </cell>
          <cell r="H473">
            <v>26163</v>
          </cell>
          <cell r="I473">
            <v>55</v>
          </cell>
          <cell r="J473">
            <v>20027</v>
          </cell>
          <cell r="K473" t="str">
            <v>Habeeb.Alabdrabu@agriserv.sa</v>
          </cell>
          <cell r="L473" t="str">
            <v>0504912113</v>
          </cell>
          <cell r="M473" t="str">
            <v/>
          </cell>
          <cell r="N473" t="str">
            <v>المملكة العربية السعودية</v>
          </cell>
          <cell r="O473" t="str">
            <v>50001278</v>
          </cell>
          <cell r="P473" t="str">
            <v>مهندس زراعي</v>
          </cell>
          <cell r="Q473" t="str">
            <v>الدرجة 3</v>
          </cell>
          <cell r="R473" t="str">
            <v>Class A</v>
          </cell>
          <cell r="S473" t="str">
            <v>محجر ميناء الدمام   (الشرقية)</v>
          </cell>
          <cell r="T473" t="str">
            <v>خدمات المحجر</v>
          </cell>
          <cell r="U473" t="str">
            <v>الاذونات وخدمات المحاجر</v>
          </cell>
          <cell r="V473" t="str">
            <v>العمليات</v>
          </cell>
          <cell r="W473" t="str">
            <v>Ad-Dammam</v>
          </cell>
          <cell r="X473" t="str">
            <v xml:space="preserve">الفرع </v>
          </cell>
          <cell r="Y473">
            <v>45126</v>
          </cell>
          <cell r="Z473">
            <v>2.91</v>
          </cell>
          <cell r="AA473">
            <v>1064</v>
          </cell>
          <cell r="AB473" t="str">
            <v>نشط</v>
          </cell>
          <cell r="AC473" t="str">
            <v>400271</v>
          </cell>
          <cell r="AD473" t="str">
            <v>Fahad Alfrhaan</v>
          </cell>
          <cell r="AE473" t="str">
            <v>إعارة</v>
          </cell>
          <cell r="AF473" t="str">
            <v/>
          </cell>
          <cell r="AG473" t="str">
            <v/>
          </cell>
          <cell r="AH473" t="str">
            <v>ارشاد زراعى</v>
          </cell>
          <cell r="AI473" t="str">
            <v>بكالوريوس</v>
          </cell>
          <cell r="AJ473">
            <v>4</v>
          </cell>
          <cell r="AK473">
            <v>3</v>
          </cell>
          <cell r="AL473">
            <v>1</v>
          </cell>
          <cell r="AM473">
            <v>0</v>
          </cell>
          <cell r="AN473" t="str">
            <v/>
          </cell>
          <cell r="AO473" t="str">
            <v>الاذونات وخدمات المحاجر</v>
          </cell>
          <cell r="AP473" t="str">
            <v>Riyad Bank</v>
          </cell>
          <cell r="AQ473" t="str">
            <v>SA9120000003440249339940</v>
          </cell>
          <cell r="AR473">
            <v>17415</v>
          </cell>
          <cell r="AS473" t="str">
            <v/>
          </cell>
          <cell r="AT473">
            <v>1041.5</v>
          </cell>
          <cell r="AU473">
            <v>4353.75</v>
          </cell>
          <cell r="AV473" t="str">
            <v/>
          </cell>
        </row>
        <row r="474">
          <cell r="A474">
            <v>400295</v>
          </cell>
          <cell r="B474" t="str">
            <v>1015241795</v>
          </cell>
          <cell r="C474" t="str">
            <v>السيد</v>
          </cell>
          <cell r="D474" t="str">
            <v>Essam Makki Abdullah Alsalam</v>
          </cell>
          <cell r="E474" t="str">
            <v>عصام مكي عبدالله آل سلام</v>
          </cell>
          <cell r="F474" t="str">
            <v>Male</v>
          </cell>
          <cell r="G474" t="str">
            <v>متزوج</v>
          </cell>
          <cell r="H474">
            <v>25399</v>
          </cell>
          <cell r="I474">
            <v>57</v>
          </cell>
          <cell r="J474">
            <v>20791</v>
          </cell>
          <cell r="K474" t="str">
            <v>Essam.Alsalam@agriserv.sa</v>
          </cell>
          <cell r="L474" t="str">
            <v>0562255590</v>
          </cell>
          <cell r="M474" t="str">
            <v/>
          </cell>
          <cell r="N474" t="str">
            <v>المملكة العربية السعودية</v>
          </cell>
          <cell r="O474" t="str">
            <v>50001283</v>
          </cell>
          <cell r="P474" t="str">
            <v>طبيب بيطري</v>
          </cell>
          <cell r="Q474" t="str">
            <v>الدرجة 4</v>
          </cell>
          <cell r="R474" t="str">
            <v>Class A</v>
          </cell>
          <cell r="S474" t="str">
            <v>محجر ميناء الدمام   (الشرقية)</v>
          </cell>
          <cell r="T474" t="str">
            <v>خدمات المحجر</v>
          </cell>
          <cell r="U474" t="str">
            <v>الاذونات وخدمات المحاجر</v>
          </cell>
          <cell r="V474" t="str">
            <v>العمليات</v>
          </cell>
          <cell r="W474" t="str">
            <v>Ad-Dammam</v>
          </cell>
          <cell r="X474" t="str">
            <v xml:space="preserve">الفرع </v>
          </cell>
          <cell r="Y474">
            <v>45126</v>
          </cell>
          <cell r="Z474">
            <v>2.91</v>
          </cell>
          <cell r="AA474">
            <v>1064</v>
          </cell>
          <cell r="AB474" t="str">
            <v>نشط</v>
          </cell>
          <cell r="AC474" t="str">
            <v>100063</v>
          </cell>
          <cell r="AD474" t="str">
            <v>Hazza Alruwaili</v>
          </cell>
          <cell r="AE474" t="str">
            <v>إعارة</v>
          </cell>
          <cell r="AF474" t="str">
            <v/>
          </cell>
          <cell r="AG474" t="str">
            <v/>
          </cell>
          <cell r="AH474" t="str">
            <v>طب بيطري</v>
          </cell>
          <cell r="AI474" t="str">
            <v>بكالوريوس</v>
          </cell>
          <cell r="AJ474">
            <v>7</v>
          </cell>
          <cell r="AK474">
            <v>5</v>
          </cell>
          <cell r="AL474">
            <v>1</v>
          </cell>
          <cell r="AM474">
            <v>1</v>
          </cell>
          <cell r="AN474" t="str">
            <v/>
          </cell>
          <cell r="AO474" t="str">
            <v>الاذونات وخدمات المحاجر</v>
          </cell>
          <cell r="AP474" t="str">
            <v>Riyad Bank</v>
          </cell>
          <cell r="AQ474" t="str">
            <v>SA6120000001013265319940</v>
          </cell>
          <cell r="AR474">
            <v>20275</v>
          </cell>
          <cell r="AS474" t="str">
            <v/>
          </cell>
          <cell r="AT474">
            <v>1100</v>
          </cell>
          <cell r="AU474">
            <v>5068.75</v>
          </cell>
          <cell r="AV474" t="str">
            <v/>
          </cell>
        </row>
        <row r="475">
          <cell r="A475">
            <v>400296</v>
          </cell>
          <cell r="B475" t="str">
            <v>1055501595</v>
          </cell>
          <cell r="C475" t="str">
            <v>السيد</v>
          </cell>
          <cell r="D475" t="str">
            <v>Mohammad Mahfouth Alwi Alalwi</v>
          </cell>
          <cell r="E475" t="str">
            <v>محمد محفوظ علوي العلوي</v>
          </cell>
          <cell r="F475" t="str">
            <v>Male</v>
          </cell>
          <cell r="G475" t="str">
            <v>متزوج</v>
          </cell>
          <cell r="H475">
            <v>26837</v>
          </cell>
          <cell r="I475">
            <v>53</v>
          </cell>
          <cell r="J475">
            <v>19353</v>
          </cell>
          <cell r="K475" t="str">
            <v>Muhammad.AlAlawi@agriserv.sa</v>
          </cell>
          <cell r="L475" t="str">
            <v>0535318755</v>
          </cell>
          <cell r="M475" t="str">
            <v/>
          </cell>
          <cell r="N475" t="str">
            <v>المملكة العربية السعودية</v>
          </cell>
          <cell r="O475" t="str">
            <v>50001274</v>
          </cell>
          <cell r="P475" t="str">
            <v>فني زراعي</v>
          </cell>
          <cell r="Q475" t="str">
            <v>2A الدرجة</v>
          </cell>
          <cell r="R475" t="str">
            <v>Class A</v>
          </cell>
          <cell r="S475" t="str">
            <v>محجر ميناء الدمام   (الشرقية)</v>
          </cell>
          <cell r="T475" t="str">
            <v>خدمات المحجر</v>
          </cell>
          <cell r="U475" t="str">
            <v>الاذونات وخدمات المحاجر</v>
          </cell>
          <cell r="V475" t="str">
            <v>العمليات</v>
          </cell>
          <cell r="W475" t="str">
            <v>Ad-Dammam</v>
          </cell>
          <cell r="X475" t="str">
            <v xml:space="preserve">الفرع </v>
          </cell>
          <cell r="Y475">
            <v>45126</v>
          </cell>
          <cell r="Z475">
            <v>2.91</v>
          </cell>
          <cell r="AA475">
            <v>1064</v>
          </cell>
          <cell r="AB475" t="str">
            <v>نشط</v>
          </cell>
          <cell r="AC475" t="str">
            <v>400271</v>
          </cell>
          <cell r="AD475" t="str">
            <v>Fahad Alfrhaan</v>
          </cell>
          <cell r="AE475" t="str">
            <v>إعارة</v>
          </cell>
          <cell r="AF475" t="str">
            <v/>
          </cell>
          <cell r="AG475" t="str">
            <v/>
          </cell>
          <cell r="AH475" t="str">
            <v>انتاج نباتى</v>
          </cell>
          <cell r="AI475" t="str">
            <v>دبلوم</v>
          </cell>
          <cell r="AJ475">
            <v>2</v>
          </cell>
          <cell r="AK475">
            <v>0</v>
          </cell>
          <cell r="AL475">
            <v>1</v>
          </cell>
          <cell r="AM475">
            <v>1</v>
          </cell>
          <cell r="AN475" t="str">
            <v/>
          </cell>
          <cell r="AO475" t="str">
            <v>الاذونات وخدمات المحاجر</v>
          </cell>
          <cell r="AP475" t="str">
            <v>Saudi National Bank</v>
          </cell>
          <cell r="AQ475" t="str">
            <v>SA3210000096500001047600</v>
          </cell>
          <cell r="AR475">
            <v>13405</v>
          </cell>
          <cell r="AS475" t="str">
            <v/>
          </cell>
          <cell r="AT475">
            <v>100</v>
          </cell>
          <cell r="AU475">
            <v>3351.25</v>
          </cell>
          <cell r="AV475" t="str">
            <v/>
          </cell>
        </row>
        <row r="476">
          <cell r="A476">
            <v>400297</v>
          </cell>
          <cell r="B476" t="str">
            <v>1016966952</v>
          </cell>
          <cell r="C476" t="str">
            <v>السيد</v>
          </cell>
          <cell r="D476" t="str">
            <v>Ahmed Hassan Ali Alabduljabar</v>
          </cell>
          <cell r="E476" t="str">
            <v>احمد حسن علي آل عبد الجبار</v>
          </cell>
          <cell r="F476" t="str">
            <v>Male</v>
          </cell>
          <cell r="G476" t="str">
            <v>متزوج</v>
          </cell>
          <cell r="H476">
            <v>27134</v>
          </cell>
          <cell r="I476">
            <v>52</v>
          </cell>
          <cell r="J476">
            <v>19056</v>
          </cell>
          <cell r="K476" t="str">
            <v>Ahmed.Alabdeljabar@agriserv.sa</v>
          </cell>
          <cell r="L476" t="str">
            <v>0505886947</v>
          </cell>
          <cell r="M476" t="str">
            <v/>
          </cell>
          <cell r="N476" t="str">
            <v>المملكة العربية السعودية</v>
          </cell>
          <cell r="O476" t="str">
            <v>50001284</v>
          </cell>
          <cell r="P476" t="str">
            <v>طبيب بيطري</v>
          </cell>
          <cell r="Q476" t="str">
            <v>الدرجة 4</v>
          </cell>
          <cell r="R476" t="str">
            <v>Class A</v>
          </cell>
          <cell r="S476" t="str">
            <v>محجر ميناء الدمام   (الشرقية)</v>
          </cell>
          <cell r="T476" t="str">
            <v>خدمات المحجر</v>
          </cell>
          <cell r="U476" t="str">
            <v>الاذونات وخدمات المحاجر</v>
          </cell>
          <cell r="V476" t="str">
            <v>العمليات</v>
          </cell>
          <cell r="W476" t="str">
            <v>Ad-Dammam</v>
          </cell>
          <cell r="X476" t="str">
            <v xml:space="preserve">الفرع </v>
          </cell>
          <cell r="Y476">
            <v>45126</v>
          </cell>
          <cell r="Z476">
            <v>2.91</v>
          </cell>
          <cell r="AA476">
            <v>1064</v>
          </cell>
          <cell r="AB476" t="str">
            <v>نشط</v>
          </cell>
          <cell r="AC476" t="str">
            <v>400271</v>
          </cell>
          <cell r="AD476" t="str">
            <v>Fahad Alfrhaan</v>
          </cell>
          <cell r="AE476" t="str">
            <v>إعارة</v>
          </cell>
          <cell r="AF476" t="str">
            <v/>
          </cell>
          <cell r="AG476" t="str">
            <v/>
          </cell>
          <cell r="AH476" t="str">
            <v>طب بيطري</v>
          </cell>
          <cell r="AI476" t="str">
            <v>بكالوريوس</v>
          </cell>
          <cell r="AJ476">
            <v>4</v>
          </cell>
          <cell r="AK476">
            <v>3</v>
          </cell>
          <cell r="AL476">
            <v>1</v>
          </cell>
          <cell r="AM476">
            <v>0</v>
          </cell>
          <cell r="AN476" t="str">
            <v/>
          </cell>
          <cell r="AO476" t="str">
            <v>الاذونات وخدمات المحاجر</v>
          </cell>
          <cell r="AP476" t="str">
            <v>Al Rajhi Bank</v>
          </cell>
          <cell r="AQ476" t="str">
            <v>SA0580000354608010035808</v>
          </cell>
          <cell r="AR476">
            <v>15855</v>
          </cell>
          <cell r="AS476" t="str">
            <v/>
          </cell>
          <cell r="AT476">
            <v>885.5</v>
          </cell>
          <cell r="AU476">
            <v>3963.75</v>
          </cell>
          <cell r="AV476" t="str">
            <v/>
          </cell>
        </row>
        <row r="477">
          <cell r="A477">
            <v>400298</v>
          </cell>
          <cell r="B477" t="str">
            <v>1012630016</v>
          </cell>
          <cell r="C477" t="str">
            <v>السيد</v>
          </cell>
          <cell r="D477" t="str">
            <v>Youssef Nasser Saleh Alabaas</v>
          </cell>
          <cell r="E477" t="str">
            <v>يوسف ناصر صالح العباس</v>
          </cell>
          <cell r="F477" t="str">
            <v>Male</v>
          </cell>
          <cell r="G477" t="str">
            <v>متزوج</v>
          </cell>
          <cell r="H477">
            <v>27080</v>
          </cell>
          <cell r="I477">
            <v>52</v>
          </cell>
          <cell r="J477">
            <v>19110</v>
          </cell>
          <cell r="K477" t="str">
            <v>yousef.alabbas@agriserv.sa</v>
          </cell>
          <cell r="L477" t="str">
            <v>0506909419</v>
          </cell>
          <cell r="M477" t="str">
            <v/>
          </cell>
          <cell r="N477" t="str">
            <v>المملكة العربية السعودية</v>
          </cell>
          <cell r="O477" t="str">
            <v>50001279</v>
          </cell>
          <cell r="P477" t="str">
            <v>مهندس زراعي</v>
          </cell>
          <cell r="Q477" t="str">
            <v>الدرجة 3</v>
          </cell>
          <cell r="R477" t="str">
            <v>Class A</v>
          </cell>
          <cell r="S477" t="str">
            <v>محجر ميناء الدمام   (الشرقية)</v>
          </cell>
          <cell r="T477" t="str">
            <v>خدمات المحجر</v>
          </cell>
          <cell r="U477" t="str">
            <v>الاذونات وخدمات المحاجر</v>
          </cell>
          <cell r="V477" t="str">
            <v>العمليات</v>
          </cell>
          <cell r="W477" t="str">
            <v>Ad-Dammam</v>
          </cell>
          <cell r="X477" t="str">
            <v xml:space="preserve">الفرع </v>
          </cell>
          <cell r="Y477">
            <v>45126</v>
          </cell>
          <cell r="Z477">
            <v>2.91</v>
          </cell>
          <cell r="AA477">
            <v>1064</v>
          </cell>
          <cell r="AB477" t="str">
            <v>نشط</v>
          </cell>
          <cell r="AC477" t="str">
            <v>400271</v>
          </cell>
          <cell r="AD477" t="str">
            <v>Fahad Alfrhaan</v>
          </cell>
          <cell r="AE477" t="str">
            <v>إعارة</v>
          </cell>
          <cell r="AF477" t="str">
            <v/>
          </cell>
          <cell r="AG477" t="str">
            <v/>
          </cell>
          <cell r="AH477" t="str">
            <v>المحاصيل والمراعي</v>
          </cell>
          <cell r="AI477" t="str">
            <v>بكالوريوس</v>
          </cell>
          <cell r="AJ477">
            <v>7</v>
          </cell>
          <cell r="AK477">
            <v>5</v>
          </cell>
          <cell r="AL477">
            <v>1</v>
          </cell>
          <cell r="AM477">
            <v>1</v>
          </cell>
          <cell r="AN477" t="str">
            <v/>
          </cell>
          <cell r="AO477" t="str">
            <v>الاذونات وخدمات المحاجر</v>
          </cell>
          <cell r="AP477" t="str">
            <v>Saudi Awwal Bank</v>
          </cell>
          <cell r="AQ477" t="str">
            <v>SA1145000000056170988001</v>
          </cell>
          <cell r="AR477">
            <v>17645</v>
          </cell>
          <cell r="AS477" t="str">
            <v/>
          </cell>
          <cell r="AT477">
            <v>864.5</v>
          </cell>
          <cell r="AU477">
            <v>4411.25</v>
          </cell>
          <cell r="AV477" t="str">
            <v/>
          </cell>
        </row>
        <row r="478">
          <cell r="A478">
            <v>400299</v>
          </cell>
          <cell r="B478" t="str">
            <v>1003318118</v>
          </cell>
          <cell r="C478" t="str">
            <v>السيد</v>
          </cell>
          <cell r="D478" t="str">
            <v>Nader AbdulRahim Abdulqader ALARABI</v>
          </cell>
          <cell r="E478" t="str">
            <v>نادر عبدالرحيم عبدالقادر العربي</v>
          </cell>
          <cell r="F478" t="str">
            <v>Male</v>
          </cell>
          <cell r="G478" t="str">
            <v>أعزب</v>
          </cell>
          <cell r="H478">
            <v>28829</v>
          </cell>
          <cell r="I478">
            <v>48</v>
          </cell>
          <cell r="J478">
            <v>17361</v>
          </cell>
          <cell r="K478" t="str">
            <v>nader.alarbi@agriserv.sa</v>
          </cell>
          <cell r="L478" t="str">
            <v>0501907795</v>
          </cell>
          <cell r="M478" t="str">
            <v/>
          </cell>
          <cell r="N478" t="str">
            <v>المملكة العربية السعودية</v>
          </cell>
          <cell r="O478" t="str">
            <v>50001285</v>
          </cell>
          <cell r="P478" t="str">
            <v>طبيب بيطري</v>
          </cell>
          <cell r="Q478" t="str">
            <v>الدرجة 4</v>
          </cell>
          <cell r="R478" t="str">
            <v>Class A</v>
          </cell>
          <cell r="S478" t="str">
            <v>محجر ميناء الدمام   (الشرقية)</v>
          </cell>
          <cell r="T478" t="str">
            <v>خدمات المحجر</v>
          </cell>
          <cell r="U478" t="str">
            <v>الاذونات وخدمات المحاجر</v>
          </cell>
          <cell r="V478" t="str">
            <v>العمليات</v>
          </cell>
          <cell r="W478" t="str">
            <v>Ad-Dammam</v>
          </cell>
          <cell r="X478" t="str">
            <v xml:space="preserve">الفرع </v>
          </cell>
          <cell r="Y478">
            <v>45126</v>
          </cell>
          <cell r="Z478">
            <v>2.91</v>
          </cell>
          <cell r="AA478">
            <v>1064</v>
          </cell>
          <cell r="AB478" t="str">
            <v>نشط</v>
          </cell>
          <cell r="AC478" t="str">
            <v>400271</v>
          </cell>
          <cell r="AD478" t="str">
            <v>Fahad Alfrhaan</v>
          </cell>
          <cell r="AE478" t="str">
            <v>إعارة</v>
          </cell>
          <cell r="AF478" t="str">
            <v/>
          </cell>
          <cell r="AG478" t="str">
            <v/>
          </cell>
          <cell r="AH478" t="str">
            <v>طب بيطري</v>
          </cell>
          <cell r="AI478" t="str">
            <v>بكالوريوس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 t="str">
            <v/>
          </cell>
          <cell r="AO478" t="str">
            <v>الاذونات وخدمات المحاجر</v>
          </cell>
          <cell r="AP478" t="str">
            <v>Saudi Awwal Bank</v>
          </cell>
          <cell r="AQ478" t="str">
            <v>SA7345000000059068205001</v>
          </cell>
          <cell r="AR478">
            <v>13820</v>
          </cell>
          <cell r="AS478" t="str">
            <v/>
          </cell>
          <cell r="AT478">
            <v>682</v>
          </cell>
          <cell r="AU478">
            <v>3455</v>
          </cell>
          <cell r="AV478" t="str">
            <v/>
          </cell>
        </row>
        <row r="479">
          <cell r="A479">
            <v>400300</v>
          </cell>
          <cell r="B479" t="str">
            <v>1014600629</v>
          </cell>
          <cell r="C479" t="str">
            <v>السيد</v>
          </cell>
          <cell r="D479" t="str">
            <v>Adnan Hashem Taheer Alhashem</v>
          </cell>
          <cell r="E479" t="str">
            <v>عدنان هاشم طاهر الهاشم</v>
          </cell>
          <cell r="F479" t="str">
            <v>Male</v>
          </cell>
          <cell r="G479" t="str">
            <v>متزوج</v>
          </cell>
          <cell r="H479">
            <v>27980</v>
          </cell>
          <cell r="I479">
            <v>50</v>
          </cell>
          <cell r="J479">
            <v>18210</v>
          </cell>
          <cell r="K479" t="str">
            <v>AdnanH.Alhashem@agriserv.sa</v>
          </cell>
          <cell r="L479" t="str">
            <v>0566400401</v>
          </cell>
          <cell r="M479" t="str">
            <v/>
          </cell>
          <cell r="N479" t="str">
            <v>المملكة العربية السعودية</v>
          </cell>
          <cell r="O479" t="str">
            <v>50001275</v>
          </cell>
          <cell r="P479" t="str">
            <v>فني زراعي</v>
          </cell>
          <cell r="Q479" t="str">
            <v>2A الدرجة</v>
          </cell>
          <cell r="R479" t="str">
            <v>Class A</v>
          </cell>
          <cell r="S479" t="str">
            <v>محجر سلوى  (الشرقية)</v>
          </cell>
          <cell r="T479" t="str">
            <v>خدمات المحجر</v>
          </cell>
          <cell r="U479" t="str">
            <v>الاذونات وخدمات المحاجر</v>
          </cell>
          <cell r="V479" t="str">
            <v>العمليات</v>
          </cell>
          <cell r="W479" t="str">
            <v>Ad-Dammam</v>
          </cell>
          <cell r="X479" t="str">
            <v xml:space="preserve">الفرع </v>
          </cell>
          <cell r="Y479">
            <v>45126</v>
          </cell>
          <cell r="Z479">
            <v>2.91</v>
          </cell>
          <cell r="AA479">
            <v>1064</v>
          </cell>
          <cell r="AB479" t="str">
            <v>نشط</v>
          </cell>
          <cell r="AC479" t="str">
            <v>400314</v>
          </cell>
          <cell r="AD479" t="str">
            <v>Mohammad Albatat</v>
          </cell>
          <cell r="AE479" t="str">
            <v>إعارة</v>
          </cell>
          <cell r="AF479" t="str">
            <v/>
          </cell>
          <cell r="AG479" t="str">
            <v/>
          </cell>
          <cell r="AH479" t="str">
            <v>ارشاد زراعى</v>
          </cell>
          <cell r="AI479" t="str">
            <v>بكالوريوس</v>
          </cell>
          <cell r="AJ479">
            <v>4</v>
          </cell>
          <cell r="AK479">
            <v>3</v>
          </cell>
          <cell r="AL479">
            <v>1</v>
          </cell>
          <cell r="AM479">
            <v>0</v>
          </cell>
          <cell r="AN479" t="str">
            <v/>
          </cell>
          <cell r="AO479" t="str">
            <v>الاذونات وخدمات المحاجر</v>
          </cell>
          <cell r="AP479" t="str">
            <v>Saudi Awwal Bank</v>
          </cell>
          <cell r="AQ479" t="str">
            <v>SA9345000000053437828001</v>
          </cell>
          <cell r="AR479">
            <v>12565</v>
          </cell>
          <cell r="AS479" t="str">
            <v/>
          </cell>
          <cell r="AT479">
            <v>100</v>
          </cell>
          <cell r="AU479">
            <v>3141.25</v>
          </cell>
          <cell r="AV479" t="str">
            <v/>
          </cell>
        </row>
        <row r="480">
          <cell r="A480">
            <v>400301</v>
          </cell>
          <cell r="B480" t="str">
            <v>1000307965</v>
          </cell>
          <cell r="C480" t="str">
            <v>السيد</v>
          </cell>
          <cell r="D480" t="str">
            <v>Rasheed Jafar Mohammed Almarhoun</v>
          </cell>
          <cell r="E480" t="str">
            <v>رشيد جعفر محمد المرهون</v>
          </cell>
          <cell r="F480" t="str">
            <v>Male</v>
          </cell>
          <cell r="G480" t="str">
            <v>متزوج</v>
          </cell>
          <cell r="H480">
            <v>27206</v>
          </cell>
          <cell r="I480">
            <v>52</v>
          </cell>
          <cell r="J480">
            <v>18984</v>
          </cell>
          <cell r="K480" t="str">
            <v>Rashed.Almarhoun@agriserv.sa</v>
          </cell>
          <cell r="L480" t="str">
            <v>0549262335</v>
          </cell>
          <cell r="M480" t="str">
            <v/>
          </cell>
          <cell r="N480" t="str">
            <v>المملكة العربية السعودية</v>
          </cell>
          <cell r="O480" t="str">
            <v>50001280</v>
          </cell>
          <cell r="P480" t="str">
            <v>مهندس زراعي</v>
          </cell>
          <cell r="Q480" t="str">
            <v>الدرجة 3</v>
          </cell>
          <cell r="R480" t="str">
            <v>Class A</v>
          </cell>
          <cell r="S480" t="str">
            <v>محجر مطار الملك فهد  (الشرقية)</v>
          </cell>
          <cell r="T480" t="str">
            <v>خدمات المحجر</v>
          </cell>
          <cell r="U480" t="str">
            <v>الاذونات وخدمات المحاجر</v>
          </cell>
          <cell r="V480" t="str">
            <v>العمليات</v>
          </cell>
          <cell r="W480" t="str">
            <v>Ad-Dammam</v>
          </cell>
          <cell r="X480" t="str">
            <v xml:space="preserve">الفرع </v>
          </cell>
          <cell r="Y480">
            <v>45126</v>
          </cell>
          <cell r="Z480">
            <v>2.91</v>
          </cell>
          <cell r="AA480">
            <v>1064</v>
          </cell>
          <cell r="AB480" t="str">
            <v>نشط</v>
          </cell>
          <cell r="AC480" t="str">
            <v>400270</v>
          </cell>
          <cell r="AD480" t="str">
            <v>Hesham Almutlaq</v>
          </cell>
          <cell r="AE480" t="str">
            <v>إعارة</v>
          </cell>
          <cell r="AF480" t="str">
            <v/>
          </cell>
          <cell r="AG480" t="str">
            <v/>
          </cell>
          <cell r="AH480" t="str">
            <v>بساتين</v>
          </cell>
          <cell r="AI480" t="str">
            <v>بكالوريوس</v>
          </cell>
          <cell r="AJ480">
            <v>7</v>
          </cell>
          <cell r="AK480">
            <v>4</v>
          </cell>
          <cell r="AL480">
            <v>1</v>
          </cell>
          <cell r="AM480">
            <v>2</v>
          </cell>
          <cell r="AN480" t="str">
            <v/>
          </cell>
          <cell r="AO480" t="str">
            <v>الاذونات وخدمات المحاجر</v>
          </cell>
          <cell r="AP480" t="str">
            <v>Riyad Bank</v>
          </cell>
          <cell r="AQ480" t="str">
            <v>SA2220000003300712339940</v>
          </cell>
          <cell r="AR480">
            <v>18705</v>
          </cell>
          <cell r="AS480" t="str">
            <v/>
          </cell>
          <cell r="AT480">
            <v>970.5</v>
          </cell>
          <cell r="AU480">
            <v>4676.25</v>
          </cell>
          <cell r="AV480" t="str">
            <v/>
          </cell>
        </row>
        <row r="481">
          <cell r="A481">
            <v>400302</v>
          </cell>
          <cell r="B481" t="str">
            <v>1056991175</v>
          </cell>
          <cell r="C481" t="str">
            <v>السيد</v>
          </cell>
          <cell r="D481" t="str">
            <v>Abbas Hassan Mohammed Almuailou</v>
          </cell>
          <cell r="E481" t="str">
            <v>عباس حسن محمد آل معيلو</v>
          </cell>
          <cell r="F481" t="str">
            <v>Male</v>
          </cell>
          <cell r="G481" t="str">
            <v>متزوج</v>
          </cell>
          <cell r="H481">
            <v>27413</v>
          </cell>
          <cell r="I481">
            <v>51</v>
          </cell>
          <cell r="J481">
            <v>18777</v>
          </cell>
          <cell r="K481" t="str">
            <v>Abbas.AlMailow@agriserv.sa</v>
          </cell>
          <cell r="L481" t="str">
            <v>0543609223</v>
          </cell>
          <cell r="M481" t="str">
            <v/>
          </cell>
          <cell r="N481" t="str">
            <v>المملكة العربية السعودية</v>
          </cell>
          <cell r="O481" t="str">
            <v>50001286</v>
          </cell>
          <cell r="P481" t="str">
            <v>طبيب بيطري</v>
          </cell>
          <cell r="Q481" t="str">
            <v>الدرجة 4</v>
          </cell>
          <cell r="R481" t="str">
            <v>Class A</v>
          </cell>
          <cell r="S481" t="str">
            <v>محجر مطار الملك فهد  (الشرقية)</v>
          </cell>
          <cell r="T481" t="str">
            <v>خدمات المحجر</v>
          </cell>
          <cell r="U481" t="str">
            <v>الاذونات وخدمات المحاجر</v>
          </cell>
          <cell r="V481" t="str">
            <v>العمليات</v>
          </cell>
          <cell r="W481" t="str">
            <v>Ad-Dammam</v>
          </cell>
          <cell r="X481" t="str">
            <v xml:space="preserve">الفرع </v>
          </cell>
          <cell r="Y481">
            <v>45126</v>
          </cell>
          <cell r="Z481">
            <v>2.91</v>
          </cell>
          <cell r="AA481">
            <v>1064</v>
          </cell>
          <cell r="AB481" t="str">
            <v>نشط</v>
          </cell>
          <cell r="AC481" t="str">
            <v>400270</v>
          </cell>
          <cell r="AD481" t="str">
            <v>Hesham Almutlaq</v>
          </cell>
          <cell r="AE481" t="str">
            <v>إعارة</v>
          </cell>
          <cell r="AF481" t="str">
            <v/>
          </cell>
          <cell r="AG481" t="str">
            <v/>
          </cell>
          <cell r="AH481" t="str">
            <v>طب بيطري</v>
          </cell>
          <cell r="AI481" t="str">
            <v>بكالوريوس</v>
          </cell>
          <cell r="AJ481">
            <v>6</v>
          </cell>
          <cell r="AK481">
            <v>5</v>
          </cell>
          <cell r="AL481">
            <v>1</v>
          </cell>
          <cell r="AM481">
            <v>0</v>
          </cell>
          <cell r="AN481" t="str">
            <v/>
          </cell>
          <cell r="AO481" t="str">
            <v>الاذونات وخدمات المحاجر</v>
          </cell>
          <cell r="AP481" t="str">
            <v>Riyad Bank</v>
          </cell>
          <cell r="AQ481" t="str">
            <v>SA5920000003260049199940</v>
          </cell>
          <cell r="AR481">
            <v>17415</v>
          </cell>
          <cell r="AS481" t="str">
            <v/>
          </cell>
          <cell r="AT481">
            <v>1041.5</v>
          </cell>
          <cell r="AU481">
            <v>4353.75</v>
          </cell>
          <cell r="AV481" t="str">
            <v/>
          </cell>
        </row>
        <row r="482">
          <cell r="A482">
            <v>400303</v>
          </cell>
          <cell r="B482" t="str">
            <v>1008992669</v>
          </cell>
          <cell r="C482" t="str">
            <v>السيد</v>
          </cell>
          <cell r="D482" t="str">
            <v>Ghassan Yousef Ahmad Alehsaei</v>
          </cell>
          <cell r="E482" t="str">
            <v>غسان يوسف احمد الاحسائى</v>
          </cell>
          <cell r="F482" t="str">
            <v>Male</v>
          </cell>
          <cell r="G482" t="str">
            <v>متزوج</v>
          </cell>
          <cell r="H482">
            <v>27552</v>
          </cell>
          <cell r="I482">
            <v>51</v>
          </cell>
          <cell r="J482">
            <v>18638</v>
          </cell>
          <cell r="K482" t="str">
            <v>Ghassan.AlAhsai@agriserv.sa</v>
          </cell>
          <cell r="L482" t="str">
            <v>0504115637</v>
          </cell>
          <cell r="M482" t="str">
            <v/>
          </cell>
          <cell r="N482" t="str">
            <v>المملكة العربية السعودية</v>
          </cell>
          <cell r="O482" t="str">
            <v>50001287</v>
          </cell>
          <cell r="P482" t="str">
            <v>طبيب بيطري</v>
          </cell>
          <cell r="Q482" t="str">
            <v>الدرجة 4</v>
          </cell>
          <cell r="R482" t="str">
            <v>Class A</v>
          </cell>
          <cell r="S482" t="str">
            <v>محجر مطار الملك فهد  (الشرقية)</v>
          </cell>
          <cell r="T482" t="str">
            <v>خدمات المحجر</v>
          </cell>
          <cell r="U482" t="str">
            <v>الاذونات وخدمات المحاجر</v>
          </cell>
          <cell r="V482" t="str">
            <v>العمليات</v>
          </cell>
          <cell r="W482" t="str">
            <v>Ad-Dammam</v>
          </cell>
          <cell r="X482" t="str">
            <v xml:space="preserve">الفرع </v>
          </cell>
          <cell r="Y482">
            <v>45126</v>
          </cell>
          <cell r="Z482">
            <v>2.91</v>
          </cell>
          <cell r="AA482">
            <v>1064</v>
          </cell>
          <cell r="AB482" t="str">
            <v>نشط</v>
          </cell>
          <cell r="AC482" t="str">
            <v>400270</v>
          </cell>
          <cell r="AD482" t="str">
            <v>Hesham Almutlaq</v>
          </cell>
          <cell r="AE482" t="str">
            <v>إعارة</v>
          </cell>
          <cell r="AF482" t="str">
            <v/>
          </cell>
          <cell r="AG482" t="str">
            <v/>
          </cell>
          <cell r="AH482" t="str">
            <v>طب بيطري</v>
          </cell>
          <cell r="AI482" t="str">
            <v>بكالوريوس</v>
          </cell>
          <cell r="AJ482">
            <v>7</v>
          </cell>
          <cell r="AK482">
            <v>4</v>
          </cell>
          <cell r="AL482">
            <v>1</v>
          </cell>
          <cell r="AM482">
            <v>2</v>
          </cell>
          <cell r="AN482" t="str">
            <v/>
          </cell>
          <cell r="AO482" t="str">
            <v>الاذونات وخدمات المحاجر</v>
          </cell>
          <cell r="AP482" t="str">
            <v>Arab National Bank</v>
          </cell>
          <cell r="AQ482" t="str">
            <v>SA7530400108031506030018</v>
          </cell>
          <cell r="AR482">
            <v>15855</v>
          </cell>
          <cell r="AS482" t="str">
            <v/>
          </cell>
          <cell r="AT482">
            <v>885.5</v>
          </cell>
          <cell r="AU482">
            <v>3963.75</v>
          </cell>
          <cell r="AV482" t="str">
            <v/>
          </cell>
        </row>
        <row r="483">
          <cell r="A483">
            <v>400304</v>
          </cell>
          <cell r="B483" t="str">
            <v>1047518186</v>
          </cell>
          <cell r="C483" t="str">
            <v>السيد</v>
          </cell>
          <cell r="D483" t="str">
            <v>Abdulkarim Ahmed Hassan Alsafwan</v>
          </cell>
          <cell r="E483" t="str">
            <v>عبدالكريم احمد حسن ال صفوان</v>
          </cell>
          <cell r="F483" t="str">
            <v>Male</v>
          </cell>
          <cell r="G483" t="str">
            <v>متزوج</v>
          </cell>
          <cell r="H483">
            <v>26504</v>
          </cell>
          <cell r="I483">
            <v>54</v>
          </cell>
          <cell r="J483">
            <v>19686</v>
          </cell>
          <cell r="K483" t="str">
            <v>Abdulkarim.Alsafwan@agriserv.sa</v>
          </cell>
          <cell r="L483" t="str">
            <v>0541400047</v>
          </cell>
          <cell r="M483" t="str">
            <v/>
          </cell>
          <cell r="N483" t="str">
            <v>المملكة العربية السعودية</v>
          </cell>
          <cell r="O483" t="str">
            <v>50001288</v>
          </cell>
          <cell r="P483" t="str">
            <v>طبيب بيطري</v>
          </cell>
          <cell r="Q483" t="str">
            <v>الدرجة 4</v>
          </cell>
          <cell r="R483" t="str">
            <v>Class A</v>
          </cell>
          <cell r="S483" t="str">
            <v>محجر مطار الملك فهد  (الشرقية)</v>
          </cell>
          <cell r="T483" t="str">
            <v>خدمات المحجر</v>
          </cell>
          <cell r="U483" t="str">
            <v>الاذونات وخدمات المحاجر</v>
          </cell>
          <cell r="V483" t="str">
            <v>العمليات</v>
          </cell>
          <cell r="W483" t="str">
            <v>Ad-Dammam</v>
          </cell>
          <cell r="X483" t="str">
            <v xml:space="preserve">الفرع </v>
          </cell>
          <cell r="Y483">
            <v>45126</v>
          </cell>
          <cell r="Z483">
            <v>2.91</v>
          </cell>
          <cell r="AA483">
            <v>1064</v>
          </cell>
          <cell r="AB483" t="str">
            <v>نشط</v>
          </cell>
          <cell r="AC483" t="str">
            <v>400270</v>
          </cell>
          <cell r="AD483" t="str">
            <v>Hesham Almutlaq</v>
          </cell>
          <cell r="AE483" t="str">
            <v>إعارة</v>
          </cell>
          <cell r="AF483" t="str">
            <v/>
          </cell>
          <cell r="AG483" t="str">
            <v/>
          </cell>
          <cell r="AH483" t="str">
            <v>طب بيطري</v>
          </cell>
          <cell r="AI483" t="str">
            <v>بكالوريوس</v>
          </cell>
          <cell r="AJ483">
            <v>6</v>
          </cell>
          <cell r="AK483">
            <v>5</v>
          </cell>
          <cell r="AL483">
            <v>1</v>
          </cell>
          <cell r="AM483">
            <v>0</v>
          </cell>
          <cell r="AN483" t="str">
            <v/>
          </cell>
          <cell r="AO483" t="str">
            <v>الاذونات وخدمات المحاجر</v>
          </cell>
          <cell r="AP483" t="str">
            <v>Saudi Awwal Bank</v>
          </cell>
          <cell r="AQ483" t="str">
            <v>SA7745000000051106318150</v>
          </cell>
          <cell r="AR483">
            <v>17415</v>
          </cell>
          <cell r="AS483" t="str">
            <v/>
          </cell>
          <cell r="AT483">
            <v>1041.5</v>
          </cell>
          <cell r="AU483">
            <v>4353.75</v>
          </cell>
          <cell r="AV483" t="str">
            <v/>
          </cell>
        </row>
        <row r="484">
          <cell r="A484">
            <v>400305</v>
          </cell>
          <cell r="B484" t="str">
            <v>1002709564</v>
          </cell>
          <cell r="C484" t="str">
            <v>السيد</v>
          </cell>
          <cell r="D484" t="str">
            <v>Redha Mahdi AbdulAli BINsheekh</v>
          </cell>
          <cell r="E484" t="str">
            <v>رضا مهدي عبدالعلي بن الشيخ</v>
          </cell>
          <cell r="F484" t="str">
            <v>Male</v>
          </cell>
          <cell r="G484" t="str">
            <v>متزوج</v>
          </cell>
          <cell r="H484">
            <v>26835</v>
          </cell>
          <cell r="I484">
            <v>53</v>
          </cell>
          <cell r="J484">
            <v>19355</v>
          </cell>
          <cell r="K484" t="str">
            <v>Ridah.Alshaikh@agriserv.sa</v>
          </cell>
          <cell r="L484" t="str">
            <v>0500501376</v>
          </cell>
          <cell r="M484" t="str">
            <v/>
          </cell>
          <cell r="N484" t="str">
            <v>المملكة العربية السعودية</v>
          </cell>
          <cell r="O484" t="str">
            <v>50001289</v>
          </cell>
          <cell r="P484" t="str">
            <v>طبيب بيطري</v>
          </cell>
          <cell r="Q484" t="str">
            <v>الدرجة 4</v>
          </cell>
          <cell r="R484" t="str">
            <v>Class A</v>
          </cell>
          <cell r="S484" t="str">
            <v>محجر مطار الملك فهد  (الشرقية)</v>
          </cell>
          <cell r="T484" t="str">
            <v>خدمات المحجر</v>
          </cell>
          <cell r="U484" t="str">
            <v>الاذونات وخدمات المحاجر</v>
          </cell>
          <cell r="V484" t="str">
            <v>العمليات</v>
          </cell>
          <cell r="W484" t="str">
            <v>Ad-Dammam</v>
          </cell>
          <cell r="X484" t="str">
            <v xml:space="preserve">الفرع </v>
          </cell>
          <cell r="Y484">
            <v>45126</v>
          </cell>
          <cell r="Z484">
            <v>2.91</v>
          </cell>
          <cell r="AA484">
            <v>1064</v>
          </cell>
          <cell r="AB484" t="str">
            <v>نشط</v>
          </cell>
          <cell r="AC484" t="str">
            <v>400270</v>
          </cell>
          <cell r="AD484" t="str">
            <v>Hesham Almutlaq</v>
          </cell>
          <cell r="AE484" t="str">
            <v>إعارة</v>
          </cell>
          <cell r="AF484" t="str">
            <v/>
          </cell>
          <cell r="AG484" t="str">
            <v/>
          </cell>
          <cell r="AH484" t="str">
            <v>طب بيطري</v>
          </cell>
          <cell r="AI484" t="str">
            <v>بكالوريوس</v>
          </cell>
          <cell r="AJ484">
            <v>3</v>
          </cell>
          <cell r="AK484">
            <v>2</v>
          </cell>
          <cell r="AL484">
            <v>1</v>
          </cell>
          <cell r="AM484">
            <v>0</v>
          </cell>
          <cell r="AN484" t="str">
            <v/>
          </cell>
          <cell r="AO484" t="str">
            <v>الاذونات وخدمات المحاجر</v>
          </cell>
          <cell r="AP484" t="str">
            <v>Saudi Awwal Bank</v>
          </cell>
          <cell r="AQ484" t="str">
            <v>SA4845000000052139219001</v>
          </cell>
          <cell r="AR484">
            <v>17415</v>
          </cell>
          <cell r="AS484" t="str">
            <v/>
          </cell>
          <cell r="AT484">
            <v>1041.5</v>
          </cell>
          <cell r="AU484">
            <v>4353.75</v>
          </cell>
          <cell r="AV484" t="str">
            <v/>
          </cell>
        </row>
        <row r="485">
          <cell r="A485">
            <v>400306</v>
          </cell>
          <cell r="B485" t="str">
            <v>1002898235</v>
          </cell>
          <cell r="C485" t="str">
            <v>السيد</v>
          </cell>
          <cell r="D485" t="str">
            <v>Hani Abedrabalrasoul Nasser Alqasser</v>
          </cell>
          <cell r="E485" t="str">
            <v>هاني عبدرب الرسول ناصر القصير</v>
          </cell>
          <cell r="F485" t="str">
            <v>Male</v>
          </cell>
          <cell r="G485" t="str">
            <v>متزوج</v>
          </cell>
          <cell r="H485">
            <v>28080</v>
          </cell>
          <cell r="I485">
            <v>50</v>
          </cell>
          <cell r="J485">
            <v>18110</v>
          </cell>
          <cell r="K485" t="str">
            <v>Hani.AlQaseer@agriserv.sa</v>
          </cell>
          <cell r="L485" t="str">
            <v>0506857418</v>
          </cell>
          <cell r="M485" t="str">
            <v/>
          </cell>
          <cell r="N485" t="str">
            <v>المملكة العربية السعودية</v>
          </cell>
          <cell r="O485" t="str">
            <v>50001276</v>
          </cell>
          <cell r="P485" t="str">
            <v>فني زراعي</v>
          </cell>
          <cell r="Q485" t="str">
            <v>2A الدرجة</v>
          </cell>
          <cell r="R485" t="str">
            <v>Class A</v>
          </cell>
          <cell r="S485" t="str">
            <v>محجر مطار الملك فهد  (الشرقية)</v>
          </cell>
          <cell r="T485" t="str">
            <v>خدمات المحجر</v>
          </cell>
          <cell r="U485" t="str">
            <v>الاذونات وخدمات المحاجر</v>
          </cell>
          <cell r="V485" t="str">
            <v>العمليات</v>
          </cell>
          <cell r="W485" t="str">
            <v>Ad-Dammam</v>
          </cell>
          <cell r="X485" t="str">
            <v xml:space="preserve">الفرع </v>
          </cell>
          <cell r="Y485">
            <v>45126</v>
          </cell>
          <cell r="Z485">
            <v>2.91</v>
          </cell>
          <cell r="AA485">
            <v>1064</v>
          </cell>
          <cell r="AB485" t="str">
            <v>نشط</v>
          </cell>
          <cell r="AC485" t="str">
            <v>400270</v>
          </cell>
          <cell r="AD485" t="str">
            <v>Hesham Almutlaq</v>
          </cell>
          <cell r="AE485" t="str">
            <v>إعارة</v>
          </cell>
          <cell r="AF485" t="str">
            <v/>
          </cell>
          <cell r="AG485" t="str">
            <v/>
          </cell>
          <cell r="AH485" t="str">
            <v>بساتين</v>
          </cell>
          <cell r="AI485" t="str">
            <v>بكالوريوس</v>
          </cell>
          <cell r="AJ485">
            <v>6</v>
          </cell>
          <cell r="AK485">
            <v>4</v>
          </cell>
          <cell r="AL485">
            <v>1</v>
          </cell>
          <cell r="AM485">
            <v>1</v>
          </cell>
          <cell r="AN485" t="str">
            <v/>
          </cell>
          <cell r="AO485" t="str">
            <v>الاذونات وخدمات المحاجر</v>
          </cell>
          <cell r="AP485" t="str">
            <v>Riyad Bank</v>
          </cell>
          <cell r="AQ485" t="str">
            <v>SA9620000003300751599940</v>
          </cell>
          <cell r="AR485">
            <v>15385</v>
          </cell>
          <cell r="AS485" t="str">
            <v/>
          </cell>
          <cell r="AT485">
            <v>100</v>
          </cell>
          <cell r="AU485">
            <v>3846.25</v>
          </cell>
          <cell r="AV485" t="str">
            <v/>
          </cell>
        </row>
        <row r="486">
          <cell r="A486">
            <v>400307</v>
          </cell>
          <cell r="B486" t="str">
            <v>1046373476</v>
          </cell>
          <cell r="C486" t="str">
            <v>السيد</v>
          </cell>
          <cell r="D486" t="str">
            <v>Marwan Hussaien Mansur Alsaeid</v>
          </cell>
          <cell r="E486" t="str">
            <v>مروان حسين منصور ال سعيد</v>
          </cell>
          <cell r="F486" t="str">
            <v>Male</v>
          </cell>
          <cell r="G486" t="str">
            <v>متزوج</v>
          </cell>
          <cell r="H486">
            <v>26452</v>
          </cell>
          <cell r="I486">
            <v>54</v>
          </cell>
          <cell r="J486">
            <v>19738</v>
          </cell>
          <cell r="K486" t="str">
            <v>Marwan.AlSaeed@agriserv.sa</v>
          </cell>
          <cell r="L486" t="str">
            <v>0503810736</v>
          </cell>
          <cell r="M486" t="str">
            <v/>
          </cell>
          <cell r="N486" t="str">
            <v>المملكة العربية السعودية</v>
          </cell>
          <cell r="O486" t="str">
            <v>50001281</v>
          </cell>
          <cell r="P486" t="str">
            <v>مهندس زراعي</v>
          </cell>
          <cell r="Q486" t="str">
            <v>الدرجة 3</v>
          </cell>
          <cell r="R486" t="str">
            <v>Class A</v>
          </cell>
          <cell r="S486" t="str">
            <v>محجر مطار الملك فهد  (الشرقية)</v>
          </cell>
          <cell r="T486" t="str">
            <v>خدمات المحجر</v>
          </cell>
          <cell r="U486" t="str">
            <v>الاذونات وخدمات المحاجر</v>
          </cell>
          <cell r="V486" t="str">
            <v>العمليات</v>
          </cell>
          <cell r="W486" t="str">
            <v>Ad-Dammam</v>
          </cell>
          <cell r="X486" t="str">
            <v xml:space="preserve">الفرع </v>
          </cell>
          <cell r="Y486">
            <v>45126</v>
          </cell>
          <cell r="Z486">
            <v>2.91</v>
          </cell>
          <cell r="AA486">
            <v>1064</v>
          </cell>
          <cell r="AB486" t="str">
            <v>نشط</v>
          </cell>
          <cell r="AC486" t="str">
            <v>400270</v>
          </cell>
          <cell r="AD486" t="str">
            <v>Hesham Almutlaq</v>
          </cell>
          <cell r="AE486" t="str">
            <v>إعارة</v>
          </cell>
          <cell r="AF486" t="str">
            <v/>
          </cell>
          <cell r="AG486" t="str">
            <v/>
          </cell>
          <cell r="AH486" t="str">
            <v>علوم نبات</v>
          </cell>
          <cell r="AI486" t="str">
            <v>بكالوريوس</v>
          </cell>
          <cell r="AJ486">
            <v>11</v>
          </cell>
          <cell r="AK486">
            <v>7</v>
          </cell>
          <cell r="AL486">
            <v>3</v>
          </cell>
          <cell r="AM486">
            <v>1</v>
          </cell>
          <cell r="AN486" t="str">
            <v/>
          </cell>
          <cell r="AO486" t="str">
            <v>الاذونات وخدمات المحاجر</v>
          </cell>
          <cell r="AP486" t="str">
            <v>Riyad Bank</v>
          </cell>
          <cell r="AQ486" t="str">
            <v>SA4920000003300773879940</v>
          </cell>
          <cell r="AR486">
            <v>15855</v>
          </cell>
          <cell r="AS486" t="str">
            <v/>
          </cell>
          <cell r="AT486">
            <v>885.5</v>
          </cell>
          <cell r="AU486">
            <v>3963.75</v>
          </cell>
          <cell r="AV486" t="str">
            <v/>
          </cell>
        </row>
        <row r="487">
          <cell r="A487">
            <v>400308</v>
          </cell>
          <cell r="B487" t="str">
            <v>1040980458</v>
          </cell>
          <cell r="C487" t="str">
            <v>السيد</v>
          </cell>
          <cell r="D487" t="str">
            <v>Hasan Ali Ahmad Bohalq</v>
          </cell>
          <cell r="E487" t="str">
            <v>حسن علي احمد بوحلق</v>
          </cell>
          <cell r="F487" t="str">
            <v>Male</v>
          </cell>
          <cell r="G487" t="str">
            <v>متزوج</v>
          </cell>
          <cell r="H487">
            <v>31716</v>
          </cell>
          <cell r="I487">
            <v>40</v>
          </cell>
          <cell r="J487">
            <v>14474</v>
          </cell>
          <cell r="K487" t="str">
            <v>Hasan.Bohalq@agriserv.sa</v>
          </cell>
          <cell r="L487" t="str">
            <v>0566080720</v>
          </cell>
          <cell r="M487" t="str">
            <v/>
          </cell>
          <cell r="N487" t="str">
            <v>المملكة العربية السعودية</v>
          </cell>
          <cell r="O487" t="str">
            <v>50001291</v>
          </cell>
          <cell r="P487" t="str">
            <v>طبيب بيطري مساعد</v>
          </cell>
          <cell r="Q487" t="str">
            <v>2B الدرجة</v>
          </cell>
          <cell r="R487" t="str">
            <v>Class A</v>
          </cell>
          <cell r="S487" t="str">
            <v>محجر مطار الملك فهد  (الشرقية)</v>
          </cell>
          <cell r="T487" t="str">
            <v>خدمات المحجر</v>
          </cell>
          <cell r="U487" t="str">
            <v>الاذونات وخدمات المحاجر</v>
          </cell>
          <cell r="V487" t="str">
            <v>العمليات</v>
          </cell>
          <cell r="W487" t="str">
            <v>Ad-Dammam</v>
          </cell>
          <cell r="X487" t="str">
            <v xml:space="preserve">الفرع </v>
          </cell>
          <cell r="Y487">
            <v>45126</v>
          </cell>
          <cell r="Z487">
            <v>2.91</v>
          </cell>
          <cell r="AA487">
            <v>1064</v>
          </cell>
          <cell r="AB487" t="str">
            <v>نشط</v>
          </cell>
          <cell r="AC487" t="str">
            <v>400270</v>
          </cell>
          <cell r="AD487" t="str">
            <v>Hesham Almutlaq</v>
          </cell>
          <cell r="AE487" t="str">
            <v>إعارة</v>
          </cell>
          <cell r="AF487" t="str">
            <v/>
          </cell>
          <cell r="AG487" t="str">
            <v/>
          </cell>
          <cell r="AH487" t="str">
            <v>انتاج حيواني</v>
          </cell>
          <cell r="AI487" t="str">
            <v>دبلوم</v>
          </cell>
          <cell r="AJ487">
            <v>7</v>
          </cell>
          <cell r="AK487">
            <v>5</v>
          </cell>
          <cell r="AL487">
            <v>1</v>
          </cell>
          <cell r="AM487">
            <v>1</v>
          </cell>
          <cell r="AN487" t="str">
            <v/>
          </cell>
          <cell r="AO487" t="str">
            <v>الاذونات وخدمات المحاجر</v>
          </cell>
          <cell r="AP487" t="str">
            <v>Riyad Bank</v>
          </cell>
          <cell r="AQ487" t="str">
            <v>SA2820000006050089919940</v>
          </cell>
          <cell r="AR487">
            <v>10295</v>
          </cell>
          <cell r="AS487" t="str">
            <v/>
          </cell>
          <cell r="AT487">
            <v>100</v>
          </cell>
          <cell r="AU487">
            <v>2573.75</v>
          </cell>
          <cell r="AV487" t="str">
            <v/>
          </cell>
        </row>
        <row r="488">
          <cell r="A488">
            <v>400309</v>
          </cell>
          <cell r="B488" t="str">
            <v>1007673898</v>
          </cell>
          <cell r="C488" t="str">
            <v>السيد</v>
          </cell>
          <cell r="D488" t="str">
            <v>Abdulldaem Yousef Matooq Alali</v>
          </cell>
          <cell r="E488" t="str">
            <v>عبدالدائم يوسف معتوق العلي</v>
          </cell>
          <cell r="F488" t="str">
            <v>Male</v>
          </cell>
          <cell r="G488" t="str">
            <v>متزوج</v>
          </cell>
          <cell r="H488">
            <v>28546</v>
          </cell>
          <cell r="I488">
            <v>48</v>
          </cell>
          <cell r="J488">
            <v>17644</v>
          </cell>
          <cell r="K488" t="str">
            <v>Abduldaem.AlAli@agriserv.sa</v>
          </cell>
          <cell r="L488" t="str">
            <v>0505903811</v>
          </cell>
          <cell r="M488" t="str">
            <v/>
          </cell>
          <cell r="N488" t="str">
            <v>المملكة العربية السعودية</v>
          </cell>
          <cell r="O488" t="str">
            <v>50001290</v>
          </cell>
          <cell r="P488" t="str">
            <v>طبيب بيطري</v>
          </cell>
          <cell r="Q488" t="str">
            <v>الدرجة 4</v>
          </cell>
          <cell r="R488" t="str">
            <v>Class A</v>
          </cell>
          <cell r="S488" t="str">
            <v>محجر مطار الملك فهد  (الشرقية)</v>
          </cell>
          <cell r="T488" t="str">
            <v>خدمات المحجر</v>
          </cell>
          <cell r="U488" t="str">
            <v>الاذونات وخدمات المحاجر</v>
          </cell>
          <cell r="V488" t="str">
            <v>العمليات</v>
          </cell>
          <cell r="W488" t="str">
            <v>Ad-Dammam</v>
          </cell>
          <cell r="X488" t="str">
            <v xml:space="preserve">الفرع </v>
          </cell>
          <cell r="Y488">
            <v>45126</v>
          </cell>
          <cell r="Z488">
            <v>2.91</v>
          </cell>
          <cell r="AA488">
            <v>1064</v>
          </cell>
          <cell r="AB488" t="str">
            <v>نشط</v>
          </cell>
          <cell r="AC488" t="str">
            <v>400270</v>
          </cell>
          <cell r="AD488" t="str">
            <v>Hesham Almutlaq</v>
          </cell>
          <cell r="AE488" t="str">
            <v>إعارة</v>
          </cell>
          <cell r="AF488" t="str">
            <v/>
          </cell>
          <cell r="AG488" t="str">
            <v/>
          </cell>
          <cell r="AH488" t="str">
            <v>طب بيطري</v>
          </cell>
          <cell r="AI488" t="str">
            <v>بكالوريوس</v>
          </cell>
          <cell r="AJ488">
            <v>6</v>
          </cell>
          <cell r="AK488">
            <v>5</v>
          </cell>
          <cell r="AL488">
            <v>1</v>
          </cell>
          <cell r="AM488">
            <v>0</v>
          </cell>
          <cell r="AN488" t="str">
            <v/>
          </cell>
          <cell r="AO488" t="str">
            <v>الاذونات وخدمات المحاجر</v>
          </cell>
          <cell r="AP488" t="str">
            <v>Saudi Awwal Bank</v>
          </cell>
          <cell r="AQ488" t="str">
            <v>SA9245000000056183627001</v>
          </cell>
          <cell r="AR488">
            <v>14915</v>
          </cell>
          <cell r="AS488" t="str">
            <v/>
          </cell>
          <cell r="AT488">
            <v>791.5</v>
          </cell>
          <cell r="AU488">
            <v>3728.75</v>
          </cell>
          <cell r="AV488" t="str">
            <v/>
          </cell>
        </row>
        <row r="489">
          <cell r="A489">
            <v>400310</v>
          </cell>
          <cell r="B489" t="str">
            <v>1008241851</v>
          </cell>
          <cell r="C489" t="str">
            <v>السيد</v>
          </cell>
          <cell r="D489" t="str">
            <v>Majed Abdullah Ahmad Alsulais</v>
          </cell>
          <cell r="E489" t="str">
            <v>ماجد عبدالله احمد ال سليس</v>
          </cell>
          <cell r="F489" t="str">
            <v>Male</v>
          </cell>
          <cell r="G489" t="str">
            <v>متزوج</v>
          </cell>
          <cell r="H489">
            <v>30771</v>
          </cell>
          <cell r="I489">
            <v>42</v>
          </cell>
          <cell r="J489">
            <v>15419</v>
          </cell>
          <cell r="K489" t="str">
            <v>Majed.AlSulais@agriserv.sa</v>
          </cell>
          <cell r="L489" t="str">
            <v>0506852963</v>
          </cell>
          <cell r="M489" t="str">
            <v/>
          </cell>
          <cell r="N489" t="str">
            <v>المملكة العربية السعودية</v>
          </cell>
          <cell r="O489" t="str">
            <v>50001282</v>
          </cell>
          <cell r="P489" t="str">
            <v>مهندس زراعي</v>
          </cell>
          <cell r="Q489" t="str">
            <v>الدرجة 3</v>
          </cell>
          <cell r="R489" t="str">
            <v>Class A</v>
          </cell>
          <cell r="S489" t="str">
            <v>محجر مطار الملك فهد  (الشرقية)</v>
          </cell>
          <cell r="T489" t="str">
            <v>خدمات المحجر</v>
          </cell>
          <cell r="U489" t="str">
            <v>الاذونات وخدمات المحاجر</v>
          </cell>
          <cell r="V489" t="str">
            <v>العمليات</v>
          </cell>
          <cell r="W489" t="str">
            <v>Ad-Dammam</v>
          </cell>
          <cell r="X489" t="str">
            <v xml:space="preserve">الفرع </v>
          </cell>
          <cell r="Y489">
            <v>45126</v>
          </cell>
          <cell r="Z489">
            <v>2.91</v>
          </cell>
          <cell r="AA489">
            <v>1064</v>
          </cell>
          <cell r="AB489" t="str">
            <v>نشط</v>
          </cell>
          <cell r="AC489" t="str">
            <v>400270</v>
          </cell>
          <cell r="AD489" t="str">
            <v>Hesham Almutlaq</v>
          </cell>
          <cell r="AE489" t="str">
            <v>إعارة</v>
          </cell>
          <cell r="AF489" t="str">
            <v/>
          </cell>
          <cell r="AG489" t="str">
            <v/>
          </cell>
          <cell r="AH489" t="str">
            <v>هندسة زراعية</v>
          </cell>
          <cell r="AI489" t="str">
            <v>بكالوريوس</v>
          </cell>
          <cell r="AJ489">
            <v>7</v>
          </cell>
          <cell r="AK489">
            <v>4</v>
          </cell>
          <cell r="AL489">
            <v>1</v>
          </cell>
          <cell r="AM489">
            <v>2</v>
          </cell>
          <cell r="AN489" t="str">
            <v/>
          </cell>
          <cell r="AO489" t="str">
            <v>الاذونات وخدمات المحاجر</v>
          </cell>
          <cell r="AP489" t="str">
            <v>Saudi Investment Bank</v>
          </cell>
          <cell r="AQ489" t="str">
            <v>SA5565000000341210595001</v>
          </cell>
          <cell r="AR489">
            <v>16350</v>
          </cell>
          <cell r="AS489" t="str">
            <v/>
          </cell>
          <cell r="AT489">
            <v>735</v>
          </cell>
          <cell r="AU489">
            <v>4087.5</v>
          </cell>
          <cell r="AV489" t="str">
            <v/>
          </cell>
        </row>
        <row r="490">
          <cell r="A490">
            <v>400311</v>
          </cell>
          <cell r="B490" t="str">
            <v>1032337014</v>
          </cell>
          <cell r="C490" t="str">
            <v>السيد</v>
          </cell>
          <cell r="D490" t="str">
            <v>Nafea Atgaa Muteg Alharbi</v>
          </cell>
          <cell r="E490" t="str">
            <v>نافع عتقاء معتق الحربي</v>
          </cell>
          <cell r="F490" t="str">
            <v>Male</v>
          </cell>
          <cell r="G490" t="str">
            <v>متزوج</v>
          </cell>
          <cell r="H490">
            <v>26167</v>
          </cell>
          <cell r="I490">
            <v>55</v>
          </cell>
          <cell r="J490">
            <v>20023</v>
          </cell>
          <cell r="K490" t="str">
            <v>Nafie.AlHarbi@agriserv.sa</v>
          </cell>
          <cell r="L490" t="str">
            <v>0536663073</v>
          </cell>
          <cell r="M490" t="str">
            <v/>
          </cell>
          <cell r="N490" t="str">
            <v>المملكة العربية السعودية</v>
          </cell>
          <cell r="O490" t="str">
            <v>50001277</v>
          </cell>
          <cell r="P490" t="str">
            <v>فني زراعي</v>
          </cell>
          <cell r="Q490" t="str">
            <v>2A الدرجة</v>
          </cell>
          <cell r="R490" t="str">
            <v>Class A</v>
          </cell>
          <cell r="S490" t="str">
            <v>محجر مطار الملك فهد  (الشرقية)</v>
          </cell>
          <cell r="T490" t="str">
            <v>خدمات المحجر</v>
          </cell>
          <cell r="U490" t="str">
            <v>الاذونات وخدمات المحاجر</v>
          </cell>
          <cell r="V490" t="str">
            <v>العمليات</v>
          </cell>
          <cell r="W490" t="str">
            <v>Ad-Dammam</v>
          </cell>
          <cell r="X490" t="str">
            <v xml:space="preserve">الفرع </v>
          </cell>
          <cell r="Y490">
            <v>45126</v>
          </cell>
          <cell r="Z490">
            <v>2.91</v>
          </cell>
          <cell r="AA490">
            <v>1064</v>
          </cell>
          <cell r="AB490" t="str">
            <v>نشط</v>
          </cell>
          <cell r="AC490" t="str">
            <v>400270</v>
          </cell>
          <cell r="AD490" t="str">
            <v>Hesham Almutlaq</v>
          </cell>
          <cell r="AE490" t="str">
            <v>إعارة</v>
          </cell>
          <cell r="AF490" t="str">
            <v/>
          </cell>
          <cell r="AG490" t="str">
            <v/>
          </cell>
          <cell r="AH490" t="str">
            <v>علم الزراعة</v>
          </cell>
          <cell r="AI490" t="str">
            <v>دبلوم</v>
          </cell>
          <cell r="AJ490">
            <v>1</v>
          </cell>
          <cell r="AK490">
            <v>0</v>
          </cell>
          <cell r="AL490">
            <v>1</v>
          </cell>
          <cell r="AM490">
            <v>0</v>
          </cell>
          <cell r="AN490" t="str">
            <v/>
          </cell>
          <cell r="AO490" t="str">
            <v>الاذونات وخدمات المحاجر</v>
          </cell>
          <cell r="AP490" t="str">
            <v>Riyad Bank</v>
          </cell>
          <cell r="AQ490" t="str">
            <v>SA5420000003111298829940</v>
          </cell>
          <cell r="AR490">
            <v>14915</v>
          </cell>
          <cell r="AS490" t="str">
            <v/>
          </cell>
          <cell r="AT490">
            <v>100</v>
          </cell>
          <cell r="AU490">
            <v>3728.75</v>
          </cell>
          <cell r="AV490" t="str">
            <v/>
          </cell>
        </row>
        <row r="491">
          <cell r="A491">
            <v>400312</v>
          </cell>
          <cell r="B491" t="str">
            <v>1018625655</v>
          </cell>
          <cell r="C491" t="str">
            <v>السيد</v>
          </cell>
          <cell r="D491" t="str">
            <v>Abdullah Khalifah Hussein Aljafer</v>
          </cell>
          <cell r="E491" t="str">
            <v>عبدالله خليفه حسين الجعفر</v>
          </cell>
          <cell r="F491" t="str">
            <v>Male</v>
          </cell>
          <cell r="G491" t="str">
            <v>متزوج</v>
          </cell>
          <cell r="H491">
            <v>29346</v>
          </cell>
          <cell r="I491">
            <v>46</v>
          </cell>
          <cell r="J491">
            <v>16844</v>
          </cell>
          <cell r="K491" t="str">
            <v>Abdullah.Aljafer@agriserv.sa</v>
          </cell>
          <cell r="L491" t="str">
            <v>0503905736</v>
          </cell>
          <cell r="M491" t="str">
            <v/>
          </cell>
          <cell r="N491" t="str">
            <v>المملكة العربية السعودية</v>
          </cell>
          <cell r="O491" t="str">
            <v>50001219</v>
          </cell>
          <cell r="P491" t="str">
            <v>طبيب بيطري</v>
          </cell>
          <cell r="Q491" t="str">
            <v>الدرجة 4</v>
          </cell>
          <cell r="R491" t="str">
            <v>Class A</v>
          </cell>
          <cell r="S491" t="str">
            <v>محجر سلوى  (الشرقية)</v>
          </cell>
          <cell r="T491" t="str">
            <v>خدمات المحجر</v>
          </cell>
          <cell r="U491" t="str">
            <v>الاذونات وخدمات المحاجر</v>
          </cell>
          <cell r="V491" t="str">
            <v>العمليات</v>
          </cell>
          <cell r="W491" t="str">
            <v>Ad-Dammam</v>
          </cell>
          <cell r="X491" t="str">
            <v xml:space="preserve">الفرع </v>
          </cell>
          <cell r="Y491">
            <v>45126</v>
          </cell>
          <cell r="Z491">
            <v>2.91</v>
          </cell>
          <cell r="AA491">
            <v>1064</v>
          </cell>
          <cell r="AB491" t="str">
            <v>نشط</v>
          </cell>
          <cell r="AC491" t="str">
            <v>400314</v>
          </cell>
          <cell r="AD491" t="str">
            <v>Mohammad Albatat</v>
          </cell>
          <cell r="AE491" t="str">
            <v>إعارة</v>
          </cell>
          <cell r="AF491" t="str">
            <v/>
          </cell>
          <cell r="AG491" t="str">
            <v/>
          </cell>
          <cell r="AH491" t="str">
            <v>طب بيطري</v>
          </cell>
          <cell r="AI491" t="str">
            <v>ماجستير</v>
          </cell>
          <cell r="AJ491">
            <v>7</v>
          </cell>
          <cell r="AK491">
            <v>5</v>
          </cell>
          <cell r="AL491">
            <v>1</v>
          </cell>
          <cell r="AM491">
            <v>1</v>
          </cell>
          <cell r="AN491" t="str">
            <v/>
          </cell>
          <cell r="AO491" t="str">
            <v>الاذونات وخدمات المحاجر</v>
          </cell>
          <cell r="AP491" t="str">
            <v>Saudi Awwal Bank</v>
          </cell>
          <cell r="AQ491" t="str">
            <v>SA0745000000058068776001</v>
          </cell>
          <cell r="AR491">
            <v>14915</v>
          </cell>
          <cell r="AS491" t="str">
            <v/>
          </cell>
          <cell r="AT491">
            <v>791.5</v>
          </cell>
          <cell r="AU491">
            <v>3728.75</v>
          </cell>
          <cell r="AV491" t="str">
            <v/>
          </cell>
        </row>
        <row r="492">
          <cell r="A492">
            <v>400313</v>
          </cell>
          <cell r="B492" t="str">
            <v>1049989344</v>
          </cell>
          <cell r="C492" t="str">
            <v>السيد</v>
          </cell>
          <cell r="D492" t="str">
            <v>Ali Muhammed Salem Alawad</v>
          </cell>
          <cell r="E492" t="str">
            <v>علي محمد سالم العواد</v>
          </cell>
          <cell r="F492" t="str">
            <v>Male</v>
          </cell>
          <cell r="G492" t="str">
            <v>أعزب</v>
          </cell>
          <cell r="H492">
            <v>32179</v>
          </cell>
          <cell r="I492">
            <v>38</v>
          </cell>
          <cell r="J492">
            <v>14011</v>
          </cell>
          <cell r="K492" t="str">
            <v>ali.alawad@agriserv.sa</v>
          </cell>
          <cell r="L492" t="str">
            <v>0560999376</v>
          </cell>
          <cell r="M492" t="str">
            <v/>
          </cell>
          <cell r="N492" t="str">
            <v>المملكة العربية السعودية</v>
          </cell>
          <cell r="O492" t="str">
            <v>50001164</v>
          </cell>
          <cell r="P492" t="str">
            <v>طبيب بيطري مساعد</v>
          </cell>
          <cell r="Q492" t="str">
            <v>2B الدرجة</v>
          </cell>
          <cell r="R492" t="str">
            <v>Class A</v>
          </cell>
          <cell r="S492" t="str">
            <v>محجر سلوى  (الشرقية)</v>
          </cell>
          <cell r="T492" t="str">
            <v>خدمات المحجر</v>
          </cell>
          <cell r="U492" t="str">
            <v>الاذونات وخدمات المحاجر</v>
          </cell>
          <cell r="V492" t="str">
            <v>العمليات</v>
          </cell>
          <cell r="W492" t="str">
            <v>Ad-Dammam</v>
          </cell>
          <cell r="X492" t="str">
            <v xml:space="preserve">الفرع </v>
          </cell>
          <cell r="Y492">
            <v>45126</v>
          </cell>
          <cell r="Z492">
            <v>2.91</v>
          </cell>
          <cell r="AA492">
            <v>1064</v>
          </cell>
          <cell r="AB492" t="str">
            <v>نشط</v>
          </cell>
          <cell r="AC492" t="str">
            <v>400314</v>
          </cell>
          <cell r="AD492" t="str">
            <v>Mohammad Albatat</v>
          </cell>
          <cell r="AE492" t="str">
            <v>إعارة</v>
          </cell>
          <cell r="AF492" t="str">
            <v/>
          </cell>
          <cell r="AG492" t="str">
            <v/>
          </cell>
          <cell r="AH492" t="str">
            <v>طب بيطري</v>
          </cell>
          <cell r="AI492" t="str">
            <v>دبلوم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 t="str">
            <v/>
          </cell>
          <cell r="AO492" t="str">
            <v>الاذونات وخدمات المحاجر</v>
          </cell>
          <cell r="AP492" t="str">
            <v>Saudi Awwal Bank</v>
          </cell>
          <cell r="AQ492" t="str">
            <v>SA2945000000053199568150</v>
          </cell>
          <cell r="AR492">
            <v>7740</v>
          </cell>
          <cell r="AS492" t="str">
            <v/>
          </cell>
          <cell r="AT492">
            <v>74</v>
          </cell>
          <cell r="AU492">
            <v>1935</v>
          </cell>
          <cell r="AV492" t="str">
            <v/>
          </cell>
        </row>
        <row r="493">
          <cell r="A493">
            <v>400314</v>
          </cell>
          <cell r="B493" t="str">
            <v>1040530733</v>
          </cell>
          <cell r="C493" t="str">
            <v>السيد</v>
          </cell>
          <cell r="D493" t="str">
            <v>Mohammad Ahmed Abdullah Albatat</v>
          </cell>
          <cell r="E493" t="str">
            <v>محمد احمد عبدالله البطاط</v>
          </cell>
          <cell r="F493" t="str">
            <v>Male</v>
          </cell>
          <cell r="G493" t="str">
            <v>متزوج</v>
          </cell>
          <cell r="H493">
            <v>31852</v>
          </cell>
          <cell r="I493">
            <v>39</v>
          </cell>
          <cell r="J493">
            <v>14338</v>
          </cell>
          <cell r="K493" t="str">
            <v>Muhammad.AlBattat@agriserv.sa</v>
          </cell>
          <cell r="L493" t="str">
            <v>0540898880</v>
          </cell>
          <cell r="M493" t="str">
            <v/>
          </cell>
          <cell r="N493" t="str">
            <v>المملكة العربية السعودية</v>
          </cell>
          <cell r="O493" t="str">
            <v>50001165</v>
          </cell>
          <cell r="P493" t="str">
            <v>طبيب بيطري مساعد</v>
          </cell>
          <cell r="Q493" t="str">
            <v>2B الدرجة</v>
          </cell>
          <cell r="R493" t="str">
            <v>Class A</v>
          </cell>
          <cell r="S493" t="str">
            <v>محجر سلوى  (الشرقية)</v>
          </cell>
          <cell r="T493" t="str">
            <v>خدمات المحجر</v>
          </cell>
          <cell r="U493" t="str">
            <v>الاذونات وخدمات المحاجر</v>
          </cell>
          <cell r="V493" t="str">
            <v>العمليات</v>
          </cell>
          <cell r="W493" t="str">
            <v>Ad-Dammam</v>
          </cell>
          <cell r="X493" t="str">
            <v xml:space="preserve">الفرع </v>
          </cell>
          <cell r="Y493">
            <v>45126</v>
          </cell>
          <cell r="Z493">
            <v>2.91</v>
          </cell>
          <cell r="AA493">
            <v>1064</v>
          </cell>
          <cell r="AB493" t="str">
            <v>نشط</v>
          </cell>
          <cell r="AC493" t="str">
            <v>100135</v>
          </cell>
          <cell r="AD493" t="str">
            <v>Abdulrahman Alzahrani</v>
          </cell>
          <cell r="AE493" t="str">
            <v>إعارة</v>
          </cell>
          <cell r="AF493" t="str">
            <v/>
          </cell>
          <cell r="AG493" t="str">
            <v/>
          </cell>
          <cell r="AH493" t="str">
            <v>ثانوية</v>
          </cell>
          <cell r="AI493" t="str">
            <v>شهادة المدرسة الثانوية</v>
          </cell>
          <cell r="AJ493">
            <v>6</v>
          </cell>
          <cell r="AK493">
            <v>3</v>
          </cell>
          <cell r="AL493">
            <v>1</v>
          </cell>
          <cell r="AM493">
            <v>2</v>
          </cell>
          <cell r="AN493" t="str">
            <v/>
          </cell>
          <cell r="AO493" t="str">
            <v>الاذونات وخدمات المحاجر</v>
          </cell>
          <cell r="AP493" t="str">
            <v>Bank Al Bilad</v>
          </cell>
          <cell r="AQ493" t="str">
            <v>SA6115000965110467620005</v>
          </cell>
          <cell r="AR493">
            <v>8105</v>
          </cell>
          <cell r="AS493" t="str">
            <v/>
          </cell>
          <cell r="AT493">
            <v>100</v>
          </cell>
          <cell r="AU493">
            <v>2026.25</v>
          </cell>
          <cell r="AV493" t="str">
            <v/>
          </cell>
        </row>
        <row r="494">
          <cell r="A494">
            <v>400315</v>
          </cell>
          <cell r="B494" t="str">
            <v>1058326057</v>
          </cell>
          <cell r="C494" t="str">
            <v>السيد</v>
          </cell>
          <cell r="D494" t="str">
            <v>Amaar Abdulmajeid Abduallah Ahmad</v>
          </cell>
          <cell r="E494" t="str">
            <v>عمار عبدالمجيد عبدالله احمد</v>
          </cell>
          <cell r="F494" t="str">
            <v>Male</v>
          </cell>
          <cell r="G494" t="str">
            <v>متزوج</v>
          </cell>
          <cell r="H494">
            <v>32484</v>
          </cell>
          <cell r="I494">
            <v>38</v>
          </cell>
          <cell r="J494">
            <v>13706</v>
          </cell>
          <cell r="K494" t="str">
            <v>Ammar.Ahmed@agriserv.sa</v>
          </cell>
          <cell r="L494" t="str">
            <v>0547696894</v>
          </cell>
          <cell r="M494" t="str">
            <v/>
          </cell>
          <cell r="N494" t="str">
            <v>المملكة العربية السعودية</v>
          </cell>
          <cell r="O494" t="str">
            <v>50001166</v>
          </cell>
          <cell r="P494" t="str">
            <v>طبيب بيطري مساعد</v>
          </cell>
          <cell r="Q494" t="str">
            <v>2B الدرجة</v>
          </cell>
          <cell r="R494" t="str">
            <v>Class A</v>
          </cell>
          <cell r="S494" t="str">
            <v>محجر سلوى  (الشرقية)</v>
          </cell>
          <cell r="T494" t="str">
            <v>خدمات المحجر</v>
          </cell>
          <cell r="U494" t="str">
            <v>الاذونات وخدمات المحاجر</v>
          </cell>
          <cell r="V494" t="str">
            <v>العمليات</v>
          </cell>
          <cell r="W494" t="str">
            <v>Ad-Dammam</v>
          </cell>
          <cell r="X494" t="str">
            <v xml:space="preserve">الفرع </v>
          </cell>
          <cell r="Y494">
            <v>45126</v>
          </cell>
          <cell r="Z494">
            <v>2.91</v>
          </cell>
          <cell r="AA494">
            <v>1064</v>
          </cell>
          <cell r="AB494" t="str">
            <v>نشط</v>
          </cell>
          <cell r="AC494" t="str">
            <v>400314</v>
          </cell>
          <cell r="AD494" t="str">
            <v>Mohammad Albatat</v>
          </cell>
          <cell r="AE494" t="str">
            <v>إعارة</v>
          </cell>
          <cell r="AF494" t="str">
            <v/>
          </cell>
          <cell r="AG494" t="str">
            <v/>
          </cell>
          <cell r="AH494" t="str">
            <v>ثانوية</v>
          </cell>
          <cell r="AI494" t="str">
            <v>شهادة المدرسة الثانوية</v>
          </cell>
          <cell r="AJ494">
            <v>5</v>
          </cell>
          <cell r="AK494">
            <v>2</v>
          </cell>
          <cell r="AL494">
            <v>1</v>
          </cell>
          <cell r="AM494">
            <v>2</v>
          </cell>
          <cell r="AN494" t="str">
            <v/>
          </cell>
          <cell r="AO494" t="str">
            <v>الاذونات وخدمات المحاجر</v>
          </cell>
          <cell r="AP494" t="str">
            <v>Saudi National Bank</v>
          </cell>
          <cell r="AQ494" t="str">
            <v>SA3510000005765860000105</v>
          </cell>
          <cell r="AR494">
            <v>5569</v>
          </cell>
          <cell r="AS494" t="str">
            <v/>
          </cell>
          <cell r="AT494">
            <v>156.9</v>
          </cell>
          <cell r="AU494">
            <v>1392.25</v>
          </cell>
          <cell r="AV494" t="str">
            <v/>
          </cell>
        </row>
        <row r="495">
          <cell r="A495">
            <v>400316</v>
          </cell>
          <cell r="B495" t="str">
            <v>1004482731</v>
          </cell>
          <cell r="C495" t="str">
            <v>السيد</v>
          </cell>
          <cell r="D495" t="str">
            <v>HASSAN ABDUALLAH MOHAMMED ALALI</v>
          </cell>
          <cell r="E495" t="str">
            <v>حسن محمد عبدالله العلي</v>
          </cell>
          <cell r="F495" t="str">
            <v>Male</v>
          </cell>
          <cell r="G495" t="str">
            <v/>
          </cell>
          <cell r="H495">
            <v>28579</v>
          </cell>
          <cell r="I495">
            <v>48</v>
          </cell>
          <cell r="J495">
            <v>17611</v>
          </cell>
          <cell r="K495" t="str">
            <v/>
          </cell>
          <cell r="L495" t="str">
            <v/>
          </cell>
          <cell r="M495" t="str">
            <v/>
          </cell>
          <cell r="N495" t="str">
            <v>المملكة العربية السعودية</v>
          </cell>
          <cell r="O495" t="str">
            <v>50001260</v>
          </cell>
          <cell r="P495" t="str">
            <v>موظف دعم إداري</v>
          </cell>
          <cell r="Q495" t="str">
            <v>2A الدرجة</v>
          </cell>
          <cell r="R495" t="str">
            <v/>
          </cell>
          <cell r="S495" t="str">
            <v/>
          </cell>
          <cell r="T495" t="str">
            <v>الخدمات الصحية و الإرشاد ودعم التسويق للثروة الحيوانية</v>
          </cell>
          <cell r="U495" t="str">
            <v>العمليات (المنطقة الشرقية)</v>
          </cell>
          <cell r="V495" t="str">
            <v>العمليات</v>
          </cell>
          <cell r="W495" t="str">
            <v>Ad-Dammam</v>
          </cell>
          <cell r="X495" t="str">
            <v xml:space="preserve">الفرع </v>
          </cell>
          <cell r="Y495">
            <v>45126</v>
          </cell>
          <cell r="Z495">
            <v>2.91</v>
          </cell>
          <cell r="AA495">
            <v>1064</v>
          </cell>
          <cell r="AB495" t="str">
            <v>غير نشط</v>
          </cell>
          <cell r="AC495" t="str">
            <v/>
          </cell>
          <cell r="AD495" t="str">
            <v xml:space="preserve"> </v>
          </cell>
          <cell r="AE495" t="str">
            <v>إعارة</v>
          </cell>
          <cell r="AF495">
            <v>45152</v>
          </cell>
          <cell r="AG495" t="str">
            <v/>
          </cell>
          <cell r="AH495" t="str">
            <v/>
          </cell>
          <cell r="AI495" t="str">
            <v/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 t="str">
            <v/>
          </cell>
          <cell r="AO495" t="str">
            <v>Fisheries Extension &amp; Protection</v>
          </cell>
          <cell r="AP495" t="str">
            <v>Saudi Awwal Bank</v>
          </cell>
          <cell r="AQ495" t="str">
            <v>SA6045000000053077939001</v>
          </cell>
          <cell r="AR495">
            <v>10295</v>
          </cell>
          <cell r="AS495" t="str">
            <v/>
          </cell>
          <cell r="AT495">
            <v>100</v>
          </cell>
          <cell r="AU495">
            <v>2573.75</v>
          </cell>
          <cell r="AV495" t="str">
            <v/>
          </cell>
        </row>
        <row r="496">
          <cell r="A496">
            <v>400317</v>
          </cell>
          <cell r="B496" t="str">
            <v>1083173292</v>
          </cell>
          <cell r="C496" t="str">
            <v>السيد</v>
          </cell>
          <cell r="D496" t="str">
            <v>Abdulrahman Musfer Dakheel Alharthi</v>
          </cell>
          <cell r="E496" t="str">
            <v>عبدالرحمن مسفر دخيل الحارثي</v>
          </cell>
          <cell r="F496" t="str">
            <v>Male</v>
          </cell>
          <cell r="G496" t="str">
            <v/>
          </cell>
          <cell r="H496">
            <v>33599</v>
          </cell>
          <cell r="I496">
            <v>34</v>
          </cell>
          <cell r="J496">
            <v>12591</v>
          </cell>
          <cell r="K496" t="str">
            <v/>
          </cell>
          <cell r="L496" t="str">
            <v/>
          </cell>
          <cell r="M496" t="str">
            <v/>
          </cell>
          <cell r="N496" t="str">
            <v>المملكة العربية السعودية</v>
          </cell>
          <cell r="O496" t="str">
            <v>50001167</v>
          </cell>
          <cell r="P496" t="str">
            <v>طبيب بيطري مساعد</v>
          </cell>
          <cell r="Q496" t="str">
            <v>2B الدرجة</v>
          </cell>
          <cell r="R496" t="str">
            <v/>
          </cell>
          <cell r="S496" t="str">
            <v>الشهادات والمستندات الرسمية للثروة الحيوانية</v>
          </cell>
          <cell r="T496" t="str">
            <v>الخدمات الصحية و الإرشاد ودعم التسويق للثروة الحيوانية</v>
          </cell>
          <cell r="U496" t="str">
            <v>العمليات (المنطقة الشرقية)</v>
          </cell>
          <cell r="V496" t="str">
            <v>العمليات</v>
          </cell>
          <cell r="W496" t="str">
            <v>Ad-Dammam</v>
          </cell>
          <cell r="X496" t="str">
            <v xml:space="preserve">الفرع </v>
          </cell>
          <cell r="Y496">
            <v>45126</v>
          </cell>
          <cell r="Z496">
            <v>2.91</v>
          </cell>
          <cell r="AA496">
            <v>1064</v>
          </cell>
          <cell r="AB496" t="str">
            <v>غير نشط</v>
          </cell>
          <cell r="AC496" t="str">
            <v/>
          </cell>
          <cell r="AD496" t="str">
            <v xml:space="preserve"> </v>
          </cell>
          <cell r="AE496" t="str">
            <v>إعارة</v>
          </cell>
          <cell r="AF496">
            <v>45201</v>
          </cell>
          <cell r="AG496" t="str">
            <v/>
          </cell>
          <cell r="AH496" t="str">
            <v/>
          </cell>
          <cell r="AI496" t="str">
            <v/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 t="str">
            <v/>
          </cell>
          <cell r="AO496" t="str">
            <v>Livestock Extension &amp; Protection</v>
          </cell>
          <cell r="AP496" t="str">
            <v>Al Rajhi Bank</v>
          </cell>
          <cell r="AQ496" t="str">
            <v>SA3280000277608010360242</v>
          </cell>
          <cell r="AR496">
            <v>5559</v>
          </cell>
          <cell r="AS496" t="str">
            <v/>
          </cell>
          <cell r="AT496">
            <v>55.9</v>
          </cell>
          <cell r="AU496">
            <v>1389.75</v>
          </cell>
          <cell r="AV496" t="str">
            <v/>
          </cell>
        </row>
        <row r="497">
          <cell r="A497">
            <v>400318</v>
          </cell>
          <cell r="B497" t="str">
            <v>1068120714</v>
          </cell>
          <cell r="C497" t="str">
            <v>السيد</v>
          </cell>
          <cell r="D497" t="str">
            <v>Abdalrahman Abdullah Abdalaziz Alrabby</v>
          </cell>
          <cell r="E497" t="str">
            <v>عبدالرحمن عبدالله عبدالعزيز الربيع</v>
          </cell>
          <cell r="F497" t="str">
            <v>Male</v>
          </cell>
          <cell r="G497" t="str">
            <v>متزوج</v>
          </cell>
          <cell r="H497">
            <v>33112</v>
          </cell>
          <cell r="I497">
            <v>36</v>
          </cell>
          <cell r="J497">
            <v>13078</v>
          </cell>
          <cell r="K497" t="str">
            <v>Abdalrahman.Alrabby@agriserv.sa</v>
          </cell>
          <cell r="L497" t="str">
            <v>0541300745</v>
          </cell>
          <cell r="M497" t="str">
            <v/>
          </cell>
          <cell r="N497" t="str">
            <v>المملكة العربية السعودية</v>
          </cell>
          <cell r="O497" t="str">
            <v>50001220</v>
          </cell>
          <cell r="P497" t="str">
            <v>طبيب بيطري</v>
          </cell>
          <cell r="Q497" t="str">
            <v>الدرجة 4</v>
          </cell>
          <cell r="R497" t="str">
            <v>Class A</v>
          </cell>
          <cell r="S497" t="str">
            <v>محجر جسر الملك فهد  (الشرقية)</v>
          </cell>
          <cell r="T497" t="str">
            <v>خدمات المحجر</v>
          </cell>
          <cell r="U497" t="str">
            <v>الاذونات وخدمات المحاجر</v>
          </cell>
          <cell r="V497" t="str">
            <v>العمليات</v>
          </cell>
          <cell r="W497" t="str">
            <v>Ad-Dammam</v>
          </cell>
          <cell r="X497" t="str">
            <v xml:space="preserve">الفرع </v>
          </cell>
          <cell r="Y497">
            <v>45126</v>
          </cell>
          <cell r="Z497">
            <v>2.91</v>
          </cell>
          <cell r="AA497">
            <v>1064</v>
          </cell>
          <cell r="AB497" t="str">
            <v>نشط</v>
          </cell>
          <cell r="AC497" t="str">
            <v>400325</v>
          </cell>
          <cell r="AD497" t="str">
            <v>Abdullah Almubarak</v>
          </cell>
          <cell r="AE497" t="str">
            <v>إعارة</v>
          </cell>
          <cell r="AF497" t="str">
            <v/>
          </cell>
          <cell r="AG497" t="str">
            <v/>
          </cell>
          <cell r="AH497" t="str">
            <v>طب بيطري</v>
          </cell>
          <cell r="AI497" t="str">
            <v>بكالوريوس</v>
          </cell>
          <cell r="AJ497">
            <v>6</v>
          </cell>
          <cell r="AK497">
            <v>3</v>
          </cell>
          <cell r="AL497">
            <v>1</v>
          </cell>
          <cell r="AM497">
            <v>2</v>
          </cell>
          <cell r="AN497" t="str">
            <v/>
          </cell>
          <cell r="AO497" t="str">
            <v>الاذونات وخدمات المحاجر</v>
          </cell>
          <cell r="AP497" t="str">
            <v>Saudi Investment Bank</v>
          </cell>
          <cell r="AQ497" t="str">
            <v>SA5565000000132126804001</v>
          </cell>
          <cell r="AR497">
            <v>12565</v>
          </cell>
          <cell r="AS497" t="str">
            <v/>
          </cell>
          <cell r="AT497">
            <v>556.5</v>
          </cell>
          <cell r="AU497">
            <v>3141.25</v>
          </cell>
          <cell r="AV497" t="str">
            <v/>
          </cell>
        </row>
        <row r="498">
          <cell r="A498">
            <v>400319</v>
          </cell>
          <cell r="B498" t="str">
            <v>1000881175</v>
          </cell>
          <cell r="C498" t="str">
            <v>السيد</v>
          </cell>
          <cell r="D498" t="str">
            <v>Hussain Salim Hussain Almohsin</v>
          </cell>
          <cell r="E498" t="str">
            <v>حسين سالم حسين المحسن</v>
          </cell>
          <cell r="F498" t="str">
            <v>Male</v>
          </cell>
          <cell r="G498" t="str">
            <v>متزوج</v>
          </cell>
          <cell r="H498">
            <v>26814</v>
          </cell>
          <cell r="I498">
            <v>53</v>
          </cell>
          <cell r="J498">
            <v>19376</v>
          </cell>
          <cell r="K498" t="str">
            <v>Hussain.AlMohsen@agriserv.sa</v>
          </cell>
          <cell r="L498" t="str">
            <v>0505929468</v>
          </cell>
          <cell r="M498" t="str">
            <v/>
          </cell>
          <cell r="N498" t="str">
            <v>المملكة العربية السعودية</v>
          </cell>
          <cell r="O498" t="str">
            <v>50001168</v>
          </cell>
          <cell r="P498" t="str">
            <v>طبيب بيطري مساعد</v>
          </cell>
          <cell r="Q498" t="str">
            <v>2B الدرجة</v>
          </cell>
          <cell r="R498" t="str">
            <v>Class A</v>
          </cell>
          <cell r="S498" t="str">
            <v>محجر سلوى  (الشرقية)</v>
          </cell>
          <cell r="T498" t="str">
            <v>خدمات المحجر</v>
          </cell>
          <cell r="U498" t="str">
            <v>الاذونات وخدمات المحاجر</v>
          </cell>
          <cell r="V498" t="str">
            <v>العمليات</v>
          </cell>
          <cell r="W498" t="str">
            <v>Ad-Dammam</v>
          </cell>
          <cell r="X498" t="str">
            <v xml:space="preserve">الفرع </v>
          </cell>
          <cell r="Y498">
            <v>45126</v>
          </cell>
          <cell r="Z498">
            <v>2.91</v>
          </cell>
          <cell r="AA498">
            <v>1064</v>
          </cell>
          <cell r="AB498" t="str">
            <v>نشط</v>
          </cell>
          <cell r="AC498" t="str">
            <v>400314</v>
          </cell>
          <cell r="AD498" t="str">
            <v>Mohammad Albatat</v>
          </cell>
          <cell r="AE498" t="str">
            <v>إعارة</v>
          </cell>
          <cell r="AF498" t="str">
            <v/>
          </cell>
          <cell r="AG498" t="str">
            <v/>
          </cell>
          <cell r="AH498" t="str">
            <v>انتاج حيواني</v>
          </cell>
          <cell r="AI498" t="str">
            <v>دبلوم</v>
          </cell>
          <cell r="AJ498">
            <v>8</v>
          </cell>
          <cell r="AK498">
            <v>6</v>
          </cell>
          <cell r="AL498">
            <v>2</v>
          </cell>
          <cell r="AM498">
            <v>0</v>
          </cell>
          <cell r="AN498" t="str">
            <v/>
          </cell>
          <cell r="AO498" t="str">
            <v>الاذونات وخدمات المحاجر</v>
          </cell>
          <cell r="AP498" t="str">
            <v>Banque Saudi Fransi</v>
          </cell>
          <cell r="AQ498" t="str">
            <v>SA5655000000053322800133</v>
          </cell>
          <cell r="AR498">
            <v>12990</v>
          </cell>
          <cell r="AS498" t="str">
            <v/>
          </cell>
          <cell r="AT498">
            <v>100</v>
          </cell>
          <cell r="AU498">
            <v>3247.5</v>
          </cell>
          <cell r="AV498" t="str">
            <v/>
          </cell>
        </row>
        <row r="499">
          <cell r="A499">
            <v>400320</v>
          </cell>
          <cell r="B499" t="str">
            <v>1018521060</v>
          </cell>
          <cell r="C499" t="str">
            <v>السيد</v>
          </cell>
          <cell r="D499" t="str">
            <v>Sadiq Ibrahim Ali Alsheef</v>
          </cell>
          <cell r="E499" t="str">
            <v>صادق ابراهيم على ال شيف</v>
          </cell>
          <cell r="F499" t="str">
            <v>Male</v>
          </cell>
          <cell r="G499" t="str">
            <v>متزوج</v>
          </cell>
          <cell r="H499">
            <v>26700</v>
          </cell>
          <cell r="I499">
            <v>53</v>
          </cell>
          <cell r="J499">
            <v>19490</v>
          </cell>
          <cell r="K499" t="str">
            <v>Sadiq.AlSheif@agriserv.sa</v>
          </cell>
          <cell r="L499" t="str">
            <v>0503867115</v>
          </cell>
          <cell r="M499" t="str">
            <v/>
          </cell>
          <cell r="N499" t="str">
            <v>المملكة العربية السعودية</v>
          </cell>
          <cell r="O499" t="str">
            <v>50001140</v>
          </cell>
          <cell r="P499" t="str">
            <v>مهندس زراعي</v>
          </cell>
          <cell r="Q499" t="str">
            <v>الدرجة 3</v>
          </cell>
          <cell r="R499" t="str">
            <v>Class A</v>
          </cell>
          <cell r="S499" t="str">
            <v>محجر جسر الملك فهد  (الشرقية)</v>
          </cell>
          <cell r="T499" t="str">
            <v>خدمات المحجر</v>
          </cell>
          <cell r="U499" t="str">
            <v>الاذونات وخدمات المحاجر</v>
          </cell>
          <cell r="V499" t="str">
            <v>العمليات</v>
          </cell>
          <cell r="W499" t="str">
            <v>Ad-Dammam</v>
          </cell>
          <cell r="X499" t="str">
            <v xml:space="preserve">الفرع </v>
          </cell>
          <cell r="Y499">
            <v>45126</v>
          </cell>
          <cell r="Z499">
            <v>2.91</v>
          </cell>
          <cell r="AA499">
            <v>1064</v>
          </cell>
          <cell r="AB499" t="str">
            <v>نشط</v>
          </cell>
          <cell r="AC499" t="str">
            <v>400325</v>
          </cell>
          <cell r="AD499" t="str">
            <v>Abdullah Almubarak</v>
          </cell>
          <cell r="AE499" t="str">
            <v>إعارة</v>
          </cell>
          <cell r="AF499" t="str">
            <v/>
          </cell>
          <cell r="AG499" t="str">
            <v/>
          </cell>
          <cell r="AH499" t="str">
            <v>وقاية النبات</v>
          </cell>
          <cell r="AI499" t="str">
            <v>بكالوريوس</v>
          </cell>
          <cell r="AJ499">
            <v>4</v>
          </cell>
          <cell r="AK499">
            <v>3</v>
          </cell>
          <cell r="AL499">
            <v>1</v>
          </cell>
          <cell r="AM499">
            <v>0</v>
          </cell>
          <cell r="AN499" t="str">
            <v/>
          </cell>
          <cell r="AO499" t="str">
            <v>الاذونات وخدمات المحاجر</v>
          </cell>
          <cell r="AP499" t="str">
            <v>Saudi Awwal Bank</v>
          </cell>
          <cell r="AQ499" t="str">
            <v>SA4445000000064242183001</v>
          </cell>
          <cell r="AR499">
            <v>17415</v>
          </cell>
          <cell r="AS499" t="str">
            <v/>
          </cell>
          <cell r="AT499">
            <v>1041.5</v>
          </cell>
          <cell r="AU499">
            <v>4353.75</v>
          </cell>
          <cell r="AV499" t="str">
            <v/>
          </cell>
        </row>
        <row r="500">
          <cell r="A500">
            <v>400321</v>
          </cell>
          <cell r="B500" t="str">
            <v>1045785951</v>
          </cell>
          <cell r="C500" t="str">
            <v>السيد</v>
          </cell>
          <cell r="D500" t="str">
            <v>Jawad Ahmad Taher Almakki</v>
          </cell>
          <cell r="E500" t="str">
            <v>جواد احمد طاهر المكي</v>
          </cell>
          <cell r="F500" t="str">
            <v>Male</v>
          </cell>
          <cell r="G500" t="str">
            <v>متزوج</v>
          </cell>
          <cell r="H500">
            <v>28078</v>
          </cell>
          <cell r="I500">
            <v>50</v>
          </cell>
          <cell r="J500">
            <v>18112</v>
          </cell>
          <cell r="K500" t="str">
            <v>Jawad.AlMakki@agriserv.sa</v>
          </cell>
          <cell r="L500" t="str">
            <v>0504848999</v>
          </cell>
          <cell r="M500" t="str">
            <v/>
          </cell>
          <cell r="N500" t="str">
            <v>المملكة العربية السعودية</v>
          </cell>
          <cell r="O500" t="str">
            <v>50001221</v>
          </cell>
          <cell r="P500" t="str">
            <v>طبيب بيطري</v>
          </cell>
          <cell r="Q500" t="str">
            <v>الدرجة 4</v>
          </cell>
          <cell r="R500" t="str">
            <v>Class A</v>
          </cell>
          <cell r="S500" t="str">
            <v>محجر جسر الملك فهد  (الشرقية)</v>
          </cell>
          <cell r="T500" t="str">
            <v>خدمات المحجر</v>
          </cell>
          <cell r="U500" t="str">
            <v>الاذونات وخدمات المحاجر</v>
          </cell>
          <cell r="V500" t="str">
            <v>العمليات</v>
          </cell>
          <cell r="W500" t="str">
            <v>Ad-Dammam</v>
          </cell>
          <cell r="X500" t="str">
            <v xml:space="preserve">الفرع </v>
          </cell>
          <cell r="Y500">
            <v>45126</v>
          </cell>
          <cell r="Z500">
            <v>2.91</v>
          </cell>
          <cell r="AA500">
            <v>1064</v>
          </cell>
          <cell r="AB500" t="str">
            <v>نشط</v>
          </cell>
          <cell r="AC500" t="str">
            <v>400325</v>
          </cell>
          <cell r="AD500" t="str">
            <v>Abdullah Almubarak</v>
          </cell>
          <cell r="AE500" t="str">
            <v>إعارة</v>
          </cell>
          <cell r="AF500" t="str">
            <v/>
          </cell>
          <cell r="AG500" t="str">
            <v/>
          </cell>
          <cell r="AH500" t="str">
            <v>طب بيطري</v>
          </cell>
          <cell r="AI500" t="str">
            <v>بكالوريوس</v>
          </cell>
          <cell r="AJ500">
            <v>4</v>
          </cell>
          <cell r="AK500">
            <v>1</v>
          </cell>
          <cell r="AL500">
            <v>1</v>
          </cell>
          <cell r="AM500">
            <v>2</v>
          </cell>
          <cell r="AN500" t="str">
            <v/>
          </cell>
          <cell r="AO500" t="str">
            <v>الاذونات وخدمات المحاجر</v>
          </cell>
          <cell r="AP500" t="str">
            <v>Bank Al Jazirah</v>
          </cell>
          <cell r="AQ500" t="str">
            <v>SA2160000000830613313053</v>
          </cell>
          <cell r="AR500">
            <v>15855</v>
          </cell>
          <cell r="AS500" t="str">
            <v/>
          </cell>
          <cell r="AT500">
            <v>885.5</v>
          </cell>
          <cell r="AU500">
            <v>3963.75</v>
          </cell>
          <cell r="AV500" t="str">
            <v/>
          </cell>
        </row>
        <row r="501">
          <cell r="A501">
            <v>400322</v>
          </cell>
          <cell r="B501" t="str">
            <v>1043777554</v>
          </cell>
          <cell r="C501" t="str">
            <v>السيد</v>
          </cell>
          <cell r="D501" t="str">
            <v>Ali Atiah Ahmad Alamri</v>
          </cell>
          <cell r="E501" t="str">
            <v>علي عطيه احمد العمري</v>
          </cell>
          <cell r="F501" t="str">
            <v>Male</v>
          </cell>
          <cell r="G501" t="str">
            <v>متزوج</v>
          </cell>
          <cell r="H501">
            <v>30144</v>
          </cell>
          <cell r="I501">
            <v>44</v>
          </cell>
          <cell r="J501">
            <v>16046</v>
          </cell>
          <cell r="K501" t="str">
            <v>Ali.AlAmri@agriserv.sa</v>
          </cell>
          <cell r="L501" t="str">
            <v>0506829408</v>
          </cell>
          <cell r="M501" t="str">
            <v/>
          </cell>
          <cell r="N501" t="str">
            <v>المملكة العربية السعودية</v>
          </cell>
          <cell r="O501" t="str">
            <v>50001169</v>
          </cell>
          <cell r="P501" t="str">
            <v>طبيب بيطري مساعد</v>
          </cell>
          <cell r="Q501" t="str">
            <v>2B الدرجة</v>
          </cell>
          <cell r="R501" t="str">
            <v>Class A</v>
          </cell>
          <cell r="S501" t="str">
            <v>محجر جسر الملك فهد  (الشرقية)</v>
          </cell>
          <cell r="T501" t="str">
            <v>خدمات المحجر</v>
          </cell>
          <cell r="U501" t="str">
            <v>الاذونات وخدمات المحاجر</v>
          </cell>
          <cell r="V501" t="str">
            <v>العمليات</v>
          </cell>
          <cell r="W501" t="str">
            <v>Ad-Dammam</v>
          </cell>
          <cell r="X501" t="str">
            <v xml:space="preserve">الفرع </v>
          </cell>
          <cell r="Y501">
            <v>45126</v>
          </cell>
          <cell r="Z501">
            <v>2.91</v>
          </cell>
          <cell r="AA501">
            <v>1064</v>
          </cell>
          <cell r="AB501" t="str">
            <v>نشط</v>
          </cell>
          <cell r="AC501" t="str">
            <v>400325</v>
          </cell>
          <cell r="AD501" t="str">
            <v>Abdullah Almubarak</v>
          </cell>
          <cell r="AE501" t="str">
            <v>إعارة</v>
          </cell>
          <cell r="AF501" t="str">
            <v/>
          </cell>
          <cell r="AG501" t="str">
            <v/>
          </cell>
          <cell r="AH501" t="str">
            <v>ثانوية</v>
          </cell>
          <cell r="AI501" t="str">
            <v>شهادة المدرسة الثانوية</v>
          </cell>
          <cell r="AJ501">
            <v>5</v>
          </cell>
          <cell r="AK501">
            <v>3</v>
          </cell>
          <cell r="AL501">
            <v>1</v>
          </cell>
          <cell r="AM501">
            <v>1</v>
          </cell>
          <cell r="AN501" t="str">
            <v/>
          </cell>
          <cell r="AO501" t="str">
            <v>الاذونات وخدمات المحاجر</v>
          </cell>
          <cell r="AP501" t="str">
            <v>Riyad Bank</v>
          </cell>
          <cell r="AQ501" t="str">
            <v>SA6020000003430218219940</v>
          </cell>
          <cell r="AR501">
            <v>12575</v>
          </cell>
          <cell r="AS501" t="str">
            <v/>
          </cell>
          <cell r="AT501">
            <v>100</v>
          </cell>
          <cell r="AU501">
            <v>3143.75</v>
          </cell>
          <cell r="AV501" t="str">
            <v/>
          </cell>
        </row>
        <row r="502">
          <cell r="A502">
            <v>400323</v>
          </cell>
          <cell r="B502" t="str">
            <v>1021814866</v>
          </cell>
          <cell r="C502" t="str">
            <v>السيد</v>
          </cell>
          <cell r="D502" t="str">
            <v>Hasan Ibrahim Abdullah Alhumaid</v>
          </cell>
          <cell r="E502" t="str">
            <v>حسن ابراهيم عبداللة الحميد</v>
          </cell>
          <cell r="F502" t="str">
            <v>Male</v>
          </cell>
          <cell r="G502" t="str">
            <v>متزوج</v>
          </cell>
          <cell r="H502">
            <v>29196</v>
          </cell>
          <cell r="I502">
            <v>47</v>
          </cell>
          <cell r="J502">
            <v>16994</v>
          </cell>
          <cell r="K502" t="str">
            <v>Hassan.AlHamid@agriserv.sa</v>
          </cell>
          <cell r="L502" t="str">
            <v>0542370061</v>
          </cell>
          <cell r="M502" t="str">
            <v/>
          </cell>
          <cell r="N502" t="str">
            <v>المملكة العربية السعودية</v>
          </cell>
          <cell r="O502" t="str">
            <v>50001222</v>
          </cell>
          <cell r="P502" t="str">
            <v>طبيب بيطري</v>
          </cell>
          <cell r="Q502" t="str">
            <v>الدرجة 4</v>
          </cell>
          <cell r="R502" t="str">
            <v>Class A</v>
          </cell>
          <cell r="S502" t="str">
            <v>محجر جسر الملك فهد  (الشرقية)</v>
          </cell>
          <cell r="T502" t="str">
            <v>خدمات المحجر</v>
          </cell>
          <cell r="U502" t="str">
            <v>الاذونات وخدمات المحاجر</v>
          </cell>
          <cell r="V502" t="str">
            <v>العمليات</v>
          </cell>
          <cell r="W502" t="str">
            <v>Ad-Dammam</v>
          </cell>
          <cell r="X502" t="str">
            <v xml:space="preserve">الفرع </v>
          </cell>
          <cell r="Y502">
            <v>45126</v>
          </cell>
          <cell r="Z502">
            <v>2.91</v>
          </cell>
          <cell r="AA502">
            <v>1064</v>
          </cell>
          <cell r="AB502" t="str">
            <v>غير نشط</v>
          </cell>
          <cell r="AC502" t="str">
            <v>400325</v>
          </cell>
          <cell r="AD502" t="str">
            <v>Abdullah Almubarak</v>
          </cell>
          <cell r="AE502" t="str">
            <v>إعارة</v>
          </cell>
          <cell r="AF502">
            <v>45734</v>
          </cell>
          <cell r="AG502" t="str">
            <v/>
          </cell>
          <cell r="AH502" t="str">
            <v>طب بيطري</v>
          </cell>
          <cell r="AI502" t="str">
            <v>بكالوريوس</v>
          </cell>
          <cell r="AJ502">
            <v>5</v>
          </cell>
          <cell r="AK502">
            <v>4</v>
          </cell>
          <cell r="AL502">
            <v>1</v>
          </cell>
          <cell r="AM502">
            <v>0</v>
          </cell>
          <cell r="AN502" t="str">
            <v/>
          </cell>
          <cell r="AO502" t="str">
            <v>Livestock Extension &amp; Protection</v>
          </cell>
          <cell r="AP502" t="str">
            <v>Banque Saudi Fransi</v>
          </cell>
          <cell r="AQ502" t="str">
            <v>SA82550000000E7872900136</v>
          </cell>
          <cell r="AR502">
            <v>16905</v>
          </cell>
          <cell r="AS502" t="str">
            <v/>
          </cell>
          <cell r="AT502">
            <v>990.5</v>
          </cell>
          <cell r="AU502">
            <v>4226.25</v>
          </cell>
          <cell r="AV502" t="str">
            <v/>
          </cell>
        </row>
        <row r="503">
          <cell r="A503">
            <v>400324</v>
          </cell>
          <cell r="B503" t="str">
            <v>1033079177</v>
          </cell>
          <cell r="C503" t="str">
            <v>السيد</v>
          </cell>
          <cell r="D503" t="str">
            <v>Mahmood Mohammad Hasan Alzayer</v>
          </cell>
          <cell r="E503" t="str">
            <v>محمود محمد حسن الزاير</v>
          </cell>
          <cell r="F503" t="str">
            <v>Male</v>
          </cell>
          <cell r="G503" t="str">
            <v>متزوج</v>
          </cell>
          <cell r="H503">
            <v>29231</v>
          </cell>
          <cell r="I503">
            <v>46</v>
          </cell>
          <cell r="J503">
            <v>16959</v>
          </cell>
          <cell r="K503" t="str">
            <v>Mahmoud.AlZayer@agriserv.sa</v>
          </cell>
          <cell r="L503" t="str">
            <v>0544622625</v>
          </cell>
          <cell r="M503" t="str">
            <v/>
          </cell>
          <cell r="N503" t="str">
            <v>المملكة العربية السعودية</v>
          </cell>
          <cell r="O503" t="str">
            <v>50001223</v>
          </cell>
          <cell r="P503" t="str">
            <v>طبيب بيطري</v>
          </cell>
          <cell r="Q503" t="str">
            <v>الدرجة 4</v>
          </cell>
          <cell r="R503" t="str">
            <v>Class A</v>
          </cell>
          <cell r="S503" t="str">
            <v>محجر جسر الملك فهد  (الشرقية)</v>
          </cell>
          <cell r="T503" t="str">
            <v>خدمات المحجر</v>
          </cell>
          <cell r="U503" t="str">
            <v>الاذونات وخدمات المحاجر</v>
          </cell>
          <cell r="V503" t="str">
            <v>العمليات</v>
          </cell>
          <cell r="W503" t="str">
            <v>Ad-Dammam</v>
          </cell>
          <cell r="X503" t="str">
            <v xml:space="preserve">الفرع </v>
          </cell>
          <cell r="Y503">
            <v>45126</v>
          </cell>
          <cell r="Z503">
            <v>2.91</v>
          </cell>
          <cell r="AA503">
            <v>1064</v>
          </cell>
          <cell r="AB503" t="str">
            <v>غير نشط</v>
          </cell>
          <cell r="AC503" t="str">
            <v>400325</v>
          </cell>
          <cell r="AD503" t="str">
            <v>Abdullah Almubarak</v>
          </cell>
          <cell r="AE503" t="str">
            <v>إعارة</v>
          </cell>
          <cell r="AF503">
            <v>45918</v>
          </cell>
          <cell r="AG503" t="str">
            <v/>
          </cell>
          <cell r="AH503" t="str">
            <v>طب بيطري</v>
          </cell>
          <cell r="AI503" t="str">
            <v>بكالوريوس</v>
          </cell>
          <cell r="AJ503">
            <v>6</v>
          </cell>
          <cell r="AK503">
            <v>4</v>
          </cell>
          <cell r="AL503">
            <v>1</v>
          </cell>
          <cell r="AM503">
            <v>1</v>
          </cell>
          <cell r="AN503" t="str">
            <v/>
          </cell>
          <cell r="AO503" t="str">
            <v>Livestock Extension &amp; Protection</v>
          </cell>
          <cell r="AP503" t="str">
            <v>Bank Al Jazirah</v>
          </cell>
          <cell r="AQ503" t="str">
            <v>SA8560000000830167482053</v>
          </cell>
          <cell r="AR503">
            <v>13820</v>
          </cell>
          <cell r="AS503" t="str">
            <v/>
          </cell>
          <cell r="AT503">
            <v>682</v>
          </cell>
          <cell r="AU503">
            <v>3455</v>
          </cell>
          <cell r="AV503" t="str">
            <v/>
          </cell>
        </row>
        <row r="504">
          <cell r="A504">
            <v>400325</v>
          </cell>
          <cell r="B504" t="str">
            <v>1052191713</v>
          </cell>
          <cell r="C504" t="str">
            <v>السيد</v>
          </cell>
          <cell r="D504" t="str">
            <v>Abdullah Ibramim Muhammad Almubarak</v>
          </cell>
          <cell r="E504" t="str">
            <v>عبدالله ابراهيم محمد المبارك</v>
          </cell>
          <cell r="F504" t="str">
            <v>Male</v>
          </cell>
          <cell r="G504" t="str">
            <v>متزوج</v>
          </cell>
          <cell r="H504">
            <v>31672</v>
          </cell>
          <cell r="I504">
            <v>40</v>
          </cell>
          <cell r="J504">
            <v>14518</v>
          </cell>
          <cell r="K504" t="str">
            <v>Abdullah.Almubarak@agriserv.sa</v>
          </cell>
          <cell r="L504" t="str">
            <v>0548945665</v>
          </cell>
          <cell r="M504" t="str">
            <v/>
          </cell>
          <cell r="N504" t="str">
            <v>المملكة العربية السعودية</v>
          </cell>
          <cell r="O504" t="str">
            <v>50001170</v>
          </cell>
          <cell r="P504" t="str">
            <v>طبيب بيطري مساعد</v>
          </cell>
          <cell r="Q504" t="str">
            <v>2B الدرجة</v>
          </cell>
          <cell r="R504" t="str">
            <v>Class A</v>
          </cell>
          <cell r="S504" t="str">
            <v>محجر جسر الملك فهد  (الشرقية)</v>
          </cell>
          <cell r="T504" t="str">
            <v>خدمات المحجر</v>
          </cell>
          <cell r="U504" t="str">
            <v>الاذونات وخدمات المحاجر</v>
          </cell>
          <cell r="V504" t="str">
            <v>العمليات</v>
          </cell>
          <cell r="W504" t="str">
            <v>Ad-Dammam</v>
          </cell>
          <cell r="X504" t="str">
            <v xml:space="preserve">الفرع </v>
          </cell>
          <cell r="Y504">
            <v>45126</v>
          </cell>
          <cell r="Z504">
            <v>2.91</v>
          </cell>
          <cell r="AA504">
            <v>1064</v>
          </cell>
          <cell r="AB504" t="str">
            <v>نشط</v>
          </cell>
          <cell r="AC504" t="str">
            <v>100135</v>
          </cell>
          <cell r="AD504" t="str">
            <v>Abdulrahman Alzahrani</v>
          </cell>
          <cell r="AE504" t="str">
            <v>إعارة</v>
          </cell>
          <cell r="AF504" t="str">
            <v/>
          </cell>
          <cell r="AG504" t="str">
            <v/>
          </cell>
          <cell r="AH504" t="str">
            <v>طب بيطري</v>
          </cell>
          <cell r="AI504" t="str">
            <v>دبلوم</v>
          </cell>
          <cell r="AJ504">
            <v>5</v>
          </cell>
          <cell r="AK504">
            <v>4</v>
          </cell>
          <cell r="AL504">
            <v>1</v>
          </cell>
          <cell r="AM504">
            <v>0</v>
          </cell>
          <cell r="AN504" t="str">
            <v/>
          </cell>
          <cell r="AO504" t="str">
            <v>الاذونات وخدمات المحاجر</v>
          </cell>
          <cell r="AP504" t="str">
            <v>Al Rajhi Bank</v>
          </cell>
          <cell r="AQ504" t="str">
            <v>SA6180000562608010032548</v>
          </cell>
          <cell r="AR504">
            <v>9930</v>
          </cell>
          <cell r="AS504" t="str">
            <v/>
          </cell>
          <cell r="AT504">
            <v>100</v>
          </cell>
          <cell r="AU504">
            <v>2482.5</v>
          </cell>
          <cell r="AV504" t="str">
            <v/>
          </cell>
        </row>
        <row r="505">
          <cell r="A505">
            <v>400326</v>
          </cell>
          <cell r="B505" t="str">
            <v>1045767082</v>
          </cell>
          <cell r="C505" t="str">
            <v>السيد</v>
          </cell>
          <cell r="D505" t="str">
            <v>ABDULLAH RAKHEES GHAEB Alshaibani</v>
          </cell>
          <cell r="E505" t="str">
            <v>عبدالله غائب رخيص الشيباني</v>
          </cell>
          <cell r="F505" t="str">
            <v>Male</v>
          </cell>
          <cell r="G505" t="str">
            <v/>
          </cell>
          <cell r="H505">
            <v>25814</v>
          </cell>
          <cell r="I505">
            <v>56</v>
          </cell>
          <cell r="J505">
            <v>20376</v>
          </cell>
          <cell r="K505" t="str">
            <v/>
          </cell>
          <cell r="L505" t="str">
            <v/>
          </cell>
          <cell r="M505" t="str">
            <v/>
          </cell>
          <cell r="N505" t="str">
            <v>المملكة العربية السعودية</v>
          </cell>
          <cell r="O505" t="str">
            <v>50001261</v>
          </cell>
          <cell r="P505" t="str">
            <v>موظف دعم إداري</v>
          </cell>
          <cell r="Q505" t="str">
            <v>2A الدرجة</v>
          </cell>
          <cell r="R505" t="str">
            <v/>
          </cell>
          <cell r="S505" t="str">
            <v/>
          </cell>
          <cell r="T505" t="str">
            <v>الخدمات الصحية و الإرشاد ودعم التسويق للثروة الحيوانية</v>
          </cell>
          <cell r="U505" t="str">
            <v>العمليات (المنطقة الشرقية)</v>
          </cell>
          <cell r="V505" t="str">
            <v>العمليات</v>
          </cell>
          <cell r="W505" t="str">
            <v>Ad-Dammam</v>
          </cell>
          <cell r="X505" t="str">
            <v xml:space="preserve">الفرع </v>
          </cell>
          <cell r="Y505">
            <v>45126</v>
          </cell>
          <cell r="Z505">
            <v>2.91</v>
          </cell>
          <cell r="AA505">
            <v>1064</v>
          </cell>
          <cell r="AB505" t="str">
            <v>غير نشط</v>
          </cell>
          <cell r="AC505" t="str">
            <v/>
          </cell>
          <cell r="AD505" t="str">
            <v xml:space="preserve"> </v>
          </cell>
          <cell r="AE505" t="str">
            <v>إعارة</v>
          </cell>
          <cell r="AF505">
            <v>45126</v>
          </cell>
          <cell r="AG505" t="str">
            <v/>
          </cell>
          <cell r="AH505" t="str">
            <v/>
          </cell>
          <cell r="AI505" t="str">
            <v/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 t="str">
            <v/>
          </cell>
          <cell r="AO505" t="str">
            <v>Fisheries Extension &amp; Protection</v>
          </cell>
          <cell r="AP505" t="str">
            <v>Saudi Awwal Bank</v>
          </cell>
          <cell r="AQ505" t="str">
            <v>SA4845000000801278755001</v>
          </cell>
          <cell r="AR505">
            <v>13505</v>
          </cell>
          <cell r="AS505" t="str">
            <v/>
          </cell>
          <cell r="AT505">
            <v>100</v>
          </cell>
          <cell r="AU505">
            <v>3376.25</v>
          </cell>
          <cell r="AV505" t="str">
            <v/>
          </cell>
        </row>
        <row r="506">
          <cell r="A506">
            <v>400327</v>
          </cell>
          <cell r="B506" t="str">
            <v>1002263521</v>
          </cell>
          <cell r="C506" t="str">
            <v>السيد</v>
          </cell>
          <cell r="D506" t="str">
            <v>Mohammed Jafer Mohammed Alkadhem</v>
          </cell>
          <cell r="E506" t="str">
            <v>محمد جعفر محمد الكاظم</v>
          </cell>
          <cell r="F506" t="str">
            <v>Male</v>
          </cell>
          <cell r="G506" t="str">
            <v>متزوج</v>
          </cell>
          <cell r="H506">
            <v>29051</v>
          </cell>
          <cell r="I506">
            <v>47</v>
          </cell>
          <cell r="J506">
            <v>17139</v>
          </cell>
          <cell r="K506" t="str">
            <v>Mohammad.AlKathem@agriserv.sa</v>
          </cell>
          <cell r="L506" t="str">
            <v>0500569877</v>
          </cell>
          <cell r="M506" t="str">
            <v/>
          </cell>
          <cell r="N506" t="str">
            <v>المملكة العربية السعودية</v>
          </cell>
          <cell r="O506" t="str">
            <v>50001224</v>
          </cell>
          <cell r="P506" t="str">
            <v>طبيب بيطري</v>
          </cell>
          <cell r="Q506" t="str">
            <v>الدرجة 4</v>
          </cell>
          <cell r="R506" t="str">
            <v>Class A</v>
          </cell>
          <cell r="S506" t="str">
            <v>محجر سلوى  (الشرقية)</v>
          </cell>
          <cell r="T506" t="str">
            <v>خدمات المحجر</v>
          </cell>
          <cell r="U506" t="str">
            <v>الاذونات وخدمات المحاجر</v>
          </cell>
          <cell r="V506" t="str">
            <v>العمليات</v>
          </cell>
          <cell r="W506" t="str">
            <v>Ad-Dammam</v>
          </cell>
          <cell r="X506" t="str">
            <v xml:space="preserve">الفرع </v>
          </cell>
          <cell r="Y506">
            <v>45126</v>
          </cell>
          <cell r="Z506">
            <v>2.91</v>
          </cell>
          <cell r="AA506">
            <v>1064</v>
          </cell>
          <cell r="AB506" t="str">
            <v>نشط</v>
          </cell>
          <cell r="AC506" t="str">
            <v>400314</v>
          </cell>
          <cell r="AD506" t="str">
            <v>Mohammad Albatat</v>
          </cell>
          <cell r="AE506" t="str">
            <v>إعارة</v>
          </cell>
          <cell r="AF506" t="str">
            <v/>
          </cell>
          <cell r="AG506" t="str">
            <v/>
          </cell>
          <cell r="AH506" t="str">
            <v>طب بيطري</v>
          </cell>
          <cell r="AI506" t="str">
            <v>بكالوريوس</v>
          </cell>
          <cell r="AJ506">
            <v>5</v>
          </cell>
          <cell r="AK506">
            <v>3</v>
          </cell>
          <cell r="AL506">
            <v>1</v>
          </cell>
          <cell r="AM506">
            <v>1</v>
          </cell>
          <cell r="AN506" t="str">
            <v/>
          </cell>
          <cell r="AO506" t="str">
            <v>الاذونات وخدمات المحاجر</v>
          </cell>
          <cell r="AP506" t="str">
            <v>Saudi National Bank</v>
          </cell>
          <cell r="AQ506" t="str">
            <v>SA3910000008953378000103</v>
          </cell>
          <cell r="AR506">
            <v>17415</v>
          </cell>
          <cell r="AS506" t="str">
            <v/>
          </cell>
          <cell r="AT506">
            <v>1041.5</v>
          </cell>
          <cell r="AU506">
            <v>4353.75</v>
          </cell>
          <cell r="AV506" t="str">
            <v/>
          </cell>
        </row>
        <row r="507">
          <cell r="A507">
            <v>400328</v>
          </cell>
          <cell r="B507" t="str">
            <v>1056784109</v>
          </cell>
          <cell r="C507" t="str">
            <v>السيد</v>
          </cell>
          <cell r="D507" t="str">
            <v>Mutlaq Omar Mutlaq Alshamarei</v>
          </cell>
          <cell r="E507" t="str">
            <v>مطلق عمر مطلق الشمري</v>
          </cell>
          <cell r="F507" t="str">
            <v>Male</v>
          </cell>
          <cell r="G507" t="str">
            <v>متزوج</v>
          </cell>
          <cell r="H507">
            <v>32105</v>
          </cell>
          <cell r="I507">
            <v>39</v>
          </cell>
          <cell r="J507">
            <v>14085</v>
          </cell>
          <cell r="K507" t="str">
            <v>MutlaqO.Alshamri@agriserv.sa</v>
          </cell>
          <cell r="L507" t="str">
            <v>0503341995</v>
          </cell>
          <cell r="M507" t="str">
            <v/>
          </cell>
          <cell r="N507" t="str">
            <v>المملكة العربية السعودية</v>
          </cell>
          <cell r="O507" t="str">
            <v>50001171</v>
          </cell>
          <cell r="P507" t="str">
            <v>طبيب بيطري مساعد</v>
          </cell>
          <cell r="Q507" t="str">
            <v>2B الدرجة</v>
          </cell>
          <cell r="R507" t="str">
            <v>Class A</v>
          </cell>
          <cell r="S507" t="str">
            <v>محجر الرقعي  (الشرقية)</v>
          </cell>
          <cell r="T507" t="str">
            <v>خدمات المحجر</v>
          </cell>
          <cell r="U507" t="str">
            <v>الاذونات وخدمات المحاجر</v>
          </cell>
          <cell r="V507" t="str">
            <v>العمليات</v>
          </cell>
          <cell r="W507" t="str">
            <v>Ad-Dammam</v>
          </cell>
          <cell r="X507" t="str">
            <v xml:space="preserve">الفرع </v>
          </cell>
          <cell r="Y507">
            <v>45126</v>
          </cell>
          <cell r="Z507">
            <v>2.91</v>
          </cell>
          <cell r="AA507">
            <v>1064</v>
          </cell>
          <cell r="AB507" t="str">
            <v>نشط</v>
          </cell>
          <cell r="AC507" t="str">
            <v>400266</v>
          </cell>
          <cell r="AD507" t="str">
            <v>Faisel Almutairii</v>
          </cell>
          <cell r="AE507" t="str">
            <v>إعارة</v>
          </cell>
          <cell r="AF507" t="str">
            <v/>
          </cell>
          <cell r="AG507" t="str">
            <v/>
          </cell>
          <cell r="AH507" t="str">
            <v>طب بيطري</v>
          </cell>
          <cell r="AI507" t="str">
            <v>دبلوم</v>
          </cell>
          <cell r="AJ507">
            <v>7</v>
          </cell>
          <cell r="AK507">
            <v>6</v>
          </cell>
          <cell r="AL507">
            <v>1</v>
          </cell>
          <cell r="AM507">
            <v>0</v>
          </cell>
          <cell r="AN507" t="str">
            <v/>
          </cell>
          <cell r="AO507" t="str">
            <v>الاذونات وخدمات المحاجر</v>
          </cell>
          <cell r="AP507" t="str">
            <v>Al Rajhi Bank</v>
          </cell>
          <cell r="AQ507" t="str">
            <v>SA3680000277608010213797</v>
          </cell>
          <cell r="AR507">
            <v>9565</v>
          </cell>
          <cell r="AS507" t="str">
            <v/>
          </cell>
          <cell r="AT507">
            <v>100</v>
          </cell>
          <cell r="AU507">
            <v>2391.25</v>
          </cell>
          <cell r="AV507" t="str">
            <v/>
          </cell>
        </row>
        <row r="508">
          <cell r="A508">
            <v>400329</v>
          </cell>
          <cell r="B508" t="str">
            <v>1093343562</v>
          </cell>
          <cell r="C508" t="str">
            <v>السيد</v>
          </cell>
          <cell r="D508" t="str">
            <v>MOHAMMED AHMED ABDULLAH BUJUBARAH</v>
          </cell>
          <cell r="E508" t="str">
            <v>محمد عبدالله احمد بوجباره</v>
          </cell>
          <cell r="F508" t="str">
            <v>Male</v>
          </cell>
          <cell r="G508" t="str">
            <v/>
          </cell>
          <cell r="H508">
            <v>35404</v>
          </cell>
          <cell r="I508">
            <v>30</v>
          </cell>
          <cell r="J508">
            <v>10786</v>
          </cell>
          <cell r="K508" t="str">
            <v/>
          </cell>
          <cell r="L508" t="str">
            <v/>
          </cell>
          <cell r="M508" t="str">
            <v/>
          </cell>
          <cell r="N508" t="str">
            <v>المملكة العربية السعودية</v>
          </cell>
          <cell r="O508" t="str">
            <v>50001172</v>
          </cell>
          <cell r="P508" t="str">
            <v>طبيب بيطري مساعد</v>
          </cell>
          <cell r="Q508" t="str">
            <v>2B الدرجة</v>
          </cell>
          <cell r="R508" t="str">
            <v/>
          </cell>
          <cell r="S508" t="str">
            <v>الشهادات والمستندات الرسمية للثروة الحيوانية</v>
          </cell>
          <cell r="T508" t="str">
            <v>الخدمات الصحية و الإرشاد ودعم التسويق للثروة الحيوانية</v>
          </cell>
          <cell r="U508" t="str">
            <v>العمليات (المنطقة الشرقية)</v>
          </cell>
          <cell r="V508" t="str">
            <v>العمليات</v>
          </cell>
          <cell r="W508" t="str">
            <v>Ad-Dammam</v>
          </cell>
          <cell r="X508" t="str">
            <v xml:space="preserve">الفرع </v>
          </cell>
          <cell r="Y508">
            <v>45126</v>
          </cell>
          <cell r="Z508">
            <v>2.91</v>
          </cell>
          <cell r="AA508">
            <v>1064</v>
          </cell>
          <cell r="AB508" t="str">
            <v>غير نشط</v>
          </cell>
          <cell r="AC508" t="str">
            <v/>
          </cell>
          <cell r="AD508" t="str">
            <v xml:space="preserve"> </v>
          </cell>
          <cell r="AE508" t="str">
            <v>إعارة</v>
          </cell>
          <cell r="AF508">
            <v>45152</v>
          </cell>
          <cell r="AG508" t="str">
            <v/>
          </cell>
          <cell r="AH508" t="str">
            <v/>
          </cell>
          <cell r="AI508" t="str">
            <v/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 t="str">
            <v/>
          </cell>
          <cell r="AO508" t="str">
            <v>Livestock Extension &amp; Protection</v>
          </cell>
          <cell r="AP508" t="str">
            <v>Riyad Bank</v>
          </cell>
          <cell r="AQ508" t="str">
            <v>SA8520000003361630959940</v>
          </cell>
          <cell r="AR508">
            <v>6035</v>
          </cell>
          <cell r="AS508" t="str">
            <v/>
          </cell>
          <cell r="AT508">
            <v>103.5</v>
          </cell>
          <cell r="AU508">
            <v>1508.75</v>
          </cell>
          <cell r="AV508" t="str">
            <v/>
          </cell>
        </row>
        <row r="509">
          <cell r="A509">
            <v>400330</v>
          </cell>
          <cell r="B509" t="str">
            <v>1046749352</v>
          </cell>
          <cell r="C509" t="str">
            <v>السيد</v>
          </cell>
          <cell r="D509" t="str">
            <v>Hussain Ali Jawad Alatiah</v>
          </cell>
          <cell r="E509" t="str">
            <v>حسين علي جواد العطيه</v>
          </cell>
          <cell r="F509" t="str">
            <v>Male</v>
          </cell>
          <cell r="G509" t="str">
            <v>متزوج</v>
          </cell>
          <cell r="H509">
            <v>31960</v>
          </cell>
          <cell r="I509">
            <v>39</v>
          </cell>
          <cell r="J509">
            <v>14230</v>
          </cell>
          <cell r="K509" t="str">
            <v>Hussain.AlAtiah@agriserv.sa</v>
          </cell>
          <cell r="L509" t="str">
            <v>0502643428</v>
          </cell>
          <cell r="M509" t="str">
            <v/>
          </cell>
          <cell r="N509" t="str">
            <v>المملكة العربية السعودية</v>
          </cell>
          <cell r="O509" t="str">
            <v>50001173</v>
          </cell>
          <cell r="P509" t="str">
            <v>طبيب بيطري مساعد</v>
          </cell>
          <cell r="Q509" t="str">
            <v>2B الدرجة</v>
          </cell>
          <cell r="R509" t="str">
            <v>Class A</v>
          </cell>
          <cell r="S509" t="str">
            <v>محجر الرقعي  (الشرقية)</v>
          </cell>
          <cell r="T509" t="str">
            <v>خدمات المحجر</v>
          </cell>
          <cell r="U509" t="str">
            <v>الاذونات وخدمات المحاجر</v>
          </cell>
          <cell r="V509" t="str">
            <v>العمليات</v>
          </cell>
          <cell r="W509" t="str">
            <v>Ad-Dammam</v>
          </cell>
          <cell r="X509" t="str">
            <v xml:space="preserve">الفرع </v>
          </cell>
          <cell r="Y509">
            <v>45126</v>
          </cell>
          <cell r="Z509">
            <v>2.91</v>
          </cell>
          <cell r="AA509">
            <v>1064</v>
          </cell>
          <cell r="AB509" t="str">
            <v>نشط</v>
          </cell>
          <cell r="AC509" t="str">
            <v>400266</v>
          </cell>
          <cell r="AD509" t="str">
            <v>Faisel Almutairii</v>
          </cell>
          <cell r="AE509" t="str">
            <v>إعارة</v>
          </cell>
          <cell r="AF509" t="str">
            <v/>
          </cell>
          <cell r="AG509" t="str">
            <v/>
          </cell>
          <cell r="AH509" t="str">
            <v>طب بيطري</v>
          </cell>
          <cell r="AI509" t="str">
            <v>دبلوم</v>
          </cell>
          <cell r="AJ509">
            <v>5</v>
          </cell>
          <cell r="AK509">
            <v>3</v>
          </cell>
          <cell r="AL509">
            <v>2</v>
          </cell>
          <cell r="AM509">
            <v>0</v>
          </cell>
          <cell r="AN509" t="str">
            <v/>
          </cell>
          <cell r="AO509" t="str">
            <v>الاذونات وخدمات المحاجر</v>
          </cell>
          <cell r="AP509" t="str">
            <v>Saudi National Bank</v>
          </cell>
          <cell r="AQ509" t="str">
            <v>SA4110000007357475000108</v>
          </cell>
          <cell r="AR509">
            <v>7285</v>
          </cell>
          <cell r="AS509" t="str">
            <v/>
          </cell>
          <cell r="AT509">
            <v>28.5</v>
          </cell>
          <cell r="AU509">
            <v>1821.25</v>
          </cell>
          <cell r="AV509" t="str">
            <v/>
          </cell>
        </row>
        <row r="510">
          <cell r="A510">
            <v>400331</v>
          </cell>
          <cell r="B510" t="str">
            <v>1090604982</v>
          </cell>
          <cell r="C510" t="str">
            <v>السيد</v>
          </cell>
          <cell r="D510" t="str">
            <v>Saeed Ali Abdullah Almay</v>
          </cell>
          <cell r="E510" t="str">
            <v>سعيد علي عبدالله المي</v>
          </cell>
          <cell r="F510" t="str">
            <v>Male</v>
          </cell>
          <cell r="G510" t="str">
            <v>أعزب</v>
          </cell>
          <cell r="H510">
            <v>35113</v>
          </cell>
          <cell r="I510">
            <v>30</v>
          </cell>
          <cell r="J510">
            <v>11077</v>
          </cell>
          <cell r="K510" t="str">
            <v>Saeed.Almay@agriserv.sa</v>
          </cell>
          <cell r="L510" t="str">
            <v>0530206799</v>
          </cell>
          <cell r="M510" t="str">
            <v/>
          </cell>
          <cell r="N510" t="str">
            <v>المملكة العربية السعودية</v>
          </cell>
          <cell r="O510" t="str">
            <v>50001225</v>
          </cell>
          <cell r="P510" t="str">
            <v>طبيب بيطري</v>
          </cell>
          <cell r="Q510" t="str">
            <v>الدرجة 4</v>
          </cell>
          <cell r="R510" t="str">
            <v>Class A</v>
          </cell>
          <cell r="S510" t="str">
            <v>محجر الرقعي  (الشرقية)</v>
          </cell>
          <cell r="T510" t="str">
            <v>خدمات المحجر</v>
          </cell>
          <cell r="U510" t="str">
            <v>الاذونات وخدمات المحاجر</v>
          </cell>
          <cell r="V510" t="str">
            <v>العمليات</v>
          </cell>
          <cell r="W510" t="str">
            <v>Ad-Dammam</v>
          </cell>
          <cell r="X510" t="str">
            <v xml:space="preserve">الفرع </v>
          </cell>
          <cell r="Y510">
            <v>45126</v>
          </cell>
          <cell r="Z510">
            <v>2.91</v>
          </cell>
          <cell r="AA510">
            <v>1064</v>
          </cell>
          <cell r="AB510" t="str">
            <v>نشط</v>
          </cell>
          <cell r="AC510" t="str">
            <v>400266</v>
          </cell>
          <cell r="AD510" t="str">
            <v>Faisel Almutairii</v>
          </cell>
          <cell r="AE510" t="str">
            <v>إعارة</v>
          </cell>
          <cell r="AF510" t="str">
            <v/>
          </cell>
          <cell r="AG510" t="str">
            <v/>
          </cell>
          <cell r="AH510" t="str">
            <v>طب بيطري</v>
          </cell>
          <cell r="AI510" t="str">
            <v>بكالوريوس</v>
          </cell>
          <cell r="AJ510">
            <v>2</v>
          </cell>
          <cell r="AK510">
            <v>0</v>
          </cell>
          <cell r="AL510">
            <v>0</v>
          </cell>
          <cell r="AM510">
            <v>2</v>
          </cell>
          <cell r="AN510" t="str">
            <v/>
          </cell>
          <cell r="AO510" t="str">
            <v>الاذونات وخدمات المحاجر</v>
          </cell>
          <cell r="AP510" t="str">
            <v>Saudi National Bank</v>
          </cell>
          <cell r="AQ510" t="str">
            <v>SA2510000007364398000103</v>
          </cell>
          <cell r="AR510">
            <v>9184</v>
          </cell>
          <cell r="AS510" t="str">
            <v/>
          </cell>
          <cell r="AT510">
            <v>418.4</v>
          </cell>
          <cell r="AU510">
            <v>2296</v>
          </cell>
          <cell r="AV510" t="str">
            <v/>
          </cell>
        </row>
        <row r="511">
          <cell r="A511">
            <v>400332</v>
          </cell>
          <cell r="B511" t="str">
            <v>1015789009</v>
          </cell>
          <cell r="C511" t="str">
            <v>السيد</v>
          </cell>
          <cell r="D511" t="str">
            <v>Habeeb Salman Mohammad Alhulaimi</v>
          </cell>
          <cell r="E511" t="str">
            <v>حبيب سلمان محمد الحليمي</v>
          </cell>
          <cell r="F511" t="str">
            <v>Male</v>
          </cell>
          <cell r="G511" t="str">
            <v>متزوج</v>
          </cell>
          <cell r="H511">
            <v>29028</v>
          </cell>
          <cell r="I511">
            <v>47</v>
          </cell>
          <cell r="J511">
            <v>17162</v>
          </cell>
          <cell r="K511" t="str">
            <v>Habeeb.Alhulaimi@agriserv.sa</v>
          </cell>
          <cell r="L511" t="str">
            <v>0556333637</v>
          </cell>
          <cell r="M511" t="str">
            <v/>
          </cell>
          <cell r="N511" t="str">
            <v>المملكة العربية السعودية</v>
          </cell>
          <cell r="O511" t="str">
            <v>50001226</v>
          </cell>
          <cell r="P511" t="str">
            <v>طبيب بيطري</v>
          </cell>
          <cell r="Q511" t="str">
            <v>الدرجة 4</v>
          </cell>
          <cell r="R511" t="str">
            <v>Class A</v>
          </cell>
          <cell r="S511" t="str">
            <v>محجر الربع الخالي  (الشرقية)</v>
          </cell>
          <cell r="T511" t="str">
            <v>خدمات المحجر</v>
          </cell>
          <cell r="U511" t="str">
            <v>الاذونات وخدمات المحاجر</v>
          </cell>
          <cell r="V511" t="str">
            <v>العمليات</v>
          </cell>
          <cell r="W511" t="str">
            <v>Ad-Dammam</v>
          </cell>
          <cell r="X511" t="str">
            <v xml:space="preserve">الفرع </v>
          </cell>
          <cell r="Y511">
            <v>45126</v>
          </cell>
          <cell r="Z511">
            <v>2.91</v>
          </cell>
          <cell r="AA511">
            <v>1064</v>
          </cell>
          <cell r="AB511" t="str">
            <v>نشط</v>
          </cell>
          <cell r="AC511" t="str">
            <v>400337</v>
          </cell>
          <cell r="AD511" t="str">
            <v>Abdullah Alzunaydi</v>
          </cell>
          <cell r="AE511" t="str">
            <v>إعارة</v>
          </cell>
          <cell r="AF511" t="str">
            <v/>
          </cell>
          <cell r="AG511" t="str">
            <v/>
          </cell>
          <cell r="AH511" t="str">
            <v>طب بيطري</v>
          </cell>
          <cell r="AI511" t="str">
            <v>بكالوريوس</v>
          </cell>
          <cell r="AJ511">
            <v>6</v>
          </cell>
          <cell r="AK511">
            <v>5</v>
          </cell>
          <cell r="AL511">
            <v>1</v>
          </cell>
          <cell r="AM511">
            <v>0</v>
          </cell>
          <cell r="AN511" t="str">
            <v/>
          </cell>
          <cell r="AO511" t="str">
            <v>الاذونات وخدمات المحاجر</v>
          </cell>
          <cell r="AP511" t="str">
            <v>Riyad Bank</v>
          </cell>
          <cell r="AQ511" t="str">
            <v>SA0320000006043814519940</v>
          </cell>
          <cell r="AR511">
            <v>17415</v>
          </cell>
          <cell r="AS511" t="str">
            <v/>
          </cell>
          <cell r="AT511">
            <v>1041.5</v>
          </cell>
          <cell r="AU511">
            <v>4353.75</v>
          </cell>
          <cell r="AV511" t="str">
            <v/>
          </cell>
        </row>
        <row r="512">
          <cell r="A512">
            <v>400333</v>
          </cell>
          <cell r="B512" t="str">
            <v>1090372630</v>
          </cell>
          <cell r="C512" t="str">
            <v>السيد</v>
          </cell>
          <cell r="D512" t="str">
            <v>Haidar Abdulelah Taher Alsaleh</v>
          </cell>
          <cell r="E512" t="str">
            <v>حيدر عبدالاله طاهر الصالح</v>
          </cell>
          <cell r="F512" t="str">
            <v>Male</v>
          </cell>
          <cell r="G512" t="str">
            <v>متزوج</v>
          </cell>
          <cell r="H512">
            <v>35084</v>
          </cell>
          <cell r="I512">
            <v>30</v>
          </cell>
          <cell r="J512">
            <v>11106</v>
          </cell>
          <cell r="K512" t="str">
            <v>haydar.alsaleh@agriserv.sa</v>
          </cell>
          <cell r="L512" t="str">
            <v>0567999588</v>
          </cell>
          <cell r="M512" t="str">
            <v/>
          </cell>
          <cell r="N512" t="str">
            <v>المملكة العربية السعودية</v>
          </cell>
          <cell r="O512" t="str">
            <v>50001174</v>
          </cell>
          <cell r="P512" t="str">
            <v>طبيب بيطري مساعد</v>
          </cell>
          <cell r="Q512" t="str">
            <v>2B الدرجة</v>
          </cell>
          <cell r="R512" t="str">
            <v>Class A</v>
          </cell>
          <cell r="S512" t="str">
            <v>محجر الربع الخالي  (الشرقية)</v>
          </cell>
          <cell r="T512" t="str">
            <v>خدمات المحجر</v>
          </cell>
          <cell r="U512" t="str">
            <v>الاذونات وخدمات المحاجر</v>
          </cell>
          <cell r="V512" t="str">
            <v>العمليات</v>
          </cell>
          <cell r="W512" t="str">
            <v>Ad-Dammam</v>
          </cell>
          <cell r="X512" t="str">
            <v xml:space="preserve">الفرع </v>
          </cell>
          <cell r="Y512">
            <v>45126</v>
          </cell>
          <cell r="Z512">
            <v>2.91</v>
          </cell>
          <cell r="AA512">
            <v>1064</v>
          </cell>
          <cell r="AB512" t="str">
            <v>نشط</v>
          </cell>
          <cell r="AC512" t="str">
            <v>400337</v>
          </cell>
          <cell r="AD512" t="str">
            <v>Abdullah Alzunaydi</v>
          </cell>
          <cell r="AE512" t="str">
            <v>إعارة</v>
          </cell>
          <cell r="AF512" t="str">
            <v/>
          </cell>
          <cell r="AG512" t="str">
            <v/>
          </cell>
          <cell r="AH512" t="str">
            <v>انتاج حيواني</v>
          </cell>
          <cell r="AI512" t="str">
            <v>دبلوم</v>
          </cell>
          <cell r="AJ512">
            <v>4</v>
          </cell>
          <cell r="AK512">
            <v>1</v>
          </cell>
          <cell r="AL512">
            <v>1</v>
          </cell>
          <cell r="AM512">
            <v>2</v>
          </cell>
          <cell r="AN512" t="str">
            <v/>
          </cell>
          <cell r="AO512" t="str">
            <v>الاذونات وخدمات المحاجر</v>
          </cell>
          <cell r="AP512" t="str">
            <v>Saudi National Bank</v>
          </cell>
          <cell r="AQ512" t="str">
            <v>SA3410000006300000074508</v>
          </cell>
          <cell r="AR512">
            <v>6009</v>
          </cell>
          <cell r="AS512" t="str">
            <v/>
          </cell>
          <cell r="AT512">
            <v>100.9</v>
          </cell>
          <cell r="AU512">
            <v>1502.25</v>
          </cell>
          <cell r="AV512" t="str">
            <v/>
          </cell>
        </row>
        <row r="513">
          <cell r="A513">
            <v>400334</v>
          </cell>
          <cell r="B513" t="str">
            <v>1102325238</v>
          </cell>
          <cell r="C513" t="str">
            <v>السيد</v>
          </cell>
          <cell r="D513" t="str">
            <v>Mahdi Ahmed Mohammed Alshayeb</v>
          </cell>
          <cell r="E513" t="str">
            <v>مهدى أحمد محمد الشايب</v>
          </cell>
          <cell r="F513" t="str">
            <v>Male</v>
          </cell>
          <cell r="G513" t="str">
            <v>أعزب</v>
          </cell>
          <cell r="H513">
            <v>36194</v>
          </cell>
          <cell r="I513">
            <v>27</v>
          </cell>
          <cell r="J513">
            <v>9996</v>
          </cell>
          <cell r="K513" t="str">
            <v>Mahdi.AlShayeb@agriserv.sa</v>
          </cell>
          <cell r="L513" t="str">
            <v>0564311245</v>
          </cell>
          <cell r="M513" t="str">
            <v/>
          </cell>
          <cell r="N513" t="str">
            <v>المملكة العربية السعودية</v>
          </cell>
          <cell r="O513" t="str">
            <v>50001175</v>
          </cell>
          <cell r="P513" t="str">
            <v>طبيب بيطري مساعد</v>
          </cell>
          <cell r="Q513" t="str">
            <v>2B الدرجة</v>
          </cell>
          <cell r="R513" t="str">
            <v>Class A</v>
          </cell>
          <cell r="S513" t="str">
            <v>محجر الربع الخالي  (الشرقية)</v>
          </cell>
          <cell r="T513" t="str">
            <v>خدمات المحجر</v>
          </cell>
          <cell r="U513" t="str">
            <v>الاذونات وخدمات المحاجر</v>
          </cell>
          <cell r="V513" t="str">
            <v>العمليات</v>
          </cell>
          <cell r="W513" t="str">
            <v>Ad-Dammam</v>
          </cell>
          <cell r="X513" t="str">
            <v xml:space="preserve">الفرع </v>
          </cell>
          <cell r="Y513">
            <v>45126</v>
          </cell>
          <cell r="Z513">
            <v>2.91</v>
          </cell>
          <cell r="AA513">
            <v>1064</v>
          </cell>
          <cell r="AB513" t="str">
            <v>نشط</v>
          </cell>
          <cell r="AC513" t="str">
            <v>400337</v>
          </cell>
          <cell r="AD513" t="str">
            <v>Abdullah Alzunaydi</v>
          </cell>
          <cell r="AE513" t="str">
            <v>إعارة</v>
          </cell>
          <cell r="AF513" t="str">
            <v/>
          </cell>
          <cell r="AG513" t="str">
            <v/>
          </cell>
          <cell r="AH513" t="str">
            <v>انتاج حيواني</v>
          </cell>
          <cell r="AI513" t="str">
            <v>دبلوم</v>
          </cell>
          <cell r="AJ513">
            <v>2</v>
          </cell>
          <cell r="AK513">
            <v>0</v>
          </cell>
          <cell r="AL513">
            <v>0</v>
          </cell>
          <cell r="AM513">
            <v>2</v>
          </cell>
          <cell r="AN513" t="str">
            <v/>
          </cell>
          <cell r="AO513" t="str">
            <v>الاذونات وخدمات المحاجر</v>
          </cell>
          <cell r="AP513" t="str">
            <v>Saudi National Bank</v>
          </cell>
          <cell r="AQ513" t="str">
            <v>SA5910000009357172000105</v>
          </cell>
          <cell r="AR513">
            <v>5950</v>
          </cell>
          <cell r="AS513" t="str">
            <v/>
          </cell>
          <cell r="AT513">
            <v>95</v>
          </cell>
          <cell r="AU513">
            <v>1487.5</v>
          </cell>
          <cell r="AV513" t="str">
            <v/>
          </cell>
        </row>
        <row r="514">
          <cell r="A514">
            <v>400335</v>
          </cell>
          <cell r="B514" t="str">
            <v>1063129777</v>
          </cell>
          <cell r="C514" t="str">
            <v>السيد</v>
          </cell>
          <cell r="D514" t="str">
            <v>Abdulrahman Habib Saleh Alabdullatif</v>
          </cell>
          <cell r="E514" t="str">
            <v>عبدالرحمن حبيب صالح العبداللطيف</v>
          </cell>
          <cell r="F514" t="str">
            <v>Male</v>
          </cell>
          <cell r="G514" t="str">
            <v>متزوج</v>
          </cell>
          <cell r="H514">
            <v>32591</v>
          </cell>
          <cell r="I514">
            <v>37</v>
          </cell>
          <cell r="J514">
            <v>13599</v>
          </cell>
          <cell r="K514" t="str">
            <v>Abdulrahman.Alabdullatif@agriserv.sa</v>
          </cell>
          <cell r="L514" t="str">
            <v>0595442141</v>
          </cell>
          <cell r="M514" t="str">
            <v/>
          </cell>
          <cell r="N514" t="str">
            <v>المملكة العربية السعودية</v>
          </cell>
          <cell r="O514" t="str">
            <v>50001176</v>
          </cell>
          <cell r="P514" t="str">
            <v>طبيب بيطري مساعد</v>
          </cell>
          <cell r="Q514" t="str">
            <v>2B الدرجة</v>
          </cell>
          <cell r="R514" t="str">
            <v>Class A</v>
          </cell>
          <cell r="S514" t="str">
            <v>محجر الربع الخالي  (الشرقية)</v>
          </cell>
          <cell r="T514" t="str">
            <v>خدمات المحجر</v>
          </cell>
          <cell r="U514" t="str">
            <v>الاذونات وخدمات المحاجر</v>
          </cell>
          <cell r="V514" t="str">
            <v>العمليات</v>
          </cell>
          <cell r="W514" t="str">
            <v>Ad-Dammam</v>
          </cell>
          <cell r="X514" t="str">
            <v xml:space="preserve">الفرع </v>
          </cell>
          <cell r="Y514">
            <v>45126</v>
          </cell>
          <cell r="Z514">
            <v>2.91</v>
          </cell>
          <cell r="AA514">
            <v>1064</v>
          </cell>
          <cell r="AB514" t="str">
            <v>نشط</v>
          </cell>
          <cell r="AC514" t="str">
            <v>400337</v>
          </cell>
          <cell r="AD514" t="str">
            <v>Abdullah Alzunaydi</v>
          </cell>
          <cell r="AE514" t="str">
            <v>إعارة</v>
          </cell>
          <cell r="AF514" t="str">
            <v/>
          </cell>
          <cell r="AG514" t="str">
            <v/>
          </cell>
          <cell r="AH514" t="str">
            <v>انتاج حيواني</v>
          </cell>
          <cell r="AI514" t="str">
            <v>دبلوم</v>
          </cell>
          <cell r="AJ514">
            <v>4</v>
          </cell>
          <cell r="AK514">
            <v>2</v>
          </cell>
          <cell r="AL514">
            <v>1</v>
          </cell>
          <cell r="AM514">
            <v>1</v>
          </cell>
          <cell r="AN514" t="str">
            <v/>
          </cell>
          <cell r="AO514" t="str">
            <v>الاذونات وخدمات المحاجر</v>
          </cell>
          <cell r="AP514" t="str">
            <v>Saudi National Bank</v>
          </cell>
          <cell r="AQ514" t="str">
            <v>SA0910000096200001511010</v>
          </cell>
          <cell r="AR514">
            <v>5950</v>
          </cell>
          <cell r="AS514" t="str">
            <v/>
          </cell>
          <cell r="AT514">
            <v>95</v>
          </cell>
          <cell r="AU514">
            <v>1487.5</v>
          </cell>
          <cell r="AV514" t="str">
            <v/>
          </cell>
        </row>
        <row r="515">
          <cell r="A515">
            <v>400336</v>
          </cell>
          <cell r="B515" t="str">
            <v>1128020417</v>
          </cell>
          <cell r="C515" t="str">
            <v>السيد</v>
          </cell>
          <cell r="D515" t="str">
            <v>Ahmed Eissa Ahmed Alami</v>
          </cell>
          <cell r="E515" t="str">
            <v>أحمد عيسى احمد العمي</v>
          </cell>
          <cell r="F515" t="str">
            <v>Male</v>
          </cell>
          <cell r="G515" t="str">
            <v>أعزب</v>
          </cell>
          <cell r="H515">
            <v>36643</v>
          </cell>
          <cell r="I515">
            <v>26</v>
          </cell>
          <cell r="J515">
            <v>9547</v>
          </cell>
          <cell r="K515" t="str">
            <v>ahmed.alami@agriserv.sa</v>
          </cell>
          <cell r="L515" t="str">
            <v>0548422230</v>
          </cell>
          <cell r="M515" t="str">
            <v/>
          </cell>
          <cell r="N515" t="str">
            <v>المملكة العربية السعودية</v>
          </cell>
          <cell r="O515" t="str">
            <v>50001177</v>
          </cell>
          <cell r="P515" t="str">
            <v>طبيب بيطري مساعد</v>
          </cell>
          <cell r="Q515" t="str">
            <v>2B الدرجة</v>
          </cell>
          <cell r="R515" t="str">
            <v>Class A</v>
          </cell>
          <cell r="S515" t="str">
            <v>محجر الربع الخالي  (الشرقية)</v>
          </cell>
          <cell r="T515" t="str">
            <v>خدمات المحجر</v>
          </cell>
          <cell r="U515" t="str">
            <v>الاذونات وخدمات المحاجر</v>
          </cell>
          <cell r="V515" t="str">
            <v>العمليات</v>
          </cell>
          <cell r="W515" t="str">
            <v>Ad-Dammam</v>
          </cell>
          <cell r="X515" t="str">
            <v xml:space="preserve">الفرع </v>
          </cell>
          <cell r="Y515">
            <v>45126</v>
          </cell>
          <cell r="Z515">
            <v>2.91</v>
          </cell>
          <cell r="AA515">
            <v>1064</v>
          </cell>
          <cell r="AB515" t="str">
            <v>نشط</v>
          </cell>
          <cell r="AC515" t="str">
            <v>400337</v>
          </cell>
          <cell r="AD515" t="str">
            <v>Abdullah Alzunaydi</v>
          </cell>
          <cell r="AE515" t="str">
            <v>إعارة</v>
          </cell>
          <cell r="AF515" t="str">
            <v/>
          </cell>
          <cell r="AG515" t="str">
            <v/>
          </cell>
          <cell r="AH515" t="str">
            <v>انتاج حيواني</v>
          </cell>
          <cell r="AI515" t="str">
            <v>دبلوم</v>
          </cell>
          <cell r="AJ515">
            <v>2</v>
          </cell>
          <cell r="AK515">
            <v>0</v>
          </cell>
          <cell r="AL515">
            <v>0</v>
          </cell>
          <cell r="AM515">
            <v>2</v>
          </cell>
          <cell r="AN515" t="str">
            <v/>
          </cell>
          <cell r="AO515" t="str">
            <v>الاذونات وخدمات المحاجر</v>
          </cell>
          <cell r="AP515" t="str">
            <v>Saudi National Bank</v>
          </cell>
          <cell r="AQ515" t="str">
            <v>SA0210000007365818000104</v>
          </cell>
          <cell r="AR515">
            <v>5950</v>
          </cell>
          <cell r="AS515" t="str">
            <v/>
          </cell>
          <cell r="AT515">
            <v>95</v>
          </cell>
          <cell r="AU515">
            <v>1487.5</v>
          </cell>
          <cell r="AV515" t="str">
            <v/>
          </cell>
        </row>
        <row r="516">
          <cell r="A516">
            <v>400337</v>
          </cell>
          <cell r="B516" t="str">
            <v>1102821590</v>
          </cell>
          <cell r="C516" t="str">
            <v>السيد</v>
          </cell>
          <cell r="D516" t="str">
            <v>Abdullah Hamad Mohammed Alzunaydi</v>
          </cell>
          <cell r="E516" t="str">
            <v>عبدالله حمد محمد الزنيدي</v>
          </cell>
          <cell r="F516" t="str">
            <v>Male</v>
          </cell>
          <cell r="G516" t="str">
            <v>أعزب</v>
          </cell>
          <cell r="H516">
            <v>35676</v>
          </cell>
          <cell r="I516">
            <v>29</v>
          </cell>
          <cell r="J516">
            <v>10514</v>
          </cell>
          <cell r="K516" t="str">
            <v>Abdullah.Alzunaydi@agriserv.sa</v>
          </cell>
          <cell r="L516" t="str">
            <v>0583877386</v>
          </cell>
          <cell r="M516" t="str">
            <v/>
          </cell>
          <cell r="N516" t="str">
            <v>المملكة العربية السعودية</v>
          </cell>
          <cell r="O516" t="str">
            <v>50001227</v>
          </cell>
          <cell r="P516" t="str">
            <v>طبيب بيطري</v>
          </cell>
          <cell r="Q516" t="str">
            <v>الدرجة 4</v>
          </cell>
          <cell r="R516" t="str">
            <v>Class A</v>
          </cell>
          <cell r="S516" t="str">
            <v>محجر الربع الخالي  (الشرقية)</v>
          </cell>
          <cell r="T516" t="str">
            <v>خدمات المحجر</v>
          </cell>
          <cell r="U516" t="str">
            <v>الاذونات وخدمات المحاجر</v>
          </cell>
          <cell r="V516" t="str">
            <v>العمليات</v>
          </cell>
          <cell r="W516" t="str">
            <v>Ad-Dammam</v>
          </cell>
          <cell r="X516" t="str">
            <v xml:space="preserve">الفرع </v>
          </cell>
          <cell r="Y516">
            <v>45126</v>
          </cell>
          <cell r="Z516">
            <v>2.91</v>
          </cell>
          <cell r="AA516">
            <v>1064</v>
          </cell>
          <cell r="AB516" t="str">
            <v>نشط</v>
          </cell>
          <cell r="AC516" t="str">
            <v>100135</v>
          </cell>
          <cell r="AD516" t="str">
            <v>Abdulrahman Alzahrani</v>
          </cell>
          <cell r="AE516" t="str">
            <v>إعارة</v>
          </cell>
          <cell r="AF516" t="str">
            <v/>
          </cell>
          <cell r="AG516" t="str">
            <v/>
          </cell>
          <cell r="AH516" t="str">
            <v>طب بيطري</v>
          </cell>
          <cell r="AI516" t="str">
            <v>بكالوريوس</v>
          </cell>
          <cell r="AJ516">
            <v>2</v>
          </cell>
          <cell r="AK516">
            <v>0</v>
          </cell>
          <cell r="AL516">
            <v>0</v>
          </cell>
          <cell r="AM516">
            <v>2</v>
          </cell>
          <cell r="AN516" t="str">
            <v/>
          </cell>
          <cell r="AO516" t="str">
            <v>الاذونات وخدمات المحاجر</v>
          </cell>
          <cell r="AP516" t="str">
            <v>Al Rajhi Bank</v>
          </cell>
          <cell r="AQ516" t="str">
            <v>SA7080000565608010053285</v>
          </cell>
          <cell r="AR516">
            <v>9096</v>
          </cell>
          <cell r="AS516" t="str">
            <v/>
          </cell>
          <cell r="AT516">
            <v>409.6</v>
          </cell>
          <cell r="AU516">
            <v>2274</v>
          </cell>
          <cell r="AV516" t="str">
            <v/>
          </cell>
        </row>
        <row r="517">
          <cell r="A517">
            <v>400338</v>
          </cell>
          <cell r="B517" t="str">
            <v>1079023238</v>
          </cell>
          <cell r="C517" t="str">
            <v>السيد</v>
          </cell>
          <cell r="D517" t="str">
            <v>Mustafa Hussain Mohammed Aldalwi</v>
          </cell>
          <cell r="E517" t="str">
            <v>مصطفى حسين محمد الدالوي</v>
          </cell>
          <cell r="F517" t="str">
            <v>Male</v>
          </cell>
          <cell r="G517" t="str">
            <v>متزوج</v>
          </cell>
          <cell r="H517">
            <v>34264</v>
          </cell>
          <cell r="I517">
            <v>33</v>
          </cell>
          <cell r="J517">
            <v>11926</v>
          </cell>
          <cell r="K517" t="str">
            <v>Mustafa.AlDalawi@agriserv.sa</v>
          </cell>
          <cell r="L517" t="str">
            <v>0502792923</v>
          </cell>
          <cell r="M517" t="str">
            <v/>
          </cell>
          <cell r="N517" t="str">
            <v>المملكة العربية السعودية</v>
          </cell>
          <cell r="O517" t="str">
            <v>50001228</v>
          </cell>
          <cell r="P517" t="str">
            <v>طبيب بيطري</v>
          </cell>
          <cell r="Q517" t="str">
            <v>الدرجة 4</v>
          </cell>
          <cell r="R517" t="str">
            <v>Class A</v>
          </cell>
          <cell r="S517" t="str">
            <v>محجر الربع الخالي  (الشرقية)</v>
          </cell>
          <cell r="T517" t="str">
            <v>خدمات المحجر</v>
          </cell>
          <cell r="U517" t="str">
            <v>الاذونات وخدمات المحاجر</v>
          </cell>
          <cell r="V517" t="str">
            <v>العمليات</v>
          </cell>
          <cell r="W517" t="str">
            <v>Ad-Dammam</v>
          </cell>
          <cell r="X517" t="str">
            <v xml:space="preserve">الفرع </v>
          </cell>
          <cell r="Y517">
            <v>45126</v>
          </cell>
          <cell r="Z517">
            <v>2.91</v>
          </cell>
          <cell r="AA517">
            <v>1064</v>
          </cell>
          <cell r="AB517" t="str">
            <v>نشط</v>
          </cell>
          <cell r="AC517" t="str">
            <v>400337</v>
          </cell>
          <cell r="AD517" t="str">
            <v>Abdullah Alzunaydi</v>
          </cell>
          <cell r="AE517" t="str">
            <v>إعارة</v>
          </cell>
          <cell r="AF517" t="str">
            <v/>
          </cell>
          <cell r="AG517" t="str">
            <v/>
          </cell>
          <cell r="AH517" t="str">
            <v>طب بيطري</v>
          </cell>
          <cell r="AI517" t="str">
            <v>بكالوريوس</v>
          </cell>
          <cell r="AJ517">
            <v>3</v>
          </cell>
          <cell r="AK517">
            <v>0</v>
          </cell>
          <cell r="AL517">
            <v>1</v>
          </cell>
          <cell r="AM517">
            <v>2</v>
          </cell>
          <cell r="AN517" t="str">
            <v/>
          </cell>
          <cell r="AO517" t="str">
            <v>الاذونات وخدمات المحاجر</v>
          </cell>
          <cell r="AP517" t="str">
            <v>Saudi National Bank</v>
          </cell>
          <cell r="AQ517" t="str">
            <v>SA8510000017400000018909</v>
          </cell>
          <cell r="AR517">
            <v>9274</v>
          </cell>
          <cell r="AS517" t="str">
            <v/>
          </cell>
          <cell r="AT517">
            <v>427.4</v>
          </cell>
          <cell r="AU517">
            <v>2318.5</v>
          </cell>
          <cell r="AV517" t="str">
            <v/>
          </cell>
        </row>
        <row r="518">
          <cell r="A518">
            <v>400339</v>
          </cell>
          <cell r="B518" t="str">
            <v>1095911598</v>
          </cell>
          <cell r="C518" t="str">
            <v>السيد</v>
          </cell>
          <cell r="D518" t="str">
            <v>Basel Ali Taher Alkhalyfh</v>
          </cell>
          <cell r="E518" t="str">
            <v>باسل علي طاهر الخليفه</v>
          </cell>
          <cell r="F518" t="str">
            <v>Male</v>
          </cell>
          <cell r="G518" t="str">
            <v>متزوج</v>
          </cell>
          <cell r="H518">
            <v>35643</v>
          </cell>
          <cell r="I518">
            <v>29</v>
          </cell>
          <cell r="J518">
            <v>10547</v>
          </cell>
          <cell r="K518" t="str">
            <v>basel.alkhalifa@agriserv.sa</v>
          </cell>
          <cell r="L518" t="str">
            <v>0532496177</v>
          </cell>
          <cell r="M518" t="str">
            <v/>
          </cell>
          <cell r="N518" t="str">
            <v>المملكة العربية السعودية</v>
          </cell>
          <cell r="O518" t="str">
            <v>50001229</v>
          </cell>
          <cell r="P518" t="str">
            <v>طبيب بيطري</v>
          </cell>
          <cell r="Q518" t="str">
            <v>الدرجة 4</v>
          </cell>
          <cell r="R518" t="str">
            <v>Class A</v>
          </cell>
          <cell r="S518" t="str">
            <v>محجر الربع الخالي  (الشرقية)</v>
          </cell>
          <cell r="T518" t="str">
            <v>خدمات المحجر</v>
          </cell>
          <cell r="U518" t="str">
            <v>الاذونات وخدمات المحاجر</v>
          </cell>
          <cell r="V518" t="str">
            <v>العمليات</v>
          </cell>
          <cell r="W518" t="str">
            <v>Ad-Dammam</v>
          </cell>
          <cell r="X518" t="str">
            <v xml:space="preserve">الفرع </v>
          </cell>
          <cell r="Y518">
            <v>45126</v>
          </cell>
          <cell r="Z518">
            <v>2.91</v>
          </cell>
          <cell r="AA518">
            <v>1064</v>
          </cell>
          <cell r="AB518" t="str">
            <v>نشط</v>
          </cell>
          <cell r="AC518" t="str">
            <v>400337</v>
          </cell>
          <cell r="AD518" t="str">
            <v>Abdullah Alzunaydi</v>
          </cell>
          <cell r="AE518" t="str">
            <v>إعارة</v>
          </cell>
          <cell r="AF518" t="str">
            <v/>
          </cell>
          <cell r="AG518" t="str">
            <v/>
          </cell>
          <cell r="AH518" t="str">
            <v>طب بيطري</v>
          </cell>
          <cell r="AI518" t="str">
            <v>بكالوريوس</v>
          </cell>
          <cell r="AJ518">
            <v>3</v>
          </cell>
          <cell r="AK518">
            <v>0</v>
          </cell>
          <cell r="AL518">
            <v>1</v>
          </cell>
          <cell r="AM518">
            <v>2</v>
          </cell>
          <cell r="AN518" t="str">
            <v/>
          </cell>
          <cell r="AO518" t="str">
            <v>الاذونات وخدمات المحاجر</v>
          </cell>
          <cell r="AP518" t="str">
            <v>Riyad Bank</v>
          </cell>
          <cell r="AQ518" t="str">
            <v>SA8320000003521629589940</v>
          </cell>
          <cell r="AR518">
            <v>9184</v>
          </cell>
          <cell r="AS518" t="str">
            <v/>
          </cell>
          <cell r="AT518">
            <v>418.4</v>
          </cell>
          <cell r="AU518">
            <v>2296</v>
          </cell>
          <cell r="AV518" t="str">
            <v/>
          </cell>
        </row>
        <row r="519">
          <cell r="A519">
            <v>400340</v>
          </cell>
          <cell r="B519" t="str">
            <v>1100341518</v>
          </cell>
          <cell r="C519" t="str">
            <v>السيد</v>
          </cell>
          <cell r="D519" t="str">
            <v>Saleh Ahmed Saleh Alsulaiman</v>
          </cell>
          <cell r="E519" t="str">
            <v>صالح احمد صالح السليمان</v>
          </cell>
          <cell r="F519" t="str">
            <v>Male</v>
          </cell>
          <cell r="G519" t="str">
            <v>أعزب</v>
          </cell>
          <cell r="H519">
            <v>36017</v>
          </cell>
          <cell r="I519">
            <v>28</v>
          </cell>
          <cell r="J519">
            <v>10173</v>
          </cell>
          <cell r="K519" t="str">
            <v>Saleh.AlSulaiman@agriserv.sa</v>
          </cell>
          <cell r="L519" t="str">
            <v>0560508392</v>
          </cell>
          <cell r="M519" t="str">
            <v/>
          </cell>
          <cell r="N519" t="str">
            <v>المملكة العربية السعودية</v>
          </cell>
          <cell r="O519" t="str">
            <v>50001230</v>
          </cell>
          <cell r="P519" t="str">
            <v>طبيب بيطري</v>
          </cell>
          <cell r="Q519" t="str">
            <v>الدرجة 4</v>
          </cell>
          <cell r="R519" t="str">
            <v>Class A</v>
          </cell>
          <cell r="S519" t="str">
            <v>محجر الربع الخالي  (الشرقية)</v>
          </cell>
          <cell r="T519" t="str">
            <v>خدمات المحجر</v>
          </cell>
          <cell r="U519" t="str">
            <v>الاذونات وخدمات المحاجر</v>
          </cell>
          <cell r="V519" t="str">
            <v>العمليات</v>
          </cell>
          <cell r="W519" t="str">
            <v>Ad-Dammam</v>
          </cell>
          <cell r="X519" t="str">
            <v xml:space="preserve">الفرع </v>
          </cell>
          <cell r="Y519">
            <v>45126</v>
          </cell>
          <cell r="Z519">
            <v>2.91</v>
          </cell>
          <cell r="AA519">
            <v>1064</v>
          </cell>
          <cell r="AB519" t="str">
            <v>نشط</v>
          </cell>
          <cell r="AC519" t="str">
            <v>400337</v>
          </cell>
          <cell r="AD519" t="str">
            <v>Abdullah Alzunaydi</v>
          </cell>
          <cell r="AE519" t="str">
            <v>إعارة</v>
          </cell>
          <cell r="AF519" t="str">
            <v/>
          </cell>
          <cell r="AG519" t="str">
            <v/>
          </cell>
          <cell r="AH519" t="str">
            <v>طب بيطري</v>
          </cell>
          <cell r="AI519" t="str">
            <v>بكالوريوس</v>
          </cell>
          <cell r="AJ519">
            <v>2</v>
          </cell>
          <cell r="AK519">
            <v>0</v>
          </cell>
          <cell r="AL519">
            <v>0</v>
          </cell>
          <cell r="AM519">
            <v>2</v>
          </cell>
          <cell r="AN519" t="str">
            <v/>
          </cell>
          <cell r="AO519" t="str">
            <v>الاذونات وخدمات المحاجر</v>
          </cell>
          <cell r="AP519" t="str">
            <v>Riyad Bank</v>
          </cell>
          <cell r="AQ519" t="str">
            <v>SA4320000003111966409940</v>
          </cell>
          <cell r="AR519">
            <v>9274</v>
          </cell>
          <cell r="AS519" t="str">
            <v/>
          </cell>
          <cell r="AT519">
            <v>427.4</v>
          </cell>
          <cell r="AU519">
            <v>2318.5</v>
          </cell>
          <cell r="AV519" t="str">
            <v/>
          </cell>
        </row>
        <row r="520">
          <cell r="A520">
            <v>400341</v>
          </cell>
          <cell r="B520" t="str">
            <v>1061372395</v>
          </cell>
          <cell r="C520" t="str">
            <v>السيد</v>
          </cell>
          <cell r="D520" t="str">
            <v>Abdalrazak Safwk Marzauk Alenzy</v>
          </cell>
          <cell r="E520" t="str">
            <v>عبدالرزاق صفوق مرزوق العنزي</v>
          </cell>
          <cell r="F520" t="str">
            <v>Male</v>
          </cell>
          <cell r="G520" t="str">
            <v/>
          </cell>
          <cell r="H520">
            <v>31969</v>
          </cell>
          <cell r="I520">
            <v>39</v>
          </cell>
          <cell r="J520">
            <v>14221</v>
          </cell>
          <cell r="K520" t="str">
            <v/>
          </cell>
          <cell r="L520" t="str">
            <v/>
          </cell>
          <cell r="M520" t="str">
            <v/>
          </cell>
          <cell r="N520" t="str">
            <v>المملكة العربية السعودية</v>
          </cell>
          <cell r="O520" t="str">
            <v>50001178</v>
          </cell>
          <cell r="P520" t="str">
            <v>طبيب بيطري مساعد</v>
          </cell>
          <cell r="Q520" t="str">
            <v>2B الدرجة</v>
          </cell>
          <cell r="R520" t="str">
            <v/>
          </cell>
          <cell r="S520" t="str">
            <v>محجر الخفجي  (الشرقية)</v>
          </cell>
          <cell r="T520" t="str">
            <v>خدمات المحجر</v>
          </cell>
          <cell r="U520" t="str">
            <v>الاذونات وخدمات المحاجر</v>
          </cell>
          <cell r="V520" t="str">
            <v>العمليات</v>
          </cell>
          <cell r="W520" t="str">
            <v>Ad-Dammam</v>
          </cell>
          <cell r="X520" t="str">
            <v xml:space="preserve">الفرع </v>
          </cell>
          <cell r="Y520">
            <v>45126</v>
          </cell>
          <cell r="Z520">
            <v>2.91</v>
          </cell>
          <cell r="AA520">
            <v>1064</v>
          </cell>
          <cell r="AB520" t="str">
            <v>غير نشط</v>
          </cell>
          <cell r="AC520" t="str">
            <v>400158</v>
          </cell>
          <cell r="AD520" t="str">
            <v>Abdulrahman Alzahrani</v>
          </cell>
          <cell r="AE520" t="str">
            <v>إعارة</v>
          </cell>
          <cell r="AF520">
            <v>45377</v>
          </cell>
          <cell r="AG520" t="str">
            <v/>
          </cell>
          <cell r="AH520" t="str">
            <v/>
          </cell>
          <cell r="AI520" t="str">
            <v/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 t="str">
            <v/>
          </cell>
          <cell r="AO520" t="str">
            <v>Livestock Extension &amp; Protection</v>
          </cell>
          <cell r="AP520" t="str">
            <v>Riyad Bank</v>
          </cell>
          <cell r="AQ520" t="str">
            <v>SA4120000003100597079940</v>
          </cell>
          <cell r="AR520">
            <v>8835</v>
          </cell>
          <cell r="AS520" t="str">
            <v/>
          </cell>
          <cell r="AT520">
            <v>100</v>
          </cell>
          <cell r="AU520">
            <v>2208.75</v>
          </cell>
          <cell r="AV520" t="str">
            <v/>
          </cell>
        </row>
        <row r="521">
          <cell r="A521">
            <v>400342</v>
          </cell>
          <cell r="B521" t="str">
            <v>1011213566</v>
          </cell>
          <cell r="C521" t="str">
            <v>السيد</v>
          </cell>
          <cell r="D521" t="str">
            <v>Abdullah Saleh Salim Alkhammas</v>
          </cell>
          <cell r="E521" t="str">
            <v>عبدالله صالح سالم الخماس</v>
          </cell>
          <cell r="F521" t="str">
            <v>Male</v>
          </cell>
          <cell r="G521" t="str">
            <v/>
          </cell>
          <cell r="H521">
            <v>24754</v>
          </cell>
          <cell r="I521">
            <v>59</v>
          </cell>
          <cell r="J521">
            <v>21436</v>
          </cell>
          <cell r="K521" t="str">
            <v/>
          </cell>
          <cell r="L521" t="str">
            <v/>
          </cell>
          <cell r="M521" t="str">
            <v/>
          </cell>
          <cell r="N521" t="str">
            <v>المملكة العربية السعودية</v>
          </cell>
          <cell r="O521" t="str">
            <v>50001179</v>
          </cell>
          <cell r="P521" t="str">
            <v>طبيب بيطري مساعد</v>
          </cell>
          <cell r="Q521" t="str">
            <v>2B الدرجة</v>
          </cell>
          <cell r="R521" t="str">
            <v/>
          </cell>
          <cell r="S521" t="str">
            <v>محجر الخفجي  (الشرقية)</v>
          </cell>
          <cell r="T521" t="str">
            <v>خدمات المحجر</v>
          </cell>
          <cell r="U521" t="str">
            <v>الاذونات وخدمات المحاجر</v>
          </cell>
          <cell r="V521" t="str">
            <v>العمليات</v>
          </cell>
          <cell r="W521" t="str">
            <v>Ad-Dammam</v>
          </cell>
          <cell r="X521" t="str">
            <v xml:space="preserve">الفرع </v>
          </cell>
          <cell r="Y521">
            <v>45126</v>
          </cell>
          <cell r="Z521">
            <v>2.91</v>
          </cell>
          <cell r="AA521">
            <v>1064</v>
          </cell>
          <cell r="AB521" t="str">
            <v>غير نشط</v>
          </cell>
          <cell r="AC521" t="str">
            <v>400158</v>
          </cell>
          <cell r="AD521" t="str">
            <v>Abdulrahman Alzahrani</v>
          </cell>
          <cell r="AE521" t="str">
            <v>إعارة</v>
          </cell>
          <cell r="AF521">
            <v>45377</v>
          </cell>
          <cell r="AG521" t="str">
            <v/>
          </cell>
          <cell r="AH521" t="str">
            <v/>
          </cell>
          <cell r="AI521" t="str">
            <v/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 t="str">
            <v/>
          </cell>
          <cell r="AO521" t="str">
            <v>Livestock Extension &amp; Protection</v>
          </cell>
          <cell r="AP521" t="str">
            <v>Al Rajhi Bank</v>
          </cell>
          <cell r="AQ521" t="str">
            <v>SA2880000187608010106891</v>
          </cell>
          <cell r="AR521">
            <v>16905</v>
          </cell>
          <cell r="AS521" t="str">
            <v/>
          </cell>
          <cell r="AT521">
            <v>100</v>
          </cell>
          <cell r="AU521">
            <v>4226.25</v>
          </cell>
          <cell r="AV521" t="str">
            <v/>
          </cell>
        </row>
        <row r="522">
          <cell r="A522">
            <v>400343</v>
          </cell>
          <cell r="B522" t="str">
            <v>1007575051</v>
          </cell>
          <cell r="C522" t="str">
            <v>السيد</v>
          </cell>
          <cell r="D522" t="str">
            <v>Ibrahim Abduallah Saad Bukhwah</v>
          </cell>
          <cell r="E522" t="str">
            <v>ابراهيم عبدالله سعد بوخوه</v>
          </cell>
          <cell r="F522" t="str">
            <v>Male</v>
          </cell>
          <cell r="G522" t="str">
            <v>متزوج</v>
          </cell>
          <cell r="H522">
            <v>28611</v>
          </cell>
          <cell r="I522">
            <v>48</v>
          </cell>
          <cell r="J522">
            <v>17579</v>
          </cell>
          <cell r="K522" t="str">
            <v>Ibrahim.Bukhwah@agriserv.sa</v>
          </cell>
          <cell r="L522" t="str">
            <v>0506093040</v>
          </cell>
          <cell r="M522" t="str">
            <v/>
          </cell>
          <cell r="N522" t="str">
            <v>المملكة العربية السعودية</v>
          </cell>
          <cell r="O522" t="str">
            <v>50001180</v>
          </cell>
          <cell r="P522" t="str">
            <v>طبيب بيطري مساعد</v>
          </cell>
          <cell r="Q522" t="str">
            <v>2B الدرجة</v>
          </cell>
          <cell r="R522" t="str">
            <v>Class A</v>
          </cell>
          <cell r="S522" t="str">
            <v>محجر البطحاء  (الشرقية)</v>
          </cell>
          <cell r="T522" t="str">
            <v>خدمات المحجر</v>
          </cell>
          <cell r="U522" t="str">
            <v>الاذونات وخدمات المحاجر</v>
          </cell>
          <cell r="V522" t="str">
            <v>العمليات</v>
          </cell>
          <cell r="W522" t="str">
            <v>Ad-Dammam</v>
          </cell>
          <cell r="X522" t="str">
            <v xml:space="preserve">الفرع </v>
          </cell>
          <cell r="Y522">
            <v>45126</v>
          </cell>
          <cell r="Z522">
            <v>2.91</v>
          </cell>
          <cell r="AA522">
            <v>1064</v>
          </cell>
          <cell r="AB522" t="str">
            <v>نشط</v>
          </cell>
          <cell r="AC522" t="str">
            <v>400353</v>
          </cell>
          <cell r="AD522" t="str">
            <v>Adel Alhejji</v>
          </cell>
          <cell r="AE522" t="str">
            <v>إعارة</v>
          </cell>
          <cell r="AF522" t="str">
            <v/>
          </cell>
          <cell r="AG522" t="str">
            <v/>
          </cell>
          <cell r="AH522" t="str">
            <v>طب بيطري</v>
          </cell>
          <cell r="AI522" t="str">
            <v>دبلوم</v>
          </cell>
          <cell r="AJ522">
            <v>5</v>
          </cell>
          <cell r="AK522">
            <v>4</v>
          </cell>
          <cell r="AL522">
            <v>1</v>
          </cell>
          <cell r="AM522">
            <v>0</v>
          </cell>
          <cell r="AN522" t="str">
            <v/>
          </cell>
          <cell r="AO522" t="str">
            <v>الاذونات وخدمات المحاجر</v>
          </cell>
          <cell r="AP522" t="str">
            <v>Banque Saudi Fransi</v>
          </cell>
          <cell r="AQ522" t="str">
            <v>SA5655000000095646400114</v>
          </cell>
          <cell r="AR522">
            <v>13975</v>
          </cell>
          <cell r="AS522" t="str">
            <v/>
          </cell>
          <cell r="AT522">
            <v>100</v>
          </cell>
          <cell r="AU522">
            <v>3493.75</v>
          </cell>
          <cell r="AV522" t="str">
            <v/>
          </cell>
        </row>
        <row r="523">
          <cell r="A523">
            <v>400344</v>
          </cell>
          <cell r="B523" t="str">
            <v>1030922528</v>
          </cell>
          <cell r="C523" t="str">
            <v>السيد</v>
          </cell>
          <cell r="D523" t="str">
            <v>Ameen Abdullah Ahmad Alhamdan</v>
          </cell>
          <cell r="E523" t="str">
            <v>امين عبدالله احمد الحمدان</v>
          </cell>
          <cell r="F523" t="str">
            <v>Male</v>
          </cell>
          <cell r="G523" t="str">
            <v>متزوج</v>
          </cell>
          <cell r="H523">
            <v>28039</v>
          </cell>
          <cell r="I523">
            <v>50</v>
          </cell>
          <cell r="J523">
            <v>18151</v>
          </cell>
          <cell r="K523" t="str">
            <v>Ameen.AlHamdan@agriserv.sa</v>
          </cell>
          <cell r="L523" t="str">
            <v>0561149025</v>
          </cell>
          <cell r="M523" t="str">
            <v/>
          </cell>
          <cell r="N523" t="str">
            <v>المملكة العربية السعودية</v>
          </cell>
          <cell r="O523" t="str">
            <v>50001231</v>
          </cell>
          <cell r="P523" t="str">
            <v>طبيب بيطري</v>
          </cell>
          <cell r="Q523" t="str">
            <v>الدرجة 4</v>
          </cell>
          <cell r="R523" t="str">
            <v>Class A</v>
          </cell>
          <cell r="S523" t="str">
            <v>محجر البطحاء  (الشرقية)</v>
          </cell>
          <cell r="T523" t="str">
            <v>خدمات المحجر</v>
          </cell>
          <cell r="U523" t="str">
            <v>الاذونات وخدمات المحاجر</v>
          </cell>
          <cell r="V523" t="str">
            <v>العمليات</v>
          </cell>
          <cell r="W523" t="str">
            <v>Ad-Dammam</v>
          </cell>
          <cell r="X523" t="str">
            <v xml:space="preserve">الفرع </v>
          </cell>
          <cell r="Y523">
            <v>45126</v>
          </cell>
          <cell r="Z523">
            <v>2.91</v>
          </cell>
          <cell r="AA523">
            <v>1064</v>
          </cell>
          <cell r="AB523" t="str">
            <v>نشط</v>
          </cell>
          <cell r="AC523" t="str">
            <v>400353</v>
          </cell>
          <cell r="AD523" t="str">
            <v>Adel Alhejji</v>
          </cell>
          <cell r="AE523" t="str">
            <v>إعارة</v>
          </cell>
          <cell r="AF523" t="str">
            <v/>
          </cell>
          <cell r="AG523" t="str">
            <v/>
          </cell>
          <cell r="AH523" t="str">
            <v>طب بيطري</v>
          </cell>
          <cell r="AI523" t="str">
            <v>بكالوريوس</v>
          </cell>
          <cell r="AJ523">
            <v>5</v>
          </cell>
          <cell r="AK523">
            <v>3</v>
          </cell>
          <cell r="AL523">
            <v>1</v>
          </cell>
          <cell r="AM523">
            <v>1</v>
          </cell>
          <cell r="AN523" t="str">
            <v/>
          </cell>
          <cell r="AO523" t="str">
            <v>الاذونات وخدمات المحاجر</v>
          </cell>
          <cell r="AP523" t="str">
            <v>Arab National Bank</v>
          </cell>
          <cell r="AQ523" t="str">
            <v>SA8530400108030505660011</v>
          </cell>
          <cell r="AR523">
            <v>18705</v>
          </cell>
          <cell r="AS523" t="str">
            <v/>
          </cell>
          <cell r="AT523">
            <v>970.5</v>
          </cell>
          <cell r="AU523">
            <v>4676.25</v>
          </cell>
          <cell r="AV523" t="str">
            <v/>
          </cell>
        </row>
        <row r="524">
          <cell r="A524">
            <v>400345</v>
          </cell>
          <cell r="B524" t="str">
            <v>1012440416</v>
          </cell>
          <cell r="C524" t="str">
            <v>السيد</v>
          </cell>
          <cell r="D524" t="str">
            <v>Salem Muhmmad Salem Abusaha</v>
          </cell>
          <cell r="E524" t="str">
            <v>سالم محمد سالم ابوسحه</v>
          </cell>
          <cell r="F524" t="str">
            <v>Male</v>
          </cell>
          <cell r="G524" t="str">
            <v>متزوج</v>
          </cell>
          <cell r="H524">
            <v>28831</v>
          </cell>
          <cell r="I524">
            <v>48</v>
          </cell>
          <cell r="J524">
            <v>17359</v>
          </cell>
          <cell r="K524" t="str">
            <v>Salem.Busaha@agriserv.sa</v>
          </cell>
          <cell r="L524" t="str">
            <v>0501905653</v>
          </cell>
          <cell r="M524" t="str">
            <v/>
          </cell>
          <cell r="N524" t="str">
            <v>المملكة العربية السعودية</v>
          </cell>
          <cell r="O524" t="str">
            <v>50001181</v>
          </cell>
          <cell r="P524" t="str">
            <v>طبيب بيطري مساعد</v>
          </cell>
          <cell r="Q524" t="str">
            <v>2B الدرجة</v>
          </cell>
          <cell r="R524" t="str">
            <v>Class A</v>
          </cell>
          <cell r="S524" t="str">
            <v>محجر البطحاء  (الشرقية)</v>
          </cell>
          <cell r="T524" t="str">
            <v>خدمات المحجر</v>
          </cell>
          <cell r="U524" t="str">
            <v>الاذونات وخدمات المحاجر</v>
          </cell>
          <cell r="V524" t="str">
            <v>العمليات</v>
          </cell>
          <cell r="W524" t="str">
            <v>Ad-Dammam</v>
          </cell>
          <cell r="X524" t="str">
            <v xml:space="preserve">الفرع </v>
          </cell>
          <cell r="Y524">
            <v>45126</v>
          </cell>
          <cell r="Z524">
            <v>2.91</v>
          </cell>
          <cell r="AA524">
            <v>1064</v>
          </cell>
          <cell r="AB524" t="str">
            <v>نشط</v>
          </cell>
          <cell r="AC524" t="str">
            <v>400353</v>
          </cell>
          <cell r="AD524" t="str">
            <v>Adel Alhejji</v>
          </cell>
          <cell r="AE524" t="str">
            <v>إعارة</v>
          </cell>
          <cell r="AF524" t="str">
            <v/>
          </cell>
          <cell r="AG524" t="str">
            <v/>
          </cell>
          <cell r="AH524" t="str">
            <v>طب بيطري</v>
          </cell>
          <cell r="AI524" t="str">
            <v>دبلوم</v>
          </cell>
          <cell r="AJ524">
            <v>7</v>
          </cell>
          <cell r="AK524">
            <v>4</v>
          </cell>
          <cell r="AL524">
            <v>1</v>
          </cell>
          <cell r="AM524">
            <v>2</v>
          </cell>
          <cell r="AN524" t="str">
            <v/>
          </cell>
          <cell r="AO524" t="str">
            <v>الاذونات وخدمات المحاجر</v>
          </cell>
          <cell r="AP524" t="str">
            <v>Al Rajhi Bank</v>
          </cell>
          <cell r="AQ524" t="str">
            <v>SA4580000603608010048925</v>
          </cell>
          <cell r="AR524">
            <v>11025</v>
          </cell>
          <cell r="AS524" t="str">
            <v/>
          </cell>
          <cell r="AT524">
            <v>100</v>
          </cell>
          <cell r="AU524">
            <v>2756.25</v>
          </cell>
          <cell r="AV524" t="str">
            <v/>
          </cell>
        </row>
        <row r="525">
          <cell r="A525">
            <v>400346</v>
          </cell>
          <cell r="B525" t="str">
            <v>1071185423</v>
          </cell>
          <cell r="C525" t="str">
            <v>السيد</v>
          </cell>
          <cell r="D525" t="str">
            <v>Mohammed Taher Abdualmuhsin ALI</v>
          </cell>
          <cell r="E525" t="str">
            <v>محمد طاهر عبدالمحسن علي</v>
          </cell>
          <cell r="F525" t="str">
            <v>Male</v>
          </cell>
          <cell r="G525" t="str">
            <v>متزوج</v>
          </cell>
          <cell r="H525">
            <v>27284</v>
          </cell>
          <cell r="I525">
            <v>52</v>
          </cell>
          <cell r="J525">
            <v>18906</v>
          </cell>
          <cell r="K525" t="str">
            <v>Mohammed.Alshikhali@agriserv.sa</v>
          </cell>
          <cell r="L525" t="str">
            <v>0506909530</v>
          </cell>
          <cell r="M525" t="str">
            <v/>
          </cell>
          <cell r="N525" t="str">
            <v>المملكة العربية السعودية</v>
          </cell>
          <cell r="O525" t="str">
            <v>50001141</v>
          </cell>
          <cell r="P525" t="str">
            <v>مهندس زراعي</v>
          </cell>
          <cell r="Q525" t="str">
            <v>الدرجة 3</v>
          </cell>
          <cell r="R525" t="str">
            <v>Class A</v>
          </cell>
          <cell r="S525" t="str">
            <v>محجر البطحاء  (الشرقية)</v>
          </cell>
          <cell r="T525" t="str">
            <v>خدمات المحجر</v>
          </cell>
          <cell r="U525" t="str">
            <v>الاذونات وخدمات المحاجر</v>
          </cell>
          <cell r="V525" t="str">
            <v>العمليات</v>
          </cell>
          <cell r="W525" t="str">
            <v>Ad-Dammam</v>
          </cell>
          <cell r="X525" t="str">
            <v xml:space="preserve">الفرع </v>
          </cell>
          <cell r="Y525">
            <v>45126</v>
          </cell>
          <cell r="Z525">
            <v>2.91</v>
          </cell>
          <cell r="AA525">
            <v>1064</v>
          </cell>
          <cell r="AB525" t="str">
            <v>نشط</v>
          </cell>
          <cell r="AC525" t="str">
            <v>400353</v>
          </cell>
          <cell r="AD525" t="str">
            <v>Adel Alhejji</v>
          </cell>
          <cell r="AE525" t="str">
            <v>إعارة</v>
          </cell>
          <cell r="AF525" t="str">
            <v/>
          </cell>
          <cell r="AG525" t="str">
            <v/>
          </cell>
          <cell r="AH525" t="str">
            <v>مراعي</v>
          </cell>
          <cell r="AI525" t="str">
            <v>بكالوريوس</v>
          </cell>
          <cell r="AJ525">
            <v>7</v>
          </cell>
          <cell r="AK525">
            <v>4</v>
          </cell>
          <cell r="AL525">
            <v>1</v>
          </cell>
          <cell r="AM525">
            <v>2</v>
          </cell>
          <cell r="AN525" t="str">
            <v/>
          </cell>
          <cell r="AO525" t="str">
            <v>الاذونات وخدمات المحاجر</v>
          </cell>
          <cell r="AP525" t="str">
            <v>Banque Saudi Fransi</v>
          </cell>
          <cell r="AQ525" t="str">
            <v>SA5655000000020848800148</v>
          </cell>
          <cell r="AR525">
            <v>17645</v>
          </cell>
          <cell r="AS525" t="str">
            <v/>
          </cell>
          <cell r="AT525">
            <v>864.5</v>
          </cell>
          <cell r="AU525">
            <v>4411.25</v>
          </cell>
          <cell r="AV525" t="str">
            <v/>
          </cell>
        </row>
        <row r="526">
          <cell r="A526">
            <v>400347</v>
          </cell>
          <cell r="B526" t="str">
            <v>1029090568</v>
          </cell>
          <cell r="C526" t="str">
            <v>السيد</v>
          </cell>
          <cell r="D526" t="str">
            <v>Omar Abdullah Husain Alnowah</v>
          </cell>
          <cell r="E526" t="str">
            <v>عمر عبدالله حسين النوه</v>
          </cell>
          <cell r="F526" t="str">
            <v>Male</v>
          </cell>
          <cell r="G526" t="str">
            <v>متزوج</v>
          </cell>
          <cell r="H526">
            <v>30095</v>
          </cell>
          <cell r="I526">
            <v>44</v>
          </cell>
          <cell r="J526">
            <v>16095</v>
          </cell>
          <cell r="K526" t="str">
            <v>Omar.AlNowah@agriserv.sa</v>
          </cell>
          <cell r="L526" t="str">
            <v>0504938465</v>
          </cell>
          <cell r="M526" t="str">
            <v/>
          </cell>
          <cell r="N526" t="str">
            <v>المملكة العربية السعودية</v>
          </cell>
          <cell r="O526" t="str">
            <v>50001182</v>
          </cell>
          <cell r="P526" t="str">
            <v>طبيب بيطري مساعد</v>
          </cell>
          <cell r="Q526" t="str">
            <v>2B الدرجة</v>
          </cell>
          <cell r="R526" t="str">
            <v>Class A</v>
          </cell>
          <cell r="S526" t="str">
            <v>محجر البطحاء  (الشرقية)</v>
          </cell>
          <cell r="T526" t="str">
            <v>خدمات المحجر</v>
          </cell>
          <cell r="U526" t="str">
            <v>الاذونات وخدمات المحاجر</v>
          </cell>
          <cell r="V526" t="str">
            <v>العمليات</v>
          </cell>
          <cell r="W526" t="str">
            <v>Ad-Dammam</v>
          </cell>
          <cell r="X526" t="str">
            <v xml:space="preserve">الفرع </v>
          </cell>
          <cell r="Y526">
            <v>45126</v>
          </cell>
          <cell r="Z526">
            <v>2.91</v>
          </cell>
          <cell r="AA526">
            <v>1064</v>
          </cell>
          <cell r="AB526" t="str">
            <v>نشط</v>
          </cell>
          <cell r="AC526" t="str">
            <v>400353</v>
          </cell>
          <cell r="AD526" t="str">
            <v>Adel Alhejji</v>
          </cell>
          <cell r="AE526" t="str">
            <v>إعارة</v>
          </cell>
          <cell r="AF526" t="str">
            <v/>
          </cell>
          <cell r="AG526" t="str">
            <v/>
          </cell>
          <cell r="AH526" t="str">
            <v>ثانوية</v>
          </cell>
          <cell r="AI526" t="str">
            <v>شهادة المدرسة الثانوية</v>
          </cell>
          <cell r="AJ526">
            <v>5</v>
          </cell>
          <cell r="AK526">
            <v>4</v>
          </cell>
          <cell r="AL526">
            <v>1</v>
          </cell>
          <cell r="AM526">
            <v>0</v>
          </cell>
          <cell r="AN526" t="str">
            <v/>
          </cell>
          <cell r="AO526" t="str">
            <v>الاذونات وخدمات المحاجر</v>
          </cell>
          <cell r="AP526" t="str">
            <v>Arab National Bank</v>
          </cell>
          <cell r="AQ526" t="str">
            <v>SA6630400108052954210012</v>
          </cell>
          <cell r="AR526">
            <v>13505</v>
          </cell>
          <cell r="AS526" t="str">
            <v/>
          </cell>
          <cell r="AT526">
            <v>100</v>
          </cell>
          <cell r="AU526">
            <v>3376.25</v>
          </cell>
          <cell r="AV526" t="str">
            <v/>
          </cell>
        </row>
        <row r="527">
          <cell r="A527">
            <v>400348</v>
          </cell>
          <cell r="B527" t="str">
            <v>1004275408</v>
          </cell>
          <cell r="C527" t="str">
            <v>السيد</v>
          </cell>
          <cell r="D527" t="str">
            <v>Yaser Ahmed Kadhem Albraih</v>
          </cell>
          <cell r="E527" t="str">
            <v>ياسر أحمد كاظم البريه</v>
          </cell>
          <cell r="F527" t="str">
            <v>Male</v>
          </cell>
          <cell r="G527" t="str">
            <v>متزوج</v>
          </cell>
          <cell r="H527">
            <v>29956</v>
          </cell>
          <cell r="I527">
            <v>44</v>
          </cell>
          <cell r="J527">
            <v>16234</v>
          </cell>
          <cell r="K527" t="str">
            <v>Yasser.AlBariyah@agriserv.sa</v>
          </cell>
          <cell r="L527" t="str">
            <v>0540530737</v>
          </cell>
          <cell r="M527" t="str">
            <v/>
          </cell>
          <cell r="N527" t="str">
            <v>المملكة العربية السعودية</v>
          </cell>
          <cell r="O527" t="str">
            <v>50001232</v>
          </cell>
          <cell r="P527" t="str">
            <v>طبيب بيطري</v>
          </cell>
          <cell r="Q527" t="str">
            <v>الدرجة 4</v>
          </cell>
          <cell r="R527" t="str">
            <v>Class A</v>
          </cell>
          <cell r="S527" t="str">
            <v>محجر البطحاء  (الشرقية)</v>
          </cell>
          <cell r="T527" t="str">
            <v>خدمات المحجر</v>
          </cell>
          <cell r="U527" t="str">
            <v>الاذونات وخدمات المحاجر</v>
          </cell>
          <cell r="V527" t="str">
            <v>العمليات</v>
          </cell>
          <cell r="W527" t="str">
            <v>Ad-Dammam</v>
          </cell>
          <cell r="X527" t="str">
            <v xml:space="preserve">الفرع </v>
          </cell>
          <cell r="Y527">
            <v>45126</v>
          </cell>
          <cell r="Z527">
            <v>2.91</v>
          </cell>
          <cell r="AA527">
            <v>1064</v>
          </cell>
          <cell r="AB527" t="str">
            <v>نشط</v>
          </cell>
          <cell r="AC527" t="str">
            <v>400353</v>
          </cell>
          <cell r="AD527" t="str">
            <v>Adel Alhejji</v>
          </cell>
          <cell r="AE527" t="str">
            <v>إعارة</v>
          </cell>
          <cell r="AF527" t="str">
            <v/>
          </cell>
          <cell r="AG527" t="str">
            <v/>
          </cell>
          <cell r="AH527" t="str">
            <v>طب بيطري</v>
          </cell>
          <cell r="AI527" t="str">
            <v>بكالوريوس</v>
          </cell>
          <cell r="AJ527">
            <v>4</v>
          </cell>
          <cell r="AK527">
            <v>3</v>
          </cell>
          <cell r="AL527">
            <v>1</v>
          </cell>
          <cell r="AM527">
            <v>0</v>
          </cell>
          <cell r="AN527" t="str">
            <v/>
          </cell>
          <cell r="AO527" t="str">
            <v>الاذونات وخدمات المحاجر</v>
          </cell>
          <cell r="AP527" t="str">
            <v>Arab National Bank</v>
          </cell>
          <cell r="AQ527" t="str">
            <v>SA6530400108055290530011</v>
          </cell>
          <cell r="AR527">
            <v>14915</v>
          </cell>
          <cell r="AS527" t="str">
            <v/>
          </cell>
          <cell r="AT527">
            <v>791.5</v>
          </cell>
          <cell r="AU527">
            <v>3728.75</v>
          </cell>
          <cell r="AV527" t="str">
            <v/>
          </cell>
        </row>
        <row r="528">
          <cell r="A528">
            <v>400349</v>
          </cell>
          <cell r="B528" t="str">
            <v>1048773780</v>
          </cell>
          <cell r="C528" t="str">
            <v>السيد</v>
          </cell>
          <cell r="D528" t="str">
            <v>Ahmad Hussen Ali Almusa</v>
          </cell>
          <cell r="E528" t="str">
            <v>احمد حسين علي الموسى</v>
          </cell>
          <cell r="F528" t="str">
            <v>Male</v>
          </cell>
          <cell r="G528" t="str">
            <v>أعزب</v>
          </cell>
          <cell r="H528">
            <v>30945</v>
          </cell>
          <cell r="I528">
            <v>42</v>
          </cell>
          <cell r="J528">
            <v>15245</v>
          </cell>
          <cell r="K528" t="str">
            <v>Ahmed.AlMousa@agriserv.sa</v>
          </cell>
          <cell r="L528" t="str">
            <v>0509098644</v>
          </cell>
          <cell r="M528" t="str">
            <v/>
          </cell>
          <cell r="N528" t="str">
            <v>المملكة العربية السعودية</v>
          </cell>
          <cell r="O528" t="str">
            <v>50001183</v>
          </cell>
          <cell r="P528" t="str">
            <v>طبيب بيطري مساعد</v>
          </cell>
          <cell r="Q528" t="str">
            <v>2B الدرجة</v>
          </cell>
          <cell r="R528" t="str">
            <v>Class A</v>
          </cell>
          <cell r="S528" t="str">
            <v>محجر البطحاء  (الشرقية)</v>
          </cell>
          <cell r="T528" t="str">
            <v>خدمات المحجر</v>
          </cell>
          <cell r="U528" t="str">
            <v>الاذونات وخدمات المحاجر</v>
          </cell>
          <cell r="V528" t="str">
            <v>العمليات</v>
          </cell>
          <cell r="W528" t="str">
            <v>Ad-Dammam</v>
          </cell>
          <cell r="X528" t="str">
            <v xml:space="preserve">الفرع </v>
          </cell>
          <cell r="Y528">
            <v>45126</v>
          </cell>
          <cell r="Z528">
            <v>2.91</v>
          </cell>
          <cell r="AA528">
            <v>1064</v>
          </cell>
          <cell r="AB528" t="str">
            <v>نشط</v>
          </cell>
          <cell r="AC528" t="str">
            <v>400353</v>
          </cell>
          <cell r="AD528" t="str">
            <v>Adel Alhejji</v>
          </cell>
          <cell r="AE528" t="str">
            <v>إعارة</v>
          </cell>
          <cell r="AF528" t="str">
            <v/>
          </cell>
          <cell r="AG528" t="str">
            <v/>
          </cell>
          <cell r="AH528" t="str">
            <v>طب بيطري</v>
          </cell>
          <cell r="AI528" t="str">
            <v>دبلوم</v>
          </cell>
          <cell r="AJ528">
            <v>5</v>
          </cell>
          <cell r="AK528">
            <v>3</v>
          </cell>
          <cell r="AL528">
            <v>0</v>
          </cell>
          <cell r="AM528">
            <v>2</v>
          </cell>
          <cell r="AN528" t="str">
            <v/>
          </cell>
          <cell r="AO528" t="str">
            <v>الاذونات وخدمات المحاجر</v>
          </cell>
          <cell r="AP528" t="str">
            <v>Saudi National Bank</v>
          </cell>
          <cell r="AQ528" t="str">
            <v>SA1810000071100002417307</v>
          </cell>
          <cell r="AR528">
            <v>11330</v>
          </cell>
          <cell r="AS528" t="str">
            <v/>
          </cell>
          <cell r="AT528">
            <v>100</v>
          </cell>
          <cell r="AU528">
            <v>2832.5</v>
          </cell>
          <cell r="AV528" t="str">
            <v/>
          </cell>
        </row>
        <row r="529">
          <cell r="A529">
            <v>400350</v>
          </cell>
          <cell r="B529" t="str">
            <v>1002208518</v>
          </cell>
          <cell r="C529" t="str">
            <v>السيد</v>
          </cell>
          <cell r="D529" t="str">
            <v>Wajdi Abdullaziz Hessen Aldalwi</v>
          </cell>
          <cell r="E529" t="str">
            <v>وجدي عبدالعزيز حسين الدالوي</v>
          </cell>
          <cell r="F529" t="str">
            <v>Male</v>
          </cell>
          <cell r="G529" t="str">
            <v>متزوج</v>
          </cell>
          <cell r="H529">
            <v>30412</v>
          </cell>
          <cell r="I529">
            <v>43</v>
          </cell>
          <cell r="J529">
            <v>15778</v>
          </cell>
          <cell r="K529" t="str">
            <v>Wajdi.Aldalwi@agriserv.sa</v>
          </cell>
          <cell r="L529" t="str">
            <v>0599588880</v>
          </cell>
          <cell r="M529" t="str">
            <v/>
          </cell>
          <cell r="N529" t="str">
            <v>المملكة العربية السعودية</v>
          </cell>
          <cell r="O529" t="str">
            <v>50001149</v>
          </cell>
          <cell r="P529" t="str">
            <v>فني زراعي</v>
          </cell>
          <cell r="Q529" t="str">
            <v>2A الدرجة</v>
          </cell>
          <cell r="R529" t="str">
            <v>Class A</v>
          </cell>
          <cell r="S529" t="str">
            <v>محجر البطحاء  (الشرقية)</v>
          </cell>
          <cell r="T529" t="str">
            <v>خدمات المحجر</v>
          </cell>
          <cell r="U529" t="str">
            <v>الاذونات وخدمات المحاجر</v>
          </cell>
          <cell r="V529" t="str">
            <v>العمليات</v>
          </cell>
          <cell r="W529" t="str">
            <v>Ad-Dammam</v>
          </cell>
          <cell r="X529" t="str">
            <v xml:space="preserve">الفرع </v>
          </cell>
          <cell r="Y529">
            <v>45126</v>
          </cell>
          <cell r="Z529">
            <v>2.91</v>
          </cell>
          <cell r="AA529">
            <v>1064</v>
          </cell>
          <cell r="AB529" t="str">
            <v>نشط</v>
          </cell>
          <cell r="AC529" t="str">
            <v>400353</v>
          </cell>
          <cell r="AD529" t="str">
            <v>Adel Alhejji</v>
          </cell>
          <cell r="AE529" t="str">
            <v>إعارة</v>
          </cell>
          <cell r="AF529" t="str">
            <v/>
          </cell>
          <cell r="AG529" t="str">
            <v/>
          </cell>
          <cell r="AH529" t="str">
            <v>انتاج حيواني</v>
          </cell>
          <cell r="AI529" t="str">
            <v>بكالوريوس</v>
          </cell>
          <cell r="AJ529">
            <v>7</v>
          </cell>
          <cell r="AK529">
            <v>4</v>
          </cell>
          <cell r="AL529">
            <v>1</v>
          </cell>
          <cell r="AM529">
            <v>2</v>
          </cell>
          <cell r="AN529" t="str">
            <v/>
          </cell>
          <cell r="AO529" t="str">
            <v>الاذونات وخدمات المحاجر</v>
          </cell>
          <cell r="AP529" t="str">
            <v>Al Rajhi Bank</v>
          </cell>
          <cell r="AQ529" t="str">
            <v>SA8180000277608010456651</v>
          </cell>
          <cell r="AR529">
            <v>13505</v>
          </cell>
          <cell r="AS529" t="str">
            <v/>
          </cell>
          <cell r="AT529">
            <v>100</v>
          </cell>
          <cell r="AU529">
            <v>3376.25</v>
          </cell>
          <cell r="AV529" t="str">
            <v/>
          </cell>
        </row>
        <row r="530">
          <cell r="A530">
            <v>400351</v>
          </cell>
          <cell r="B530" t="str">
            <v>1026167484</v>
          </cell>
          <cell r="C530" t="str">
            <v>السيد</v>
          </cell>
          <cell r="D530" t="str">
            <v>Ahmad Mohammad Hassean Alshdad</v>
          </cell>
          <cell r="E530" t="str">
            <v>أحمد محمد حسين الشداد</v>
          </cell>
          <cell r="F530" t="str">
            <v>Male</v>
          </cell>
          <cell r="G530" t="str">
            <v>متزوج</v>
          </cell>
          <cell r="H530">
            <v>29223</v>
          </cell>
          <cell r="I530">
            <v>46</v>
          </cell>
          <cell r="J530">
            <v>16967</v>
          </cell>
          <cell r="K530" t="str">
            <v>Ahmed.AlShdad@agriserv.sa</v>
          </cell>
          <cell r="L530" t="str">
            <v>0541737099</v>
          </cell>
          <cell r="M530" t="str">
            <v/>
          </cell>
          <cell r="N530" t="str">
            <v>المملكة العربية السعودية</v>
          </cell>
          <cell r="O530" t="str">
            <v>50001233</v>
          </cell>
          <cell r="P530" t="str">
            <v>طبيب بيطري</v>
          </cell>
          <cell r="Q530" t="str">
            <v>الدرجة 4</v>
          </cell>
          <cell r="R530" t="str">
            <v>Class A</v>
          </cell>
          <cell r="S530" t="str">
            <v>محجر البطحاء  (الشرقية)</v>
          </cell>
          <cell r="T530" t="str">
            <v>خدمات المحجر</v>
          </cell>
          <cell r="U530" t="str">
            <v>الاذونات وخدمات المحاجر</v>
          </cell>
          <cell r="V530" t="str">
            <v>العمليات</v>
          </cell>
          <cell r="W530" t="str">
            <v>Ad-Dammam</v>
          </cell>
          <cell r="X530" t="str">
            <v xml:space="preserve">الفرع </v>
          </cell>
          <cell r="Y530">
            <v>45126</v>
          </cell>
          <cell r="Z530">
            <v>2.91</v>
          </cell>
          <cell r="AA530">
            <v>1064</v>
          </cell>
          <cell r="AB530" t="str">
            <v>نشط</v>
          </cell>
          <cell r="AC530" t="str">
            <v>400353</v>
          </cell>
          <cell r="AD530" t="str">
            <v>Adel Alhejji</v>
          </cell>
          <cell r="AE530" t="str">
            <v>إعارة</v>
          </cell>
          <cell r="AF530" t="str">
            <v/>
          </cell>
          <cell r="AG530" t="str">
            <v/>
          </cell>
          <cell r="AH530" t="str">
            <v>طب بيطري</v>
          </cell>
          <cell r="AI530" t="str">
            <v>بكالوريوس</v>
          </cell>
          <cell r="AJ530">
            <v>4</v>
          </cell>
          <cell r="AK530">
            <v>2</v>
          </cell>
          <cell r="AL530">
            <v>1</v>
          </cell>
          <cell r="AM530">
            <v>1</v>
          </cell>
          <cell r="AN530" t="str">
            <v/>
          </cell>
          <cell r="AO530" t="str">
            <v>الاذونات وخدمات المحاجر</v>
          </cell>
          <cell r="AP530" t="str">
            <v>Riyad Bank</v>
          </cell>
          <cell r="AQ530" t="str">
            <v>SA3920000003052037949940</v>
          </cell>
          <cell r="AR530">
            <v>13975</v>
          </cell>
          <cell r="AS530" t="str">
            <v/>
          </cell>
          <cell r="AT530">
            <v>697.5</v>
          </cell>
          <cell r="AU530">
            <v>3493.75</v>
          </cell>
          <cell r="AV530" t="str">
            <v/>
          </cell>
        </row>
        <row r="531">
          <cell r="A531">
            <v>400352</v>
          </cell>
          <cell r="B531" t="str">
            <v>1015436189</v>
          </cell>
          <cell r="C531" t="str">
            <v>السيد</v>
          </cell>
          <cell r="D531" t="str">
            <v>Abdullah Iesaa Hasaan Albtian</v>
          </cell>
          <cell r="E531" t="str">
            <v>عبدالله عيسى حسن البطيان</v>
          </cell>
          <cell r="F531" t="str">
            <v>Male</v>
          </cell>
          <cell r="G531" t="str">
            <v>متزوج</v>
          </cell>
          <cell r="H531">
            <v>30622</v>
          </cell>
          <cell r="I531">
            <v>43</v>
          </cell>
          <cell r="J531">
            <v>15568</v>
          </cell>
          <cell r="K531" t="str">
            <v>Abdullah.AlBatyan@agriserv.sa</v>
          </cell>
          <cell r="L531" t="str">
            <v>0501902699</v>
          </cell>
          <cell r="M531" t="str">
            <v/>
          </cell>
          <cell r="N531" t="str">
            <v>المملكة العربية السعودية</v>
          </cell>
          <cell r="O531" t="str">
            <v>50001234</v>
          </cell>
          <cell r="P531" t="str">
            <v>طبيب بيطري</v>
          </cell>
          <cell r="Q531" t="str">
            <v>الدرجة 4</v>
          </cell>
          <cell r="R531" t="str">
            <v>Class A</v>
          </cell>
          <cell r="S531" t="str">
            <v>محجر البطحاء  (الشرقية)</v>
          </cell>
          <cell r="T531" t="str">
            <v>خدمات المحجر</v>
          </cell>
          <cell r="U531" t="str">
            <v>الاذونات وخدمات المحاجر</v>
          </cell>
          <cell r="V531" t="str">
            <v>العمليات</v>
          </cell>
          <cell r="W531" t="str">
            <v>Ad-Dammam</v>
          </cell>
          <cell r="X531" t="str">
            <v xml:space="preserve">الفرع </v>
          </cell>
          <cell r="Y531">
            <v>45126</v>
          </cell>
          <cell r="Z531">
            <v>2.91</v>
          </cell>
          <cell r="AA531">
            <v>1064</v>
          </cell>
          <cell r="AB531" t="str">
            <v>نشط</v>
          </cell>
          <cell r="AC531" t="str">
            <v>400353</v>
          </cell>
          <cell r="AD531" t="str">
            <v>Adel Alhejji</v>
          </cell>
          <cell r="AE531" t="str">
            <v>إعارة</v>
          </cell>
          <cell r="AF531" t="str">
            <v/>
          </cell>
          <cell r="AG531" t="str">
            <v/>
          </cell>
          <cell r="AH531" t="str">
            <v>طب بيطري</v>
          </cell>
          <cell r="AI531" t="str">
            <v>بكالوريوس</v>
          </cell>
          <cell r="AJ531">
            <v>7</v>
          </cell>
          <cell r="AK531">
            <v>4</v>
          </cell>
          <cell r="AL531">
            <v>1</v>
          </cell>
          <cell r="AM531">
            <v>2</v>
          </cell>
          <cell r="AN531" t="str">
            <v/>
          </cell>
          <cell r="AO531" t="str">
            <v>الاذونات وخدمات المحاجر</v>
          </cell>
          <cell r="AP531" t="str">
            <v>Riyad Bank</v>
          </cell>
          <cell r="AQ531" t="str">
            <v>SA1620000003180826279940</v>
          </cell>
          <cell r="AR531">
            <v>13975</v>
          </cell>
          <cell r="AS531" t="str">
            <v/>
          </cell>
          <cell r="AT531">
            <v>697.5</v>
          </cell>
          <cell r="AU531">
            <v>3493.75</v>
          </cell>
          <cell r="AV531" t="str">
            <v/>
          </cell>
        </row>
        <row r="532">
          <cell r="A532">
            <v>400353</v>
          </cell>
          <cell r="B532" t="str">
            <v>1001580362</v>
          </cell>
          <cell r="C532" t="str">
            <v>السيد</v>
          </cell>
          <cell r="D532" t="str">
            <v>Adel Abass Ahmad Alhejji</v>
          </cell>
          <cell r="E532" t="str">
            <v>عادل عباس احمد الحجي</v>
          </cell>
          <cell r="F532" t="str">
            <v>Male</v>
          </cell>
          <cell r="G532" t="str">
            <v>متزوج</v>
          </cell>
          <cell r="H532">
            <v>30535</v>
          </cell>
          <cell r="I532">
            <v>43</v>
          </cell>
          <cell r="J532">
            <v>15655</v>
          </cell>
          <cell r="K532" t="str">
            <v>Adel.AlHaji@agriserv.sa</v>
          </cell>
          <cell r="L532" t="str">
            <v>0506966406</v>
          </cell>
          <cell r="M532" t="str">
            <v/>
          </cell>
          <cell r="N532" t="str">
            <v>المملكة العربية السعودية</v>
          </cell>
          <cell r="O532" t="str">
            <v>50001235</v>
          </cell>
          <cell r="P532" t="str">
            <v>طبيب بيطري</v>
          </cell>
          <cell r="Q532" t="str">
            <v>الدرجة 4</v>
          </cell>
          <cell r="R532" t="str">
            <v>Class A</v>
          </cell>
          <cell r="S532" t="str">
            <v>محجر البطحاء  (الشرقية)</v>
          </cell>
          <cell r="T532" t="str">
            <v>خدمات المحجر</v>
          </cell>
          <cell r="U532" t="str">
            <v>الاذونات وخدمات المحاجر</v>
          </cell>
          <cell r="V532" t="str">
            <v>العمليات</v>
          </cell>
          <cell r="W532" t="str">
            <v>Ad-Dammam</v>
          </cell>
          <cell r="X532" t="str">
            <v xml:space="preserve">الفرع </v>
          </cell>
          <cell r="Y532">
            <v>45126</v>
          </cell>
          <cell r="Z532">
            <v>2.91</v>
          </cell>
          <cell r="AA532">
            <v>1064</v>
          </cell>
          <cell r="AB532" t="str">
            <v>نشط</v>
          </cell>
          <cell r="AC532" t="str">
            <v>100135</v>
          </cell>
          <cell r="AD532" t="str">
            <v>Abdulrahman Alzahrani</v>
          </cell>
          <cell r="AE532" t="str">
            <v>إعارة</v>
          </cell>
          <cell r="AF532" t="str">
            <v/>
          </cell>
          <cell r="AG532" t="str">
            <v/>
          </cell>
          <cell r="AH532" t="str">
            <v>طب بيطري</v>
          </cell>
          <cell r="AI532" t="str">
            <v>بكالوريوس</v>
          </cell>
          <cell r="AJ532">
            <v>8</v>
          </cell>
          <cell r="AK532">
            <v>5</v>
          </cell>
          <cell r="AL532">
            <v>1</v>
          </cell>
          <cell r="AM532">
            <v>2</v>
          </cell>
          <cell r="AN532" t="str">
            <v/>
          </cell>
          <cell r="AO532" t="str">
            <v>الاذونات وخدمات المحاجر</v>
          </cell>
          <cell r="AP532" t="str">
            <v>Riyad Bank</v>
          </cell>
          <cell r="AQ532" t="str">
            <v>SA7120000003181087079940</v>
          </cell>
          <cell r="AR532">
            <v>14865</v>
          </cell>
          <cell r="AS532" t="str">
            <v/>
          </cell>
          <cell r="AT532">
            <v>786.5</v>
          </cell>
          <cell r="AU532">
            <v>3716.25</v>
          </cell>
          <cell r="AV532" t="str">
            <v/>
          </cell>
        </row>
        <row r="533">
          <cell r="A533">
            <v>400354</v>
          </cell>
          <cell r="B533" t="str">
            <v>1003744826</v>
          </cell>
          <cell r="C533" t="str">
            <v>السيد</v>
          </cell>
          <cell r="D533" t="str">
            <v>Ali Hussain Hajie Albader</v>
          </cell>
          <cell r="E533" t="str">
            <v>علي حسين حجي البدر</v>
          </cell>
          <cell r="F533" t="str">
            <v>Male</v>
          </cell>
          <cell r="G533" t="str">
            <v>متزوج</v>
          </cell>
          <cell r="H533">
            <v>31114</v>
          </cell>
          <cell r="I533">
            <v>41</v>
          </cell>
          <cell r="J533">
            <v>15076</v>
          </cell>
          <cell r="K533" t="str">
            <v>Ali.Albader@agriserv.sa</v>
          </cell>
          <cell r="L533" t="str">
            <v>0534002228</v>
          </cell>
          <cell r="M533" t="str">
            <v/>
          </cell>
          <cell r="N533" t="str">
            <v>المملكة العربية السعودية</v>
          </cell>
          <cell r="O533" t="str">
            <v>50001184</v>
          </cell>
          <cell r="P533" t="str">
            <v>طبيب بيطري مساعد</v>
          </cell>
          <cell r="Q533" t="str">
            <v>2B الدرجة</v>
          </cell>
          <cell r="R533" t="str">
            <v>Class A</v>
          </cell>
          <cell r="S533" t="str">
            <v>محجر البطحاء  (الشرقية)</v>
          </cell>
          <cell r="T533" t="str">
            <v>خدمات المحجر</v>
          </cell>
          <cell r="U533" t="str">
            <v>الاذونات وخدمات المحاجر</v>
          </cell>
          <cell r="V533" t="str">
            <v>العمليات</v>
          </cell>
          <cell r="W533" t="str">
            <v>Ad-Dammam</v>
          </cell>
          <cell r="X533" t="str">
            <v xml:space="preserve">الفرع </v>
          </cell>
          <cell r="Y533">
            <v>45126</v>
          </cell>
          <cell r="Z533">
            <v>2.91</v>
          </cell>
          <cell r="AA533">
            <v>1064</v>
          </cell>
          <cell r="AB533" t="str">
            <v>نشط</v>
          </cell>
          <cell r="AC533" t="str">
            <v>400353</v>
          </cell>
          <cell r="AD533" t="str">
            <v>Adel Alhejji</v>
          </cell>
          <cell r="AE533" t="str">
            <v>إعارة</v>
          </cell>
          <cell r="AF533" t="str">
            <v/>
          </cell>
          <cell r="AG533" t="str">
            <v/>
          </cell>
          <cell r="AH533" t="str">
            <v>انتاج حيواني</v>
          </cell>
          <cell r="AI533" t="str">
            <v>دبلوم</v>
          </cell>
          <cell r="AJ533">
            <v>3</v>
          </cell>
          <cell r="AK533">
            <v>0</v>
          </cell>
          <cell r="AL533">
            <v>1</v>
          </cell>
          <cell r="AM533">
            <v>2</v>
          </cell>
          <cell r="AN533" t="str">
            <v/>
          </cell>
          <cell r="AO533" t="str">
            <v>الاذونات وخدمات المحاجر</v>
          </cell>
          <cell r="AP533" t="str">
            <v>Arab National Bank</v>
          </cell>
          <cell r="AQ533" t="str">
            <v>SA4330400108051238310011</v>
          </cell>
          <cell r="AR533">
            <v>11330</v>
          </cell>
          <cell r="AS533" t="str">
            <v/>
          </cell>
          <cell r="AT533">
            <v>100</v>
          </cell>
          <cell r="AU533">
            <v>2832.5</v>
          </cell>
          <cell r="AV533" t="str">
            <v/>
          </cell>
        </row>
        <row r="534">
          <cell r="A534">
            <v>400355</v>
          </cell>
          <cell r="B534" t="str">
            <v>1004839955</v>
          </cell>
          <cell r="C534" t="str">
            <v>السيد</v>
          </cell>
          <cell r="D534" t="str">
            <v>Rashed Mohammed Rashed Boshoshah</v>
          </cell>
          <cell r="E534" t="str">
            <v>راشد محمد راشد بوشوشة</v>
          </cell>
          <cell r="F534" t="str">
            <v>Male</v>
          </cell>
          <cell r="G534" t="str">
            <v>متزوج</v>
          </cell>
          <cell r="H534">
            <v>29945</v>
          </cell>
          <cell r="I534">
            <v>44</v>
          </cell>
          <cell r="J534">
            <v>16245</v>
          </cell>
          <cell r="K534" t="str">
            <v>Rashed.Boshousha@agriserv.sa</v>
          </cell>
          <cell r="L534" t="str">
            <v>0569949726</v>
          </cell>
          <cell r="M534" t="str">
            <v/>
          </cell>
          <cell r="N534" t="str">
            <v>المملكة العربية السعودية</v>
          </cell>
          <cell r="O534" t="str">
            <v>50001185</v>
          </cell>
          <cell r="P534" t="str">
            <v>طبيب بيطري مساعد</v>
          </cell>
          <cell r="Q534" t="str">
            <v>2B الدرجة</v>
          </cell>
          <cell r="R534" t="str">
            <v>Class A</v>
          </cell>
          <cell r="S534" t="str">
            <v>محجر البطحاء  (الشرقية)</v>
          </cell>
          <cell r="T534" t="str">
            <v>خدمات المحجر</v>
          </cell>
          <cell r="U534" t="str">
            <v>الاذونات وخدمات المحاجر</v>
          </cell>
          <cell r="V534" t="str">
            <v>العمليات</v>
          </cell>
          <cell r="W534" t="str">
            <v>Ad-Dammam</v>
          </cell>
          <cell r="X534" t="str">
            <v xml:space="preserve">الفرع </v>
          </cell>
          <cell r="Y534">
            <v>45126</v>
          </cell>
          <cell r="Z534">
            <v>2.91</v>
          </cell>
          <cell r="AA534">
            <v>1064</v>
          </cell>
          <cell r="AB534" t="str">
            <v>نشط</v>
          </cell>
          <cell r="AC534" t="str">
            <v>400353</v>
          </cell>
          <cell r="AD534" t="str">
            <v>Adel Alhejji</v>
          </cell>
          <cell r="AE534" t="str">
            <v>إعارة</v>
          </cell>
          <cell r="AF534" t="str">
            <v/>
          </cell>
          <cell r="AG534" t="str">
            <v/>
          </cell>
          <cell r="AH534" t="str">
            <v>طب بيطري</v>
          </cell>
          <cell r="AI534" t="str">
            <v>دبلوم</v>
          </cell>
          <cell r="AJ534">
            <v>6</v>
          </cell>
          <cell r="AK534">
            <v>4</v>
          </cell>
          <cell r="AL534">
            <v>1</v>
          </cell>
          <cell r="AM534">
            <v>1</v>
          </cell>
          <cell r="AN534" t="str">
            <v/>
          </cell>
          <cell r="AO534" t="str">
            <v>الاذونات وخدمات المحاجر</v>
          </cell>
          <cell r="AP534" t="str">
            <v>Saudi National Bank</v>
          </cell>
          <cell r="AQ534" t="str">
            <v>SA5010000005700000156506</v>
          </cell>
          <cell r="AR534">
            <v>11390</v>
          </cell>
          <cell r="AS534" t="str">
            <v/>
          </cell>
          <cell r="AT534">
            <v>100</v>
          </cell>
          <cell r="AU534">
            <v>2847.5</v>
          </cell>
          <cell r="AV534" t="str">
            <v/>
          </cell>
        </row>
        <row r="535">
          <cell r="A535">
            <v>400356</v>
          </cell>
          <cell r="B535" t="str">
            <v>1079495022</v>
          </cell>
          <cell r="C535" t="str">
            <v>السيد</v>
          </cell>
          <cell r="D535" t="str">
            <v>Ali Abduallah Naser Alhazaa</v>
          </cell>
          <cell r="E535" t="str">
            <v>علي عبدالله ناصر الهزاع</v>
          </cell>
          <cell r="F535" t="str">
            <v>Male</v>
          </cell>
          <cell r="G535" t="str">
            <v>متزوج</v>
          </cell>
          <cell r="H535">
            <v>33825</v>
          </cell>
          <cell r="I535">
            <v>34</v>
          </cell>
          <cell r="J535">
            <v>12365</v>
          </cell>
          <cell r="K535" t="str">
            <v>Ali.AlHazaa@agriserv.sa</v>
          </cell>
          <cell r="L535" t="str">
            <v>0551463337</v>
          </cell>
          <cell r="M535" t="str">
            <v/>
          </cell>
          <cell r="N535" t="str">
            <v>المملكة العربية السعودية</v>
          </cell>
          <cell r="O535" t="str">
            <v>50001186</v>
          </cell>
          <cell r="P535" t="str">
            <v>طبيب بيطري مساعد</v>
          </cell>
          <cell r="Q535" t="str">
            <v>2B الدرجة</v>
          </cell>
          <cell r="R535" t="str">
            <v>Class A</v>
          </cell>
          <cell r="S535" t="str">
            <v>محجر البطحاء  (الشرقية)</v>
          </cell>
          <cell r="T535" t="str">
            <v>خدمات المحجر</v>
          </cell>
          <cell r="U535" t="str">
            <v>الاذونات وخدمات المحاجر</v>
          </cell>
          <cell r="V535" t="str">
            <v>العمليات</v>
          </cell>
          <cell r="W535" t="str">
            <v>Ad-Dammam</v>
          </cell>
          <cell r="X535" t="str">
            <v xml:space="preserve">الفرع </v>
          </cell>
          <cell r="Y535">
            <v>45126</v>
          </cell>
          <cell r="Z535">
            <v>2.91</v>
          </cell>
          <cell r="AA535">
            <v>1064</v>
          </cell>
          <cell r="AB535" t="str">
            <v>نشط</v>
          </cell>
          <cell r="AC535" t="str">
            <v>400353</v>
          </cell>
          <cell r="AD535" t="str">
            <v>Adel Alhejji</v>
          </cell>
          <cell r="AE535" t="str">
            <v>إعارة</v>
          </cell>
          <cell r="AF535" t="str">
            <v/>
          </cell>
          <cell r="AG535" t="str">
            <v/>
          </cell>
          <cell r="AH535" t="str">
            <v>طب بيطري</v>
          </cell>
          <cell r="AI535" t="str">
            <v>دبلوم</v>
          </cell>
          <cell r="AJ535">
            <v>4</v>
          </cell>
          <cell r="AK535">
            <v>3</v>
          </cell>
          <cell r="AL535">
            <v>1</v>
          </cell>
          <cell r="AM535">
            <v>0</v>
          </cell>
          <cell r="AN535" t="str">
            <v/>
          </cell>
          <cell r="AO535" t="str">
            <v>الاذونات وخدمات المحاجر</v>
          </cell>
          <cell r="AP535" t="str">
            <v>Saudi National Bank</v>
          </cell>
          <cell r="AQ535" t="str">
            <v>SA9110000006359294000100</v>
          </cell>
          <cell r="AR535">
            <v>9200</v>
          </cell>
          <cell r="AS535" t="str">
            <v/>
          </cell>
          <cell r="AT535">
            <v>100</v>
          </cell>
          <cell r="AU535">
            <v>2300</v>
          </cell>
          <cell r="AV535" t="str">
            <v/>
          </cell>
        </row>
        <row r="536">
          <cell r="A536">
            <v>400357</v>
          </cell>
          <cell r="B536" t="str">
            <v>1012626568</v>
          </cell>
          <cell r="C536" t="str">
            <v>السيد</v>
          </cell>
          <cell r="D536" t="str">
            <v>Majed Ali Hajei Alkhaleifah</v>
          </cell>
          <cell r="E536" t="str">
            <v>ماجد علي حجي الخليفه</v>
          </cell>
          <cell r="F536" t="str">
            <v>Male</v>
          </cell>
          <cell r="G536" t="str">
            <v>متزوج</v>
          </cell>
          <cell r="H536">
            <v>30626</v>
          </cell>
          <cell r="I536">
            <v>43</v>
          </cell>
          <cell r="J536">
            <v>15564</v>
          </cell>
          <cell r="K536" t="str">
            <v>Majed.AlKhalifa@agriserv.sa</v>
          </cell>
          <cell r="L536" t="str">
            <v>0555968882</v>
          </cell>
          <cell r="M536" t="str">
            <v/>
          </cell>
          <cell r="N536" t="str">
            <v>المملكة العربية السعودية</v>
          </cell>
          <cell r="O536" t="str">
            <v>50001236</v>
          </cell>
          <cell r="P536" t="str">
            <v>طبيب بيطري</v>
          </cell>
          <cell r="Q536" t="str">
            <v>الدرجة 4</v>
          </cell>
          <cell r="R536" t="str">
            <v>Class A</v>
          </cell>
          <cell r="S536" t="str">
            <v>محجر البطحاء  (الشرقية)</v>
          </cell>
          <cell r="T536" t="str">
            <v>خدمات المحجر</v>
          </cell>
          <cell r="U536" t="str">
            <v>الاذونات وخدمات المحاجر</v>
          </cell>
          <cell r="V536" t="str">
            <v>العمليات</v>
          </cell>
          <cell r="W536" t="str">
            <v>Ad-Dammam</v>
          </cell>
          <cell r="X536" t="str">
            <v xml:space="preserve">الفرع </v>
          </cell>
          <cell r="Y536">
            <v>45126</v>
          </cell>
          <cell r="Z536">
            <v>2.91</v>
          </cell>
          <cell r="AA536">
            <v>1064</v>
          </cell>
          <cell r="AB536" t="str">
            <v>نشط</v>
          </cell>
          <cell r="AC536" t="str">
            <v>400353</v>
          </cell>
          <cell r="AD536" t="str">
            <v>Adel Alhejji</v>
          </cell>
          <cell r="AE536" t="str">
            <v>إعارة</v>
          </cell>
          <cell r="AF536" t="str">
            <v/>
          </cell>
          <cell r="AG536" t="str">
            <v/>
          </cell>
          <cell r="AH536" t="str">
            <v>علوم حيوان</v>
          </cell>
          <cell r="AI536" t="str">
            <v>ماجستير</v>
          </cell>
          <cell r="AJ536">
            <v>6</v>
          </cell>
          <cell r="AK536">
            <v>3</v>
          </cell>
          <cell r="AL536">
            <v>1</v>
          </cell>
          <cell r="AM536">
            <v>2</v>
          </cell>
          <cell r="AN536" t="str">
            <v/>
          </cell>
          <cell r="AO536" t="str">
            <v>الاذونات وخدمات المحاجر</v>
          </cell>
          <cell r="AP536" t="str">
            <v>Riyad Bank</v>
          </cell>
          <cell r="AQ536" t="str">
            <v>SA5620000003177086129940</v>
          </cell>
          <cell r="AR536">
            <v>13505</v>
          </cell>
          <cell r="AS536" t="str">
            <v/>
          </cell>
          <cell r="AT536">
            <v>650.5</v>
          </cell>
          <cell r="AU536">
            <v>3376.25</v>
          </cell>
          <cell r="AV536" t="str">
            <v/>
          </cell>
        </row>
        <row r="537">
          <cell r="A537">
            <v>400358</v>
          </cell>
          <cell r="B537" t="str">
            <v>1049185109</v>
          </cell>
          <cell r="C537" t="str">
            <v>السيد</v>
          </cell>
          <cell r="D537" t="str">
            <v>Haydar Ali Ahmad Alkhalaf</v>
          </cell>
          <cell r="E537" t="str">
            <v>حيدر علي احمد الخلف</v>
          </cell>
          <cell r="F537" t="str">
            <v>Male</v>
          </cell>
          <cell r="G537" t="str">
            <v>متزوج</v>
          </cell>
          <cell r="H537">
            <v>32152</v>
          </cell>
          <cell r="I537">
            <v>38</v>
          </cell>
          <cell r="J537">
            <v>14038</v>
          </cell>
          <cell r="K537" t="str">
            <v>Haydar.Alkhalaf@agriserv.sa</v>
          </cell>
          <cell r="L537" t="str">
            <v>0547851579</v>
          </cell>
          <cell r="M537" t="str">
            <v/>
          </cell>
          <cell r="N537" t="str">
            <v>المملكة العربية السعودية</v>
          </cell>
          <cell r="O537" t="str">
            <v>50001237</v>
          </cell>
          <cell r="P537" t="str">
            <v>طبيب بيطري</v>
          </cell>
          <cell r="Q537" t="str">
            <v>الدرجة 4</v>
          </cell>
          <cell r="R537" t="str">
            <v>Class A</v>
          </cell>
          <cell r="S537" t="str">
            <v>محجر البطحاء  (الشرقية)</v>
          </cell>
          <cell r="T537" t="str">
            <v>خدمات المحجر</v>
          </cell>
          <cell r="U537" t="str">
            <v>الاذونات وخدمات المحاجر</v>
          </cell>
          <cell r="V537" t="str">
            <v>العمليات</v>
          </cell>
          <cell r="W537" t="str">
            <v>Ad-Dammam</v>
          </cell>
          <cell r="X537" t="str">
            <v xml:space="preserve">الفرع </v>
          </cell>
          <cell r="Y537">
            <v>45126</v>
          </cell>
          <cell r="Z537">
            <v>2.91</v>
          </cell>
          <cell r="AA537">
            <v>1064</v>
          </cell>
          <cell r="AB537" t="str">
            <v>نشط</v>
          </cell>
          <cell r="AC537" t="str">
            <v>400353</v>
          </cell>
          <cell r="AD537" t="str">
            <v>Adel Alhejji</v>
          </cell>
          <cell r="AE537" t="str">
            <v>إعارة</v>
          </cell>
          <cell r="AF537" t="str">
            <v/>
          </cell>
          <cell r="AG537" t="str">
            <v/>
          </cell>
          <cell r="AH537" t="str">
            <v>طب بيطري</v>
          </cell>
          <cell r="AI537" t="str">
            <v>بكالوريوس</v>
          </cell>
          <cell r="AJ537">
            <v>6</v>
          </cell>
          <cell r="AK537">
            <v>3</v>
          </cell>
          <cell r="AL537">
            <v>1</v>
          </cell>
          <cell r="AM537">
            <v>2</v>
          </cell>
          <cell r="AN537" t="str">
            <v/>
          </cell>
          <cell r="AO537" t="str">
            <v>الاذونات وخدمات المحاجر</v>
          </cell>
          <cell r="AP537" t="str">
            <v>Arab National Bank</v>
          </cell>
          <cell r="AQ537" t="str">
            <v>SA3830400108078116020022</v>
          </cell>
          <cell r="AR537">
            <v>13505</v>
          </cell>
          <cell r="AS537" t="str">
            <v/>
          </cell>
          <cell r="AT537">
            <v>650.5</v>
          </cell>
          <cell r="AU537">
            <v>3376.25</v>
          </cell>
          <cell r="AV537" t="str">
            <v/>
          </cell>
        </row>
        <row r="538">
          <cell r="A538">
            <v>400359</v>
          </cell>
          <cell r="B538" t="str">
            <v>1070417306</v>
          </cell>
          <cell r="C538" t="str">
            <v>السيد</v>
          </cell>
          <cell r="D538" t="str">
            <v>Imad Bakhit Salim Alobaidi</v>
          </cell>
          <cell r="E538" t="str">
            <v>عماد بخيت سالم العبيدي</v>
          </cell>
          <cell r="F538" t="str">
            <v>Male</v>
          </cell>
          <cell r="G538" t="str">
            <v>متزوج</v>
          </cell>
          <cell r="H538">
            <v>33225</v>
          </cell>
          <cell r="I538">
            <v>35</v>
          </cell>
          <cell r="J538">
            <v>12965</v>
          </cell>
          <cell r="K538" t="str">
            <v>Emad.AlAbaidi@agriserv.sa</v>
          </cell>
          <cell r="L538" t="str">
            <v>0553210743</v>
          </cell>
          <cell r="M538" t="str">
            <v/>
          </cell>
          <cell r="N538" t="str">
            <v>المملكة العربية السعودية</v>
          </cell>
          <cell r="O538" t="str">
            <v>50001187</v>
          </cell>
          <cell r="P538" t="str">
            <v>طبيب بيطري مساعد</v>
          </cell>
          <cell r="Q538" t="str">
            <v>2B الدرجة</v>
          </cell>
          <cell r="R538" t="str">
            <v>Class A</v>
          </cell>
          <cell r="S538" t="str">
            <v>محجر البطحاء  (الشرقية)</v>
          </cell>
          <cell r="T538" t="str">
            <v>خدمات المحجر</v>
          </cell>
          <cell r="U538" t="str">
            <v>الاذونات وخدمات المحاجر</v>
          </cell>
          <cell r="V538" t="str">
            <v>العمليات</v>
          </cell>
          <cell r="W538" t="str">
            <v>Ad-Dammam</v>
          </cell>
          <cell r="X538" t="str">
            <v xml:space="preserve">الفرع </v>
          </cell>
          <cell r="Y538">
            <v>45126</v>
          </cell>
          <cell r="Z538">
            <v>2.91</v>
          </cell>
          <cell r="AA538">
            <v>1064</v>
          </cell>
          <cell r="AB538" t="str">
            <v>نشط</v>
          </cell>
          <cell r="AC538" t="str">
            <v>400353</v>
          </cell>
          <cell r="AD538" t="str">
            <v>Adel Alhejji</v>
          </cell>
          <cell r="AE538" t="str">
            <v>إعارة</v>
          </cell>
          <cell r="AF538" t="str">
            <v/>
          </cell>
          <cell r="AG538" t="str">
            <v/>
          </cell>
          <cell r="AH538" t="str">
            <v>طب بيطري</v>
          </cell>
          <cell r="AI538" t="str">
            <v>دبلوم</v>
          </cell>
          <cell r="AJ538">
            <v>2</v>
          </cell>
          <cell r="AK538">
            <v>0</v>
          </cell>
          <cell r="AL538">
            <v>1</v>
          </cell>
          <cell r="AM538">
            <v>1</v>
          </cell>
          <cell r="AN538" t="str">
            <v/>
          </cell>
          <cell r="AO538" t="str">
            <v>الاذونات وخدمات المحاجر</v>
          </cell>
          <cell r="AP538" t="str">
            <v>Al Rajhi Bank</v>
          </cell>
          <cell r="AQ538" t="str">
            <v>SA1080000114608010523697</v>
          </cell>
          <cell r="AR538">
            <v>9565</v>
          </cell>
          <cell r="AS538" t="str">
            <v/>
          </cell>
          <cell r="AT538">
            <v>100</v>
          </cell>
          <cell r="AU538">
            <v>2391.25</v>
          </cell>
          <cell r="AV538" t="str">
            <v/>
          </cell>
        </row>
        <row r="539">
          <cell r="A539">
            <v>400360</v>
          </cell>
          <cell r="B539" t="str">
            <v>1030635740</v>
          </cell>
          <cell r="C539" t="str">
            <v>السيد</v>
          </cell>
          <cell r="D539" t="str">
            <v>Ibrahim Ali Moosa Almoosa</v>
          </cell>
          <cell r="E539" t="str">
            <v>ابراهيم علي موسى الموسى</v>
          </cell>
          <cell r="F539" t="str">
            <v>Male</v>
          </cell>
          <cell r="G539" t="str">
            <v>متزوج</v>
          </cell>
          <cell r="H539">
            <v>25458</v>
          </cell>
          <cell r="I539">
            <v>57</v>
          </cell>
          <cell r="J539">
            <v>20732</v>
          </cell>
          <cell r="K539" t="str">
            <v>Ibrahim.AlMousa@agriserv.sa</v>
          </cell>
          <cell r="L539" t="str">
            <v>0504996173</v>
          </cell>
          <cell r="M539" t="str">
            <v/>
          </cell>
          <cell r="N539" t="str">
            <v>المملكة العربية السعودية</v>
          </cell>
          <cell r="O539" t="str">
            <v>50001188</v>
          </cell>
          <cell r="P539" t="str">
            <v>طبيب بيطري مساعد</v>
          </cell>
          <cell r="Q539" t="str">
            <v>2B الدرجة</v>
          </cell>
          <cell r="R539" t="str">
            <v>Class A</v>
          </cell>
          <cell r="S539" t="str">
            <v>محجر البطحاء  (الشرقية)</v>
          </cell>
          <cell r="T539" t="str">
            <v>خدمات المحجر</v>
          </cell>
          <cell r="U539" t="str">
            <v>الاذونات وخدمات المحاجر</v>
          </cell>
          <cell r="V539" t="str">
            <v>العمليات</v>
          </cell>
          <cell r="W539" t="str">
            <v>Ad-Dammam</v>
          </cell>
          <cell r="X539" t="str">
            <v xml:space="preserve">الفرع </v>
          </cell>
          <cell r="Y539">
            <v>45126</v>
          </cell>
          <cell r="Z539">
            <v>2.91</v>
          </cell>
          <cell r="AA539">
            <v>1064</v>
          </cell>
          <cell r="AB539" t="str">
            <v>نشط</v>
          </cell>
          <cell r="AC539" t="str">
            <v>400353</v>
          </cell>
          <cell r="AD539" t="str">
            <v>Adel Alhejji</v>
          </cell>
          <cell r="AE539" t="str">
            <v>إعارة</v>
          </cell>
          <cell r="AF539" t="str">
            <v/>
          </cell>
          <cell r="AG539" t="str">
            <v/>
          </cell>
          <cell r="AH539" t="str">
            <v>انتاج حيواني</v>
          </cell>
          <cell r="AI539" t="str">
            <v>دبلوم</v>
          </cell>
          <cell r="AJ539">
            <v>4</v>
          </cell>
          <cell r="AK539">
            <v>3</v>
          </cell>
          <cell r="AL539">
            <v>1</v>
          </cell>
          <cell r="AM539">
            <v>0</v>
          </cell>
          <cell r="AN539" t="str">
            <v/>
          </cell>
          <cell r="AO539" t="str">
            <v>الاذونات وخدمات المحاجر</v>
          </cell>
          <cell r="AP539" t="str">
            <v>Saudi National Bank</v>
          </cell>
          <cell r="AQ539" t="str">
            <v>SA7310000095800001166207</v>
          </cell>
          <cell r="AR539">
            <v>12120</v>
          </cell>
          <cell r="AS539" t="str">
            <v/>
          </cell>
          <cell r="AT539">
            <v>100</v>
          </cell>
          <cell r="AU539">
            <v>3030</v>
          </cell>
          <cell r="AV539" t="str">
            <v/>
          </cell>
        </row>
        <row r="540">
          <cell r="A540">
            <v>400361</v>
          </cell>
          <cell r="B540" t="str">
            <v>1042492130</v>
          </cell>
          <cell r="C540" t="str">
            <v>السيد</v>
          </cell>
          <cell r="D540" t="str">
            <v>Fahad Youssef Ibrahim Altorky</v>
          </cell>
          <cell r="E540" t="str">
            <v>فهد يوسف ابراهيم التركي</v>
          </cell>
          <cell r="F540" t="str">
            <v>Male</v>
          </cell>
          <cell r="G540" t="str">
            <v>متزوج</v>
          </cell>
          <cell r="H540">
            <v>31871</v>
          </cell>
          <cell r="I540">
            <v>39</v>
          </cell>
          <cell r="J540">
            <v>14319</v>
          </cell>
          <cell r="K540" t="str">
            <v>Fahad.Alturki@agriserv.sa</v>
          </cell>
          <cell r="L540" t="str">
            <v>0556888523</v>
          </cell>
          <cell r="M540" t="str">
            <v/>
          </cell>
          <cell r="N540" t="str">
            <v>المملكة العربية السعودية</v>
          </cell>
          <cell r="O540" t="str">
            <v>50001238</v>
          </cell>
          <cell r="P540" t="str">
            <v>طبيب بيطري</v>
          </cell>
          <cell r="Q540" t="str">
            <v>الدرجة 4</v>
          </cell>
          <cell r="R540" t="str">
            <v>Class A</v>
          </cell>
          <cell r="S540" t="str">
            <v>محجر البطحاء  (الشرقية)</v>
          </cell>
          <cell r="T540" t="str">
            <v>خدمات المحجر</v>
          </cell>
          <cell r="U540" t="str">
            <v>الاذونات وخدمات المحاجر</v>
          </cell>
          <cell r="V540" t="str">
            <v>العمليات</v>
          </cell>
          <cell r="W540" t="str">
            <v>Ad-Dammam</v>
          </cell>
          <cell r="X540" t="str">
            <v xml:space="preserve">الفرع </v>
          </cell>
          <cell r="Y540">
            <v>45126</v>
          </cell>
          <cell r="Z540">
            <v>2.91</v>
          </cell>
          <cell r="AA540">
            <v>1064</v>
          </cell>
          <cell r="AB540" t="str">
            <v>نشط</v>
          </cell>
          <cell r="AC540" t="str">
            <v>400353</v>
          </cell>
          <cell r="AD540" t="str">
            <v>Adel Alhejji</v>
          </cell>
          <cell r="AE540" t="str">
            <v>إعارة</v>
          </cell>
          <cell r="AF540" t="str">
            <v/>
          </cell>
          <cell r="AG540" t="str">
            <v/>
          </cell>
          <cell r="AH540" t="str">
            <v>ثانوية</v>
          </cell>
          <cell r="AI540" t="str">
            <v>شهادة المدرسة الثانوية</v>
          </cell>
          <cell r="AJ540">
            <v>4</v>
          </cell>
          <cell r="AK540">
            <v>2</v>
          </cell>
          <cell r="AL540">
            <v>1</v>
          </cell>
          <cell r="AM540">
            <v>1</v>
          </cell>
          <cell r="AN540" t="str">
            <v/>
          </cell>
          <cell r="AO540" t="str">
            <v>الاذونات وخدمات المحاجر</v>
          </cell>
          <cell r="AP540" t="str">
            <v>Inma Bank</v>
          </cell>
          <cell r="AQ540" t="str">
            <v>SA5805000068202638760001</v>
          </cell>
          <cell r="AR540">
            <v>16274</v>
          </cell>
          <cell r="AS540" t="str">
            <v/>
          </cell>
          <cell r="AT540">
            <v>727.4</v>
          </cell>
          <cell r="AU540">
            <v>4068.5</v>
          </cell>
          <cell r="AV540" t="str">
            <v/>
          </cell>
        </row>
        <row r="541">
          <cell r="A541">
            <v>400362</v>
          </cell>
          <cell r="B541" t="str">
            <v>1067192334</v>
          </cell>
          <cell r="C541" t="str">
            <v>السيد</v>
          </cell>
          <cell r="D541" t="str">
            <v>Saheel Saalm Saheel Almteere</v>
          </cell>
          <cell r="E541" t="str">
            <v>سهل سالم سهل المطيري</v>
          </cell>
          <cell r="F541" t="str">
            <v>Male</v>
          </cell>
          <cell r="G541" t="str">
            <v>متزوج</v>
          </cell>
          <cell r="H541">
            <v>31192</v>
          </cell>
          <cell r="I541">
            <v>41</v>
          </cell>
          <cell r="J541">
            <v>14998</v>
          </cell>
          <cell r="K541" t="str">
            <v>sahal.almutairi@agriserv.sa</v>
          </cell>
          <cell r="L541" t="str">
            <v>0566832360</v>
          </cell>
          <cell r="M541" t="str">
            <v/>
          </cell>
          <cell r="N541" t="str">
            <v>المملكة العربية السعودية</v>
          </cell>
          <cell r="O541" t="str">
            <v>50001150</v>
          </cell>
          <cell r="P541" t="str">
            <v>فني زراعي</v>
          </cell>
          <cell r="Q541" t="str">
            <v>2A الدرجة</v>
          </cell>
          <cell r="R541" t="str">
            <v>Class A</v>
          </cell>
          <cell r="S541" t="str">
            <v>محجر مطار القصيم  (القصيم)</v>
          </cell>
          <cell r="T541" t="str">
            <v>خدمات المحجر</v>
          </cell>
          <cell r="U541" t="str">
            <v>الاذونات وخدمات المحاجر</v>
          </cell>
          <cell r="V541" t="str">
            <v>العمليات</v>
          </cell>
          <cell r="W541" t="str">
            <v>Buraydah</v>
          </cell>
          <cell r="X541" t="str">
            <v xml:space="preserve">الفرع </v>
          </cell>
          <cell r="Y541">
            <v>45126</v>
          </cell>
          <cell r="Z541">
            <v>2.91</v>
          </cell>
          <cell r="AA541">
            <v>1064</v>
          </cell>
          <cell r="AB541" t="str">
            <v>نشط</v>
          </cell>
          <cell r="AC541" t="str">
            <v>400262</v>
          </cell>
          <cell r="AD541" t="str">
            <v>Abdullah Alshadokhi</v>
          </cell>
          <cell r="AE541" t="str">
            <v>إعارة</v>
          </cell>
          <cell r="AF541" t="str">
            <v/>
          </cell>
          <cell r="AG541" t="str">
            <v/>
          </cell>
          <cell r="AH541" t="str">
            <v>سجلات طبيه</v>
          </cell>
          <cell r="AI541" t="str">
            <v>دبلوم</v>
          </cell>
          <cell r="AJ541">
            <v>8</v>
          </cell>
          <cell r="AK541">
            <v>5</v>
          </cell>
          <cell r="AL541">
            <v>1</v>
          </cell>
          <cell r="AM541">
            <v>2</v>
          </cell>
          <cell r="AN541" t="str">
            <v/>
          </cell>
          <cell r="AO541" t="str">
            <v>الاذونات وخدمات المحاجر</v>
          </cell>
          <cell r="AP541" t="str">
            <v>Al Rajhi Bank</v>
          </cell>
          <cell r="AQ541" t="str">
            <v>SA8980000599608016022078</v>
          </cell>
          <cell r="AR541">
            <v>13505</v>
          </cell>
          <cell r="AS541" t="str">
            <v/>
          </cell>
          <cell r="AT541">
            <v>100</v>
          </cell>
          <cell r="AU541">
            <v>3376.25</v>
          </cell>
          <cell r="AV541" t="str">
            <v/>
          </cell>
        </row>
        <row r="542">
          <cell r="A542">
            <v>400363</v>
          </cell>
          <cell r="B542" t="str">
            <v>1029744362</v>
          </cell>
          <cell r="C542" t="str">
            <v>السيد</v>
          </cell>
          <cell r="D542" t="str">
            <v>Bander Mohammed Mdhee AlHarbi</v>
          </cell>
          <cell r="E542" t="str">
            <v>بندر محمد مضحي الحربي</v>
          </cell>
          <cell r="F542" t="str">
            <v>Male</v>
          </cell>
          <cell r="G542" t="str">
            <v>متزوج</v>
          </cell>
          <cell r="H542">
            <v>30486</v>
          </cell>
          <cell r="I542">
            <v>43</v>
          </cell>
          <cell r="J542">
            <v>15704</v>
          </cell>
          <cell r="K542" t="str">
            <v>Bander.Alharbi@agriserv.sa</v>
          </cell>
          <cell r="L542" t="str">
            <v>0558877442</v>
          </cell>
          <cell r="M542" t="str">
            <v/>
          </cell>
          <cell r="N542" t="str">
            <v>المملكة العربية السعودية</v>
          </cell>
          <cell r="O542" t="str">
            <v>50001239</v>
          </cell>
          <cell r="P542" t="str">
            <v>طبيب بيطري</v>
          </cell>
          <cell r="Q542" t="str">
            <v>الدرجة 4</v>
          </cell>
          <cell r="R542" t="str">
            <v>Class A</v>
          </cell>
          <cell r="S542" t="str">
            <v>محجر مطار القصيم  (القصيم)</v>
          </cell>
          <cell r="T542" t="str">
            <v>خدمات المحجر</v>
          </cell>
          <cell r="U542" t="str">
            <v>الاذونات وخدمات المحاجر</v>
          </cell>
          <cell r="V542" t="str">
            <v>العمليات</v>
          </cell>
          <cell r="W542" t="str">
            <v>Buraydah</v>
          </cell>
          <cell r="X542" t="str">
            <v xml:space="preserve">الفرع </v>
          </cell>
          <cell r="Y542">
            <v>45126</v>
          </cell>
          <cell r="Z542">
            <v>2.91</v>
          </cell>
          <cell r="AA542">
            <v>1064</v>
          </cell>
          <cell r="AB542" t="str">
            <v>نشط</v>
          </cell>
          <cell r="AC542" t="str">
            <v>400262</v>
          </cell>
          <cell r="AD542" t="str">
            <v>Abdullah Alshadokhi</v>
          </cell>
          <cell r="AE542" t="str">
            <v>إعارة</v>
          </cell>
          <cell r="AF542" t="str">
            <v/>
          </cell>
          <cell r="AG542" t="str">
            <v/>
          </cell>
          <cell r="AH542" t="str">
            <v>طب بيطري</v>
          </cell>
          <cell r="AI542" t="str">
            <v>بكالوريوس</v>
          </cell>
          <cell r="AJ542">
            <v>7</v>
          </cell>
          <cell r="AK542">
            <v>5</v>
          </cell>
          <cell r="AL542">
            <v>1</v>
          </cell>
          <cell r="AM542">
            <v>1</v>
          </cell>
          <cell r="AN542" t="str">
            <v/>
          </cell>
          <cell r="AO542" t="str">
            <v>الاذونات وخدمات المحاجر</v>
          </cell>
          <cell r="AP542" t="str">
            <v>Al Rajhi Bank</v>
          </cell>
          <cell r="AQ542" t="str">
            <v>SA0680000371608010035328</v>
          </cell>
          <cell r="AR542">
            <v>17115</v>
          </cell>
          <cell r="AS542" t="str">
            <v/>
          </cell>
          <cell r="AT542">
            <v>811.5</v>
          </cell>
          <cell r="AU542">
            <v>4278.75</v>
          </cell>
          <cell r="AV542" t="str">
            <v/>
          </cell>
        </row>
        <row r="543">
          <cell r="A543">
            <v>400364</v>
          </cell>
          <cell r="B543" t="str">
            <v>1064744780</v>
          </cell>
          <cell r="C543" t="str">
            <v>السيد</v>
          </cell>
          <cell r="D543" t="str">
            <v>Naif Salah Ibraheem Alnwesr</v>
          </cell>
          <cell r="E543" t="str">
            <v>نايف صالح ابراهيم النويصر</v>
          </cell>
          <cell r="F543" t="str">
            <v>Male</v>
          </cell>
          <cell r="G543" t="str">
            <v>متزوج</v>
          </cell>
          <cell r="H543">
            <v>32313</v>
          </cell>
          <cell r="I543">
            <v>38</v>
          </cell>
          <cell r="J543">
            <v>13877</v>
          </cell>
          <cell r="K543" t="str">
            <v>Naif.AlNowaiser@agriserv.sa</v>
          </cell>
          <cell r="L543" t="str">
            <v>0503137778</v>
          </cell>
          <cell r="M543" t="str">
            <v/>
          </cell>
          <cell r="N543" t="str">
            <v>المملكة العربية السعودية</v>
          </cell>
          <cell r="O543" t="str">
            <v>50001262</v>
          </cell>
          <cell r="P543" t="str">
            <v>موظف دعم إداري</v>
          </cell>
          <cell r="Q543" t="str">
            <v>2A الدرجة</v>
          </cell>
          <cell r="R543" t="str">
            <v>Class A</v>
          </cell>
          <cell r="S543" t="str">
            <v>محجر مطار القصيم  (القصيم)</v>
          </cell>
          <cell r="T543" t="str">
            <v>خدمات المحجر</v>
          </cell>
          <cell r="U543" t="str">
            <v>الاذونات وخدمات المحاجر</v>
          </cell>
          <cell r="V543" t="str">
            <v>العمليات</v>
          </cell>
          <cell r="W543" t="str">
            <v>Buraydah</v>
          </cell>
          <cell r="X543" t="str">
            <v xml:space="preserve">الفرع </v>
          </cell>
          <cell r="Y543">
            <v>45126</v>
          </cell>
          <cell r="Z543">
            <v>2.91</v>
          </cell>
          <cell r="AA543">
            <v>1064</v>
          </cell>
          <cell r="AB543" t="str">
            <v>نشط</v>
          </cell>
          <cell r="AC543" t="str">
            <v>400262</v>
          </cell>
          <cell r="AD543" t="str">
            <v>Abdullah Alshadokhi</v>
          </cell>
          <cell r="AE543" t="str">
            <v>إعارة</v>
          </cell>
          <cell r="AF543" t="str">
            <v/>
          </cell>
          <cell r="AG543" t="str">
            <v/>
          </cell>
          <cell r="AH543" t="str">
            <v>ثانوية</v>
          </cell>
          <cell r="AI543" t="str">
            <v>شهادة المدرسة الثانوية</v>
          </cell>
          <cell r="AJ543">
            <v>3</v>
          </cell>
          <cell r="AK543">
            <v>2</v>
          </cell>
          <cell r="AL543">
            <v>1</v>
          </cell>
          <cell r="AM543">
            <v>0</v>
          </cell>
          <cell r="AN543" t="str">
            <v/>
          </cell>
          <cell r="AO543" t="str">
            <v>الاذونات وخدمات المحاجر</v>
          </cell>
          <cell r="AP543" t="str">
            <v>Al Rajhi Bank</v>
          </cell>
          <cell r="AQ543" t="str">
            <v>SA9080000418608010098396</v>
          </cell>
          <cell r="AR543">
            <v>4724</v>
          </cell>
          <cell r="AS543" t="str">
            <v/>
          </cell>
          <cell r="AT543">
            <v>72.400000000000006</v>
          </cell>
          <cell r="AU543">
            <v>1181</v>
          </cell>
          <cell r="AV543" t="str">
            <v/>
          </cell>
        </row>
        <row r="544">
          <cell r="A544">
            <v>400365</v>
          </cell>
          <cell r="B544" t="str">
            <v>1012630354</v>
          </cell>
          <cell r="C544" t="str">
            <v>السيد</v>
          </cell>
          <cell r="D544" t="str">
            <v>Mostafa Abdulhadi Mostafa Karsoum</v>
          </cell>
          <cell r="E544" t="str">
            <v>مصطفى عبدالهادي مصطفى كرسوم</v>
          </cell>
          <cell r="F544" t="str">
            <v>Male</v>
          </cell>
          <cell r="G544" t="str">
            <v>متزوج</v>
          </cell>
          <cell r="H544">
            <v>30213</v>
          </cell>
          <cell r="I544">
            <v>44</v>
          </cell>
          <cell r="J544">
            <v>15977</v>
          </cell>
          <cell r="K544" t="str">
            <v>Mostafa.Karsoum@agriserv.sa</v>
          </cell>
          <cell r="L544" t="str">
            <v>0507070607</v>
          </cell>
          <cell r="M544" t="str">
            <v/>
          </cell>
          <cell r="N544" t="str">
            <v>المملكة العربية السعودية</v>
          </cell>
          <cell r="O544" t="str">
            <v>50001203</v>
          </cell>
          <cell r="P544" t="str">
            <v>فني مختبرات</v>
          </cell>
          <cell r="Q544" t="str">
            <v>2A الدرجة</v>
          </cell>
          <cell r="R544" t="str">
            <v>Class A</v>
          </cell>
          <cell r="S544" t="str">
            <v>محجر ميناء ينبع  (المدينة المنورة)</v>
          </cell>
          <cell r="T544" t="str">
            <v>خدمات المحجر</v>
          </cell>
          <cell r="U544" t="str">
            <v>الاذونات وخدمات المحاجر</v>
          </cell>
          <cell r="V544" t="str">
            <v>العمليات</v>
          </cell>
          <cell r="W544" t="str">
            <v>Al-Madinah</v>
          </cell>
          <cell r="X544" t="str">
            <v xml:space="preserve">الفرع </v>
          </cell>
          <cell r="Y544">
            <v>45126</v>
          </cell>
          <cell r="Z544">
            <v>2.91</v>
          </cell>
          <cell r="AA544">
            <v>1064</v>
          </cell>
          <cell r="AB544" t="str">
            <v>نشط</v>
          </cell>
          <cell r="AC544" t="str">
            <v>400261</v>
          </cell>
          <cell r="AD544" t="str">
            <v>Bander Alqamdee</v>
          </cell>
          <cell r="AE544" t="str">
            <v>إعارة</v>
          </cell>
          <cell r="AF544" t="str">
            <v/>
          </cell>
          <cell r="AG544" t="str">
            <v/>
          </cell>
          <cell r="AH544" t="str">
            <v>علم الإحياء</v>
          </cell>
          <cell r="AI544" t="str">
            <v>بكالوريوس</v>
          </cell>
          <cell r="AJ544">
            <v>7</v>
          </cell>
          <cell r="AK544">
            <v>4</v>
          </cell>
          <cell r="AL544">
            <v>1</v>
          </cell>
          <cell r="AM544">
            <v>2</v>
          </cell>
          <cell r="AN544" t="str">
            <v/>
          </cell>
          <cell r="AO544" t="str">
            <v>الاذونات وخدمات المحاجر</v>
          </cell>
          <cell r="AP544" t="str">
            <v>Bank Al Bilad</v>
          </cell>
          <cell r="AQ544" t="str">
            <v>SA5915000724106960060002</v>
          </cell>
          <cell r="AR544">
            <v>15375</v>
          </cell>
          <cell r="AS544" t="str">
            <v/>
          </cell>
          <cell r="AT544">
            <v>100</v>
          </cell>
          <cell r="AU544">
            <v>3843.75</v>
          </cell>
          <cell r="AV544" t="str">
            <v/>
          </cell>
        </row>
        <row r="545">
          <cell r="A545">
            <v>400366</v>
          </cell>
          <cell r="B545" t="str">
            <v>1033925536</v>
          </cell>
          <cell r="C545" t="str">
            <v>السيد</v>
          </cell>
          <cell r="D545" t="str">
            <v>Omar Obeed Mahammad Balhamar</v>
          </cell>
          <cell r="E545" t="str">
            <v>عمر عبيد محمد بلحمر</v>
          </cell>
          <cell r="F545" t="str">
            <v>Male</v>
          </cell>
          <cell r="G545" t="str">
            <v>متزوج</v>
          </cell>
          <cell r="H545">
            <v>24277</v>
          </cell>
          <cell r="I545">
            <v>60</v>
          </cell>
          <cell r="J545">
            <v>21913</v>
          </cell>
          <cell r="K545" t="str">
            <v>omar.balhamer@agriserv.sa</v>
          </cell>
          <cell r="L545" t="str">
            <v>0505305725</v>
          </cell>
          <cell r="M545" t="str">
            <v/>
          </cell>
          <cell r="N545" t="str">
            <v>المملكة العربية السعودية</v>
          </cell>
          <cell r="O545" t="str">
            <v>50001142</v>
          </cell>
          <cell r="P545" t="str">
            <v>مهندس زراعي</v>
          </cell>
          <cell r="Q545" t="str">
            <v>الدرجة 3</v>
          </cell>
          <cell r="R545" t="str">
            <v>Class A</v>
          </cell>
          <cell r="S545" t="str">
            <v>محجر مطار الأمير محمد بن عبدالعزيز (المدينة المنورة)</v>
          </cell>
          <cell r="T545" t="str">
            <v>خدمات المحجر</v>
          </cell>
          <cell r="U545" t="str">
            <v>الاذونات وخدمات المحاجر</v>
          </cell>
          <cell r="V545" t="str">
            <v>العمليات</v>
          </cell>
          <cell r="W545" t="str">
            <v>Al-Madinah</v>
          </cell>
          <cell r="X545" t="str">
            <v xml:space="preserve">الفرع </v>
          </cell>
          <cell r="Y545">
            <v>45126</v>
          </cell>
          <cell r="Z545">
            <v>2.91</v>
          </cell>
          <cell r="AA545">
            <v>1064</v>
          </cell>
          <cell r="AB545" t="str">
            <v>غير نشط</v>
          </cell>
          <cell r="AC545" t="str">
            <v>400260</v>
          </cell>
          <cell r="AD545" t="str">
            <v>Turki Alghashmari</v>
          </cell>
          <cell r="AE545" t="str">
            <v>إعارة</v>
          </cell>
          <cell r="AF545">
            <v>45504</v>
          </cell>
          <cell r="AG545" t="str">
            <v/>
          </cell>
          <cell r="AH545" t="str">
            <v>بساتين</v>
          </cell>
          <cell r="AI545" t="str">
            <v>بكالوريوس</v>
          </cell>
          <cell r="AJ545">
            <v>5</v>
          </cell>
          <cell r="AK545">
            <v>4</v>
          </cell>
          <cell r="AL545">
            <v>1</v>
          </cell>
          <cell r="AM545">
            <v>0</v>
          </cell>
          <cell r="AN545" t="str">
            <v/>
          </cell>
          <cell r="AO545" t="str">
            <v>Certificates and Others Documents</v>
          </cell>
          <cell r="AP545" t="str">
            <v>Saudi National Bank</v>
          </cell>
          <cell r="AQ545" t="str">
            <v>SA5410000033050000000109</v>
          </cell>
          <cell r="AR545">
            <v>21835</v>
          </cell>
          <cell r="AS545" t="str">
            <v/>
          </cell>
          <cell r="AT545">
            <v>1100</v>
          </cell>
          <cell r="AU545">
            <v>5458.75</v>
          </cell>
          <cell r="AV545" t="str">
            <v/>
          </cell>
        </row>
        <row r="546">
          <cell r="A546">
            <v>400367</v>
          </cell>
          <cell r="B546" t="str">
            <v>1004527501</v>
          </cell>
          <cell r="C546" t="str">
            <v>السيد</v>
          </cell>
          <cell r="D546" t="str">
            <v>Fayz Muhmmad Saeid Aljohani</v>
          </cell>
          <cell r="E546" t="str">
            <v>فائز محمد سعيد الجهني</v>
          </cell>
          <cell r="F546" t="str">
            <v>Male</v>
          </cell>
          <cell r="G546" t="str">
            <v>متزوج</v>
          </cell>
          <cell r="H546">
            <v>27839</v>
          </cell>
          <cell r="I546">
            <v>50</v>
          </cell>
          <cell r="J546">
            <v>18351</v>
          </cell>
          <cell r="K546" t="str">
            <v>Fayz.Aljohani@agriserv.sa</v>
          </cell>
          <cell r="L546" t="str">
            <v>0506332588</v>
          </cell>
          <cell r="M546" t="str">
            <v/>
          </cell>
          <cell r="N546" t="str">
            <v>المملكة العربية السعودية</v>
          </cell>
          <cell r="O546" t="str">
            <v>50001240</v>
          </cell>
          <cell r="P546" t="str">
            <v>طبيب بيطري</v>
          </cell>
          <cell r="Q546" t="str">
            <v>الدرجة 4</v>
          </cell>
          <cell r="R546" t="str">
            <v>Class A</v>
          </cell>
          <cell r="S546" t="str">
            <v>محجر مطار الأمير محمد بن عبدالعزيز (المدينة المنورة)</v>
          </cell>
          <cell r="T546" t="str">
            <v>خدمات المحجر</v>
          </cell>
          <cell r="U546" t="str">
            <v>الاذونات وخدمات المحاجر</v>
          </cell>
          <cell r="V546" t="str">
            <v>العمليات</v>
          </cell>
          <cell r="W546" t="str">
            <v>Al-Madinah</v>
          </cell>
          <cell r="X546" t="str">
            <v xml:space="preserve">الفرع </v>
          </cell>
          <cell r="Y546">
            <v>45126</v>
          </cell>
          <cell r="Z546">
            <v>2.91</v>
          </cell>
          <cell r="AA546">
            <v>1064</v>
          </cell>
          <cell r="AB546" t="str">
            <v>نشط</v>
          </cell>
          <cell r="AC546" t="str">
            <v>400260</v>
          </cell>
          <cell r="AD546" t="str">
            <v>Turki Alghashmari</v>
          </cell>
          <cell r="AE546" t="str">
            <v>إعارة</v>
          </cell>
          <cell r="AF546" t="str">
            <v/>
          </cell>
          <cell r="AG546" t="str">
            <v/>
          </cell>
          <cell r="AH546" t="str">
            <v>طب بيطري</v>
          </cell>
          <cell r="AI546" t="str">
            <v>بكالوريوس</v>
          </cell>
          <cell r="AJ546">
            <v>4</v>
          </cell>
          <cell r="AK546">
            <v>2</v>
          </cell>
          <cell r="AL546">
            <v>1</v>
          </cell>
          <cell r="AM546">
            <v>1</v>
          </cell>
          <cell r="AN546" t="str">
            <v/>
          </cell>
          <cell r="AO546" t="str">
            <v>الاذونات وخدمات المحاجر</v>
          </cell>
          <cell r="AP546" t="str">
            <v>Inma Bank</v>
          </cell>
          <cell r="AQ546" t="str">
            <v>SA7105000068205601129000</v>
          </cell>
          <cell r="AR546">
            <v>18705</v>
          </cell>
          <cell r="AS546" t="str">
            <v/>
          </cell>
          <cell r="AT546">
            <v>970.5</v>
          </cell>
          <cell r="AU546">
            <v>4676.25</v>
          </cell>
          <cell r="AV546" t="str">
            <v/>
          </cell>
        </row>
        <row r="547">
          <cell r="A547">
            <v>400368</v>
          </cell>
          <cell r="B547" t="str">
            <v>1011904032</v>
          </cell>
          <cell r="C547" t="str">
            <v>السيد</v>
          </cell>
          <cell r="D547" t="str">
            <v>Hatem Abdullah Ghali Almaklafi</v>
          </cell>
          <cell r="E547" t="str">
            <v>حاتم عبدالله غالي المخلفي</v>
          </cell>
          <cell r="F547" t="str">
            <v>Male</v>
          </cell>
          <cell r="G547" t="str">
            <v>متزوج</v>
          </cell>
          <cell r="H547">
            <v>25104</v>
          </cell>
          <cell r="I547">
            <v>58</v>
          </cell>
          <cell r="J547">
            <v>21086</v>
          </cell>
          <cell r="K547" t="str">
            <v>Hatem.Almaklafi@agriserv.sa</v>
          </cell>
          <cell r="L547" t="str">
            <v>0505347747</v>
          </cell>
          <cell r="M547" t="str">
            <v/>
          </cell>
          <cell r="N547" t="str">
            <v>المملكة العربية السعودية</v>
          </cell>
          <cell r="O547" t="str">
            <v>50001189</v>
          </cell>
          <cell r="P547" t="str">
            <v>طبيب بيطري مساعد</v>
          </cell>
          <cell r="Q547" t="str">
            <v>2B الدرجة</v>
          </cell>
          <cell r="R547" t="str">
            <v>Class A</v>
          </cell>
          <cell r="S547" t="str">
            <v>محجر مطار الأمير محمد بن عبدالعزيز (المدينة المنورة)</v>
          </cell>
          <cell r="T547" t="str">
            <v>خدمات المحجر</v>
          </cell>
          <cell r="U547" t="str">
            <v>الاذونات وخدمات المحاجر</v>
          </cell>
          <cell r="V547" t="str">
            <v>العمليات</v>
          </cell>
          <cell r="W547" t="str">
            <v>Al-Madinah</v>
          </cell>
          <cell r="X547" t="str">
            <v xml:space="preserve">الفرع </v>
          </cell>
          <cell r="Y547">
            <v>45126</v>
          </cell>
          <cell r="Z547">
            <v>2.91</v>
          </cell>
          <cell r="AA547">
            <v>1064</v>
          </cell>
          <cell r="AB547" t="str">
            <v>نشط</v>
          </cell>
          <cell r="AC547" t="str">
            <v>400260</v>
          </cell>
          <cell r="AD547" t="str">
            <v>Turki Alghashmari</v>
          </cell>
          <cell r="AE547" t="str">
            <v>إعارة</v>
          </cell>
          <cell r="AF547" t="str">
            <v/>
          </cell>
          <cell r="AG547" t="str">
            <v/>
          </cell>
          <cell r="AH547" t="str">
            <v>انتاج حيواني</v>
          </cell>
          <cell r="AI547" t="str">
            <v>دبلوم</v>
          </cell>
          <cell r="AJ547">
            <v>8</v>
          </cell>
          <cell r="AK547">
            <v>6</v>
          </cell>
          <cell r="AL547">
            <v>2</v>
          </cell>
          <cell r="AM547">
            <v>0</v>
          </cell>
          <cell r="AN547" t="str">
            <v/>
          </cell>
          <cell r="AO547" t="str">
            <v>الاذونات وخدمات المحاجر</v>
          </cell>
          <cell r="AP547" t="str">
            <v>Riyad Bank</v>
          </cell>
          <cell r="AQ547" t="str">
            <v>SA9020000001052771869940</v>
          </cell>
          <cell r="AR547">
            <v>13820</v>
          </cell>
          <cell r="AS547" t="str">
            <v/>
          </cell>
          <cell r="AT547">
            <v>100</v>
          </cell>
          <cell r="AU547">
            <v>3455</v>
          </cell>
          <cell r="AV547" t="str">
            <v/>
          </cell>
        </row>
        <row r="548">
          <cell r="A548">
            <v>400369</v>
          </cell>
          <cell r="B548" t="str">
            <v>1013465016</v>
          </cell>
          <cell r="C548" t="str">
            <v>السيد</v>
          </cell>
          <cell r="D548" t="str">
            <v>Ahmed Saud Mansour Alraddadi</v>
          </cell>
          <cell r="E548" t="str">
            <v>احمد سعود منصور الردادي</v>
          </cell>
          <cell r="F548" t="str">
            <v>Male</v>
          </cell>
          <cell r="G548" t="str">
            <v>متزوج</v>
          </cell>
          <cell r="H548">
            <v>28293</v>
          </cell>
          <cell r="I548">
            <v>49</v>
          </cell>
          <cell r="J548">
            <v>17897</v>
          </cell>
          <cell r="K548" t="str">
            <v>Ahmed.AlRdadi@agriserv.sa</v>
          </cell>
          <cell r="L548" t="str">
            <v>0552529200</v>
          </cell>
          <cell r="M548" t="str">
            <v/>
          </cell>
          <cell r="N548" t="str">
            <v>المملكة العربية السعودية</v>
          </cell>
          <cell r="O548" t="str">
            <v>50001204</v>
          </cell>
          <cell r="P548" t="str">
            <v>فني مختبرات</v>
          </cell>
          <cell r="Q548" t="str">
            <v>2A الدرجة</v>
          </cell>
          <cell r="R548" t="str">
            <v>Class A</v>
          </cell>
          <cell r="S548" t="str">
            <v>محجر مطار الأمير محمد بن عبدالعزيز (المدينة المنورة)</v>
          </cell>
          <cell r="T548" t="str">
            <v>خدمات المحجر</v>
          </cell>
          <cell r="U548" t="str">
            <v>الاذونات وخدمات المحاجر</v>
          </cell>
          <cell r="V548" t="str">
            <v>العمليات</v>
          </cell>
          <cell r="W548" t="str">
            <v>Al-Madinah</v>
          </cell>
          <cell r="X548" t="str">
            <v xml:space="preserve">الفرع </v>
          </cell>
          <cell r="Y548">
            <v>45126</v>
          </cell>
          <cell r="Z548">
            <v>2.91</v>
          </cell>
          <cell r="AA548">
            <v>1064</v>
          </cell>
          <cell r="AB548" t="str">
            <v>نشط</v>
          </cell>
          <cell r="AC548" t="str">
            <v>400260</v>
          </cell>
          <cell r="AD548" t="str">
            <v>Turki Alghashmari</v>
          </cell>
          <cell r="AE548" t="str">
            <v>إعارة</v>
          </cell>
          <cell r="AF548" t="str">
            <v/>
          </cell>
          <cell r="AG548" t="str">
            <v/>
          </cell>
          <cell r="AH548" t="str">
            <v>مختبرات طبيه</v>
          </cell>
          <cell r="AI548" t="str">
            <v>دبلوم</v>
          </cell>
          <cell r="AJ548">
            <v>1</v>
          </cell>
          <cell r="AK548">
            <v>0</v>
          </cell>
          <cell r="AL548">
            <v>1</v>
          </cell>
          <cell r="AM548">
            <v>0</v>
          </cell>
          <cell r="AN548" t="str">
            <v/>
          </cell>
          <cell r="AO548" t="str">
            <v>الاذونات وخدمات المحاجر</v>
          </cell>
          <cell r="AP548" t="str">
            <v>Al Rajhi Bank</v>
          </cell>
          <cell r="AQ548" t="str">
            <v>SA9780000218608010181020</v>
          </cell>
          <cell r="AR548">
            <v>11330</v>
          </cell>
          <cell r="AS548" t="str">
            <v/>
          </cell>
          <cell r="AT548">
            <v>100</v>
          </cell>
          <cell r="AU548">
            <v>2832.5</v>
          </cell>
          <cell r="AV548" t="str">
            <v/>
          </cell>
        </row>
        <row r="549">
          <cell r="A549">
            <v>400370</v>
          </cell>
          <cell r="B549" t="str">
            <v>1074985001</v>
          </cell>
          <cell r="C549" t="str">
            <v>السيد</v>
          </cell>
          <cell r="D549" t="str">
            <v>Yazed Abdalsalam Hamdan Albalawy</v>
          </cell>
          <cell r="E549" t="str">
            <v>يزيد عبدالسلام حمدان البلوي</v>
          </cell>
          <cell r="F549" t="str">
            <v>Male</v>
          </cell>
          <cell r="G549" t="str">
            <v>أعزب</v>
          </cell>
          <cell r="H549">
            <v>32509</v>
          </cell>
          <cell r="I549">
            <v>37</v>
          </cell>
          <cell r="J549">
            <v>13681</v>
          </cell>
          <cell r="K549" t="str">
            <v>Yazeed.AlBalawi@agriserv.sa</v>
          </cell>
          <cell r="L549" t="str">
            <v>0556189114</v>
          </cell>
          <cell r="M549" t="str">
            <v/>
          </cell>
          <cell r="N549" t="str">
            <v>المملكة العربية السعودية</v>
          </cell>
          <cell r="O549" t="str">
            <v>50001152</v>
          </cell>
          <cell r="P549" t="str">
            <v>فني زراعي</v>
          </cell>
          <cell r="Q549" t="str">
            <v>2A الدرجة</v>
          </cell>
          <cell r="R549" t="str">
            <v>Class A</v>
          </cell>
          <cell r="S549" t="str">
            <v>منفذ ضباء  (تبوك)</v>
          </cell>
          <cell r="T549" t="str">
            <v>خدمات المحجر</v>
          </cell>
          <cell r="U549" t="str">
            <v>الاذونات وخدمات المحاجر</v>
          </cell>
          <cell r="V549" t="str">
            <v>العمليات</v>
          </cell>
          <cell r="W549" t="str">
            <v>Tabbuk</v>
          </cell>
          <cell r="X549" t="str">
            <v xml:space="preserve">الفرع </v>
          </cell>
          <cell r="Y549">
            <v>45126</v>
          </cell>
          <cell r="Z549">
            <v>2.91</v>
          </cell>
          <cell r="AA549">
            <v>1064</v>
          </cell>
          <cell r="AB549" t="str">
            <v>نشط</v>
          </cell>
          <cell r="AC549" t="str">
            <v>400259</v>
          </cell>
          <cell r="AD549" t="str">
            <v>Fayez Alamrry</v>
          </cell>
          <cell r="AE549" t="str">
            <v>إعارة</v>
          </cell>
          <cell r="AF549" t="str">
            <v/>
          </cell>
          <cell r="AG549" t="str">
            <v/>
          </cell>
          <cell r="AH549" t="str">
            <v>وقاية النبات</v>
          </cell>
          <cell r="AI549" t="str">
            <v>بكالوريوس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 t="str">
            <v/>
          </cell>
          <cell r="AO549" t="str">
            <v>الاذونات وخدمات المحاجر</v>
          </cell>
          <cell r="AP549" t="str">
            <v>Al Rajhi Bank</v>
          </cell>
          <cell r="AQ549" t="str">
            <v>SA5880000165608012008554</v>
          </cell>
          <cell r="AR549">
            <v>8440</v>
          </cell>
          <cell r="AS549" t="str">
            <v/>
          </cell>
          <cell r="AT549">
            <v>300</v>
          </cell>
          <cell r="AU549">
            <v>2110</v>
          </cell>
          <cell r="AV549" t="str">
            <v/>
          </cell>
        </row>
        <row r="550">
          <cell r="A550">
            <v>400371</v>
          </cell>
          <cell r="B550" t="str">
            <v>1074291806</v>
          </cell>
          <cell r="C550" t="str">
            <v>السيد</v>
          </cell>
          <cell r="D550" t="str">
            <v>Khalaf Zamil Khalaf Alshammari</v>
          </cell>
          <cell r="E550" t="str">
            <v>خلف زامل خلف الشمري</v>
          </cell>
          <cell r="F550" t="str">
            <v>Male</v>
          </cell>
          <cell r="G550" t="str">
            <v>أعزب</v>
          </cell>
          <cell r="H550">
            <v>33503</v>
          </cell>
          <cell r="I550">
            <v>35</v>
          </cell>
          <cell r="J550">
            <v>12687</v>
          </cell>
          <cell r="K550" t="str">
            <v>Khalaf.AlShammari@agriserv.sa</v>
          </cell>
          <cell r="L550" t="str">
            <v>0595669618</v>
          </cell>
          <cell r="M550" t="str">
            <v/>
          </cell>
          <cell r="N550" t="str">
            <v>المملكة العربية السعودية</v>
          </cell>
          <cell r="O550" t="str">
            <v>50000941</v>
          </cell>
          <cell r="P550" t="str">
            <v>فني زراعي</v>
          </cell>
          <cell r="Q550" t="str">
            <v>2A الدرجة</v>
          </cell>
          <cell r="R550" t="str">
            <v>Class A</v>
          </cell>
          <cell r="S550" t="str">
            <v>محجر مطار الأمير محمد بن عبدالعزيز (المدينة المنورة)</v>
          </cell>
          <cell r="T550" t="str">
            <v>خدمات المحجر</v>
          </cell>
          <cell r="U550" t="str">
            <v>الاذونات وخدمات المحاجر</v>
          </cell>
          <cell r="V550" t="str">
            <v>العمليات</v>
          </cell>
          <cell r="W550" t="str">
            <v>Al-Madinah</v>
          </cell>
          <cell r="X550" t="str">
            <v xml:space="preserve">الفرع </v>
          </cell>
          <cell r="Y550">
            <v>45126</v>
          </cell>
          <cell r="Z550">
            <v>2.91</v>
          </cell>
          <cell r="AA550">
            <v>1064</v>
          </cell>
          <cell r="AB550" t="str">
            <v>نشط</v>
          </cell>
          <cell r="AC550" t="str">
            <v>400260</v>
          </cell>
          <cell r="AD550" t="str">
            <v>Turki Alghashmari</v>
          </cell>
          <cell r="AE550" t="str">
            <v>إعارة</v>
          </cell>
          <cell r="AF550" t="str">
            <v/>
          </cell>
          <cell r="AG550" t="str">
            <v/>
          </cell>
          <cell r="AH550" t="str">
            <v>وقاية النبات</v>
          </cell>
          <cell r="AI550" t="str">
            <v>بكالوريوس</v>
          </cell>
          <cell r="AJ550">
            <v>3</v>
          </cell>
          <cell r="AK550">
            <v>0</v>
          </cell>
          <cell r="AL550">
            <v>1</v>
          </cell>
          <cell r="AM550">
            <v>2</v>
          </cell>
          <cell r="AN550" t="str">
            <v/>
          </cell>
          <cell r="AO550" t="str">
            <v>الاذونات وخدمات المحاجر</v>
          </cell>
          <cell r="AP550" t="str">
            <v>Saudi National Bank</v>
          </cell>
          <cell r="AQ550" t="str">
            <v>SA2010000036074242000108</v>
          </cell>
          <cell r="AR550">
            <v>8521</v>
          </cell>
          <cell r="AS550" t="str">
            <v/>
          </cell>
          <cell r="AT550">
            <v>300</v>
          </cell>
          <cell r="AU550">
            <v>2130.25</v>
          </cell>
          <cell r="AV550" t="str">
            <v/>
          </cell>
        </row>
        <row r="551">
          <cell r="A551">
            <v>400372</v>
          </cell>
          <cell r="B551" t="str">
            <v>1027517133</v>
          </cell>
          <cell r="C551" t="str">
            <v>السيد</v>
          </cell>
          <cell r="D551" t="str">
            <v>Abdullah Ibrahem Abdullah Almewelhi</v>
          </cell>
          <cell r="E551" t="str">
            <v>عبدالله إبراهيم عبدالله المويلحي</v>
          </cell>
          <cell r="F551" t="str">
            <v>Male</v>
          </cell>
          <cell r="G551" t="str">
            <v>أعزب</v>
          </cell>
          <cell r="H551">
            <v>30936</v>
          </cell>
          <cell r="I551">
            <v>42</v>
          </cell>
          <cell r="J551">
            <v>15254</v>
          </cell>
          <cell r="K551" t="str">
            <v>abdullah.almuwailihi@agriserv.sa</v>
          </cell>
          <cell r="L551" t="str">
            <v>0501581921</v>
          </cell>
          <cell r="M551" t="str">
            <v/>
          </cell>
          <cell r="N551" t="str">
            <v>المملكة العربية السعودية</v>
          </cell>
          <cell r="O551" t="str">
            <v>50001263</v>
          </cell>
          <cell r="P551" t="str">
            <v>موظف دعم إداري</v>
          </cell>
          <cell r="Q551" t="str">
            <v>2A الدرجة</v>
          </cell>
          <cell r="R551" t="str">
            <v>Class A</v>
          </cell>
          <cell r="S551" t="str">
            <v>منفذ ضباء  (تبوك)</v>
          </cell>
          <cell r="T551" t="str">
            <v>خدمات المحجر</v>
          </cell>
          <cell r="U551" t="str">
            <v>الاذونات وخدمات المحاجر</v>
          </cell>
          <cell r="V551" t="str">
            <v>العمليات</v>
          </cell>
          <cell r="W551" t="str">
            <v>Tabbuk</v>
          </cell>
          <cell r="X551" t="str">
            <v xml:space="preserve">الفرع </v>
          </cell>
          <cell r="Y551">
            <v>45126</v>
          </cell>
          <cell r="Z551">
            <v>2.91</v>
          </cell>
          <cell r="AA551">
            <v>1064</v>
          </cell>
          <cell r="AB551" t="str">
            <v>نشط</v>
          </cell>
          <cell r="AC551" t="str">
            <v>400259</v>
          </cell>
          <cell r="AD551" t="str">
            <v>Fayez Alamrry</v>
          </cell>
          <cell r="AE551" t="str">
            <v>إعارة</v>
          </cell>
          <cell r="AF551" t="str">
            <v/>
          </cell>
          <cell r="AG551" t="str">
            <v/>
          </cell>
          <cell r="AH551" t="str">
            <v>علوم كمبيوتر</v>
          </cell>
          <cell r="AI551" t="str">
            <v>دبلوم</v>
          </cell>
          <cell r="AJ551">
            <v>2</v>
          </cell>
          <cell r="AK551">
            <v>0</v>
          </cell>
          <cell r="AL551">
            <v>0</v>
          </cell>
          <cell r="AM551">
            <v>2</v>
          </cell>
          <cell r="AN551" t="str">
            <v/>
          </cell>
          <cell r="AO551" t="str">
            <v>الاذونات وخدمات المحاجر</v>
          </cell>
          <cell r="AP551" t="str">
            <v>Saudi National Bank</v>
          </cell>
          <cell r="AQ551" t="str">
            <v>SA9710000036649250000102</v>
          </cell>
          <cell r="AR551">
            <v>9930</v>
          </cell>
          <cell r="AS551" t="str">
            <v/>
          </cell>
          <cell r="AT551">
            <v>100</v>
          </cell>
          <cell r="AU551">
            <v>2482.5</v>
          </cell>
          <cell r="AV551" t="str">
            <v/>
          </cell>
        </row>
        <row r="552">
          <cell r="A552">
            <v>400373</v>
          </cell>
          <cell r="B552" t="str">
            <v>1025142694</v>
          </cell>
          <cell r="C552" t="str">
            <v>السيد</v>
          </cell>
          <cell r="D552" t="str">
            <v>Ibrahim Ead Mareai Alzmhari</v>
          </cell>
          <cell r="E552" t="str">
            <v>ابراهيم عيد مرعي الزمهري</v>
          </cell>
          <cell r="F552" t="str">
            <v>Male</v>
          </cell>
          <cell r="G552" t="str">
            <v>متزوج</v>
          </cell>
          <cell r="H552">
            <v>29710</v>
          </cell>
          <cell r="I552">
            <v>45</v>
          </cell>
          <cell r="J552">
            <v>16480</v>
          </cell>
          <cell r="K552" t="str">
            <v>Ibrahim.AlZamhari@agriserv.sa</v>
          </cell>
          <cell r="L552" t="str">
            <v>0559196459</v>
          </cell>
          <cell r="M552" t="str">
            <v/>
          </cell>
          <cell r="N552" t="str">
            <v>المملكة العربية السعودية</v>
          </cell>
          <cell r="O552" t="str">
            <v>50001264</v>
          </cell>
          <cell r="P552" t="str">
            <v>موظف دعم إداري</v>
          </cell>
          <cell r="Q552" t="str">
            <v>2A الدرجة</v>
          </cell>
          <cell r="R552" t="str">
            <v>Class A</v>
          </cell>
          <cell r="S552" t="str">
            <v>منفذ ضباء  (تبوك)</v>
          </cell>
          <cell r="T552" t="str">
            <v>خدمات المحجر</v>
          </cell>
          <cell r="U552" t="str">
            <v>الاذونات وخدمات المحاجر</v>
          </cell>
          <cell r="V552" t="str">
            <v>العمليات</v>
          </cell>
          <cell r="W552" t="str">
            <v>Tabbuk</v>
          </cell>
          <cell r="X552" t="str">
            <v xml:space="preserve">الفرع </v>
          </cell>
          <cell r="Y552">
            <v>45126</v>
          </cell>
          <cell r="Z552">
            <v>2.91</v>
          </cell>
          <cell r="AA552">
            <v>1064</v>
          </cell>
          <cell r="AB552" t="str">
            <v>نشط</v>
          </cell>
          <cell r="AC552" t="str">
            <v>400259</v>
          </cell>
          <cell r="AD552" t="str">
            <v>Fayez Alamrry</v>
          </cell>
          <cell r="AE552" t="str">
            <v>إعارة</v>
          </cell>
          <cell r="AF552" t="str">
            <v/>
          </cell>
          <cell r="AG552" t="str">
            <v/>
          </cell>
          <cell r="AH552" t="str">
            <v>إدارة الأعمال</v>
          </cell>
          <cell r="AI552" t="str">
            <v>بكالوريوس</v>
          </cell>
          <cell r="AJ552">
            <v>7</v>
          </cell>
          <cell r="AK552">
            <v>6</v>
          </cell>
          <cell r="AL552">
            <v>1</v>
          </cell>
          <cell r="AM552">
            <v>0</v>
          </cell>
          <cell r="AN552" t="str">
            <v/>
          </cell>
          <cell r="AO552" t="str">
            <v>الاذونات وخدمات المحاجر</v>
          </cell>
          <cell r="AP552" t="str">
            <v>Riyad Bank</v>
          </cell>
          <cell r="AQ552" t="str">
            <v>SA2820000004093220649940</v>
          </cell>
          <cell r="AR552">
            <v>10500</v>
          </cell>
          <cell r="AS552" t="str">
            <v/>
          </cell>
          <cell r="AT552">
            <v>100</v>
          </cell>
          <cell r="AU552">
            <v>2625</v>
          </cell>
          <cell r="AV552" t="str">
            <v/>
          </cell>
        </row>
        <row r="553">
          <cell r="A553">
            <v>400374</v>
          </cell>
          <cell r="B553" t="str">
            <v>1090877422</v>
          </cell>
          <cell r="C553" t="str">
            <v>السيد</v>
          </cell>
          <cell r="D553" t="str">
            <v>Majed Taher Mohammed Alshagab</v>
          </cell>
          <cell r="E553" t="str">
            <v>ماجد طاهر محمد الشغب</v>
          </cell>
          <cell r="F553" t="str">
            <v>Male</v>
          </cell>
          <cell r="G553" t="str">
            <v>أعزب</v>
          </cell>
          <cell r="H553">
            <v>35131</v>
          </cell>
          <cell r="I553">
            <v>30</v>
          </cell>
          <cell r="J553">
            <v>11059</v>
          </cell>
          <cell r="K553" t="str">
            <v>Majed.AlShughab@agriserv.sa</v>
          </cell>
          <cell r="L553" t="str">
            <v>0566014815</v>
          </cell>
          <cell r="M553" t="str">
            <v/>
          </cell>
          <cell r="N553" t="str">
            <v>المملكة العربية السعودية</v>
          </cell>
          <cell r="O553" t="str">
            <v>50001191</v>
          </cell>
          <cell r="P553" t="str">
            <v>طبيب بيطري مساعد</v>
          </cell>
          <cell r="Q553" t="str">
            <v>2B الدرجة</v>
          </cell>
          <cell r="R553" t="str">
            <v>Class A</v>
          </cell>
          <cell r="S553" t="str">
            <v>محجر سلوى  (الشرقية)</v>
          </cell>
          <cell r="T553" t="str">
            <v>خدمات المحجر</v>
          </cell>
          <cell r="U553" t="str">
            <v>الاذونات وخدمات المحاجر</v>
          </cell>
          <cell r="V553" t="str">
            <v>العمليات</v>
          </cell>
          <cell r="W553" t="str">
            <v>Ad-Dammam</v>
          </cell>
          <cell r="X553" t="str">
            <v xml:space="preserve">الفرع </v>
          </cell>
          <cell r="Y553">
            <v>45126</v>
          </cell>
          <cell r="Z553">
            <v>2.91</v>
          </cell>
          <cell r="AA553">
            <v>1064</v>
          </cell>
          <cell r="AB553" t="str">
            <v>نشط</v>
          </cell>
          <cell r="AC553" t="str">
            <v>400314</v>
          </cell>
          <cell r="AD553" t="str">
            <v>Mohammad Albatat</v>
          </cell>
          <cell r="AE553" t="str">
            <v>إعارة</v>
          </cell>
          <cell r="AF553" t="str">
            <v/>
          </cell>
          <cell r="AG553" t="str">
            <v/>
          </cell>
          <cell r="AH553" t="str">
            <v>انتاج حيواني</v>
          </cell>
          <cell r="AI553" t="str">
            <v>دبلوم</v>
          </cell>
          <cell r="AJ553">
            <v>2</v>
          </cell>
          <cell r="AK553">
            <v>0</v>
          </cell>
          <cell r="AL553">
            <v>0</v>
          </cell>
          <cell r="AM553">
            <v>2</v>
          </cell>
          <cell r="AN553" t="str">
            <v/>
          </cell>
          <cell r="AO553" t="str">
            <v>الاذونات وخدمات المحاجر</v>
          </cell>
          <cell r="AP553" t="str">
            <v>Saudi National Bank</v>
          </cell>
          <cell r="AQ553" t="str">
            <v>SA1710000096200001681004</v>
          </cell>
          <cell r="AR553">
            <v>5777</v>
          </cell>
          <cell r="AS553" t="str">
            <v/>
          </cell>
          <cell r="AT553">
            <v>77.7</v>
          </cell>
          <cell r="AU553">
            <v>1444.25</v>
          </cell>
          <cell r="AV553" t="str">
            <v/>
          </cell>
        </row>
        <row r="554">
          <cell r="A554">
            <v>400375</v>
          </cell>
          <cell r="B554" t="str">
            <v>1017195379</v>
          </cell>
          <cell r="C554" t="str">
            <v>السيد</v>
          </cell>
          <cell r="D554" t="str">
            <v>Dhaifallah Obaid Qarenis Alrashidi</v>
          </cell>
          <cell r="E554" t="str">
            <v>ضيف الله عبيد قرينيس الرشيدى</v>
          </cell>
          <cell r="F554" t="str">
            <v>Male</v>
          </cell>
          <cell r="G554" t="str">
            <v>متزوج</v>
          </cell>
          <cell r="H554">
            <v>26167</v>
          </cell>
          <cell r="I554">
            <v>55</v>
          </cell>
          <cell r="J554">
            <v>20023</v>
          </cell>
          <cell r="K554" t="str">
            <v>Dhaifallah.Alrashidi@agriserv.sa</v>
          </cell>
          <cell r="L554" t="str">
            <v>0554870216</v>
          </cell>
          <cell r="M554" t="str">
            <v/>
          </cell>
          <cell r="N554" t="str">
            <v>المملكة العربية السعودية</v>
          </cell>
          <cell r="O554" t="str">
            <v>50001201</v>
          </cell>
          <cell r="P554" t="str">
            <v>أخصائي أول محاجر الثروة النباتية</v>
          </cell>
          <cell r="Q554" t="str">
            <v>الدرجة 6</v>
          </cell>
          <cell r="R554" t="str">
            <v>Class A</v>
          </cell>
          <cell r="S554" t="str">
            <v>منفذ حالة عمار  (تبوك)</v>
          </cell>
          <cell r="T554" t="str">
            <v>خدمات المحجر</v>
          </cell>
          <cell r="U554" t="str">
            <v>الاذونات وخدمات المحاجر</v>
          </cell>
          <cell r="V554" t="str">
            <v>العمليات</v>
          </cell>
          <cell r="W554" t="str">
            <v>Tabbuk</v>
          </cell>
          <cell r="X554" t="str">
            <v xml:space="preserve">الفرع </v>
          </cell>
          <cell r="Y554">
            <v>45126</v>
          </cell>
          <cell r="Z554">
            <v>2.91</v>
          </cell>
          <cell r="AA554">
            <v>1064</v>
          </cell>
          <cell r="AB554" t="str">
            <v>نشط</v>
          </cell>
          <cell r="AC554" t="str">
            <v>100135</v>
          </cell>
          <cell r="AD554" t="str">
            <v>Abdulrahman Alzahrani</v>
          </cell>
          <cell r="AE554" t="str">
            <v>إعارة</v>
          </cell>
          <cell r="AF554" t="str">
            <v/>
          </cell>
          <cell r="AG554" t="str">
            <v/>
          </cell>
          <cell r="AH554" t="str">
            <v>محاصيل حقليه</v>
          </cell>
          <cell r="AI554" t="str">
            <v>بكالوريوس</v>
          </cell>
          <cell r="AJ554">
            <v>8</v>
          </cell>
          <cell r="AK554">
            <v>7</v>
          </cell>
          <cell r="AL554">
            <v>1</v>
          </cell>
          <cell r="AM554">
            <v>0</v>
          </cell>
          <cell r="AN554" t="str">
            <v/>
          </cell>
          <cell r="AO554" t="str">
            <v>الاذونات وخدمات المحاجر</v>
          </cell>
          <cell r="AP554" t="str">
            <v>Saudi Investment Bank</v>
          </cell>
          <cell r="AQ554" t="str">
            <v>SA5465000000153065244001</v>
          </cell>
          <cell r="AR554">
            <v>18705</v>
          </cell>
          <cell r="AS554" t="str">
            <v/>
          </cell>
          <cell r="AT554">
            <v>970.5</v>
          </cell>
          <cell r="AU554">
            <v>4676.25</v>
          </cell>
          <cell r="AV554" t="str">
            <v/>
          </cell>
        </row>
        <row r="555">
          <cell r="A555">
            <v>400376</v>
          </cell>
          <cell r="B555" t="str">
            <v>1024893297</v>
          </cell>
          <cell r="C555" t="str">
            <v>السيد</v>
          </cell>
          <cell r="D555" t="str">
            <v>Zeyad Fahad Mekhlef Alruwaili</v>
          </cell>
          <cell r="E555" t="str">
            <v>زياد فهاد مخلف الرويلي</v>
          </cell>
          <cell r="F555" t="str">
            <v>Male</v>
          </cell>
          <cell r="G555" t="str">
            <v>متزوج</v>
          </cell>
          <cell r="H555">
            <v>29491</v>
          </cell>
          <cell r="I555">
            <v>46</v>
          </cell>
          <cell r="J555">
            <v>16699</v>
          </cell>
          <cell r="K555" t="str">
            <v>Ziad.AlRuwaili@agriserv.sa</v>
          </cell>
          <cell r="L555" t="str">
            <v>0503390338</v>
          </cell>
          <cell r="M555" t="str">
            <v/>
          </cell>
          <cell r="N555" t="str">
            <v>المملكة العربية السعودية</v>
          </cell>
          <cell r="O555" t="str">
            <v>50001192</v>
          </cell>
          <cell r="P555" t="str">
            <v>طبيب بيطري مساعد</v>
          </cell>
          <cell r="Q555" t="str">
            <v>2B الدرجة</v>
          </cell>
          <cell r="R555" t="str">
            <v>Class A</v>
          </cell>
          <cell r="S555" t="str">
            <v>منفذ حالة عمار  (تبوك)</v>
          </cell>
          <cell r="T555" t="str">
            <v>خدمات المحجر</v>
          </cell>
          <cell r="U555" t="str">
            <v>الاذونات وخدمات المحاجر</v>
          </cell>
          <cell r="V555" t="str">
            <v>العمليات</v>
          </cell>
          <cell r="W555" t="str">
            <v>Tabbuk</v>
          </cell>
          <cell r="X555" t="str">
            <v xml:space="preserve">الفرع </v>
          </cell>
          <cell r="Y555">
            <v>45126</v>
          </cell>
          <cell r="Z555">
            <v>2.91</v>
          </cell>
          <cell r="AA555">
            <v>1064</v>
          </cell>
          <cell r="AB555" t="str">
            <v>نشط</v>
          </cell>
          <cell r="AC555" t="str">
            <v>400375</v>
          </cell>
          <cell r="AD555" t="str">
            <v>Dhaifallah Alrashidi</v>
          </cell>
          <cell r="AE555" t="str">
            <v>إعارة</v>
          </cell>
          <cell r="AF555" t="str">
            <v/>
          </cell>
          <cell r="AG555" t="str">
            <v/>
          </cell>
          <cell r="AH555" t="str">
            <v>انتاج حيواني</v>
          </cell>
          <cell r="AI555" t="str">
            <v>دبلوم</v>
          </cell>
          <cell r="AJ555">
            <v>8</v>
          </cell>
          <cell r="AK555">
            <v>5</v>
          </cell>
          <cell r="AL555">
            <v>1</v>
          </cell>
          <cell r="AM555">
            <v>2</v>
          </cell>
          <cell r="AN555" t="str">
            <v/>
          </cell>
          <cell r="AO555" t="str">
            <v>الاذونات وخدمات المحاجر</v>
          </cell>
          <cell r="AP555" t="str">
            <v>Al Rajhi Bank</v>
          </cell>
          <cell r="AQ555" t="str">
            <v>SA8980000154608010505240</v>
          </cell>
          <cell r="AR555">
            <v>10915</v>
          </cell>
          <cell r="AS555" t="str">
            <v/>
          </cell>
          <cell r="AT555">
            <v>100</v>
          </cell>
          <cell r="AU555">
            <v>2728.75</v>
          </cell>
          <cell r="AV555" t="str">
            <v/>
          </cell>
        </row>
        <row r="556">
          <cell r="A556">
            <v>400377</v>
          </cell>
          <cell r="B556" t="str">
            <v>1079199434</v>
          </cell>
          <cell r="C556" t="str">
            <v>السيد</v>
          </cell>
          <cell r="D556" t="str">
            <v>Moutlek Sabah Sulaiman Aletawey</v>
          </cell>
          <cell r="E556" t="str">
            <v>مطلق صباح سليمان العطوي</v>
          </cell>
          <cell r="F556" t="str">
            <v>Male</v>
          </cell>
          <cell r="G556" t="str">
            <v>متزوج</v>
          </cell>
          <cell r="H556">
            <v>33920</v>
          </cell>
          <cell r="I556">
            <v>34</v>
          </cell>
          <cell r="J556">
            <v>12270</v>
          </cell>
          <cell r="K556" t="str">
            <v>Mutlaq.AlAtwi@agriserv.sa</v>
          </cell>
          <cell r="L556" t="str">
            <v>0553718405</v>
          </cell>
          <cell r="M556" t="str">
            <v/>
          </cell>
          <cell r="N556" t="str">
            <v>المملكة العربية السعودية</v>
          </cell>
          <cell r="O556" t="str">
            <v>50001265</v>
          </cell>
          <cell r="P556" t="str">
            <v>موظف دعم إداري</v>
          </cell>
          <cell r="Q556" t="str">
            <v>2A الدرجة</v>
          </cell>
          <cell r="R556" t="str">
            <v>Class A</v>
          </cell>
          <cell r="S556" t="str">
            <v>منفذ حالة عمار  (تبوك)</v>
          </cell>
          <cell r="T556" t="str">
            <v>خدمات المحجر</v>
          </cell>
          <cell r="U556" t="str">
            <v>الاذونات وخدمات المحاجر</v>
          </cell>
          <cell r="V556" t="str">
            <v>العمليات</v>
          </cell>
          <cell r="W556" t="str">
            <v>Tabbuk</v>
          </cell>
          <cell r="X556" t="str">
            <v xml:space="preserve">الفرع </v>
          </cell>
          <cell r="Y556">
            <v>45126</v>
          </cell>
          <cell r="Z556">
            <v>2.91</v>
          </cell>
          <cell r="AA556">
            <v>1064</v>
          </cell>
          <cell r="AB556" t="str">
            <v>نشط</v>
          </cell>
          <cell r="AC556" t="str">
            <v>400375</v>
          </cell>
          <cell r="AD556" t="str">
            <v>Dhaifallah Alrashidi</v>
          </cell>
          <cell r="AE556" t="str">
            <v>إعارة</v>
          </cell>
          <cell r="AF556" t="str">
            <v/>
          </cell>
          <cell r="AG556" t="str">
            <v/>
          </cell>
          <cell r="AH556" t="str">
            <v>ثانوية</v>
          </cell>
          <cell r="AI556" t="str">
            <v>شهادة المدرسة الثانوية</v>
          </cell>
          <cell r="AJ556">
            <v>7</v>
          </cell>
          <cell r="AK556">
            <v>5</v>
          </cell>
          <cell r="AL556">
            <v>1</v>
          </cell>
          <cell r="AM556">
            <v>1</v>
          </cell>
          <cell r="AN556" t="str">
            <v/>
          </cell>
          <cell r="AO556" t="str">
            <v>الاذونات وخدمات المحاجر</v>
          </cell>
          <cell r="AP556" t="str">
            <v>Riyad Bank</v>
          </cell>
          <cell r="AQ556" t="str">
            <v>SA2620000004091635709940</v>
          </cell>
          <cell r="AR556">
            <v>7890</v>
          </cell>
          <cell r="AS556" t="str">
            <v/>
          </cell>
          <cell r="AT556">
            <v>289</v>
          </cell>
          <cell r="AU556">
            <v>1972.5</v>
          </cell>
          <cell r="AV556" t="str">
            <v/>
          </cell>
        </row>
        <row r="557">
          <cell r="A557">
            <v>400378</v>
          </cell>
          <cell r="B557" t="str">
            <v>1043214814</v>
          </cell>
          <cell r="C557" t="str">
            <v>السيد</v>
          </cell>
          <cell r="D557" t="str">
            <v>Abdulrzaaq Mohmeed Rsheed Alanzee</v>
          </cell>
          <cell r="E557" t="str">
            <v>عبدالرزاق محيميد رشيد العنزي</v>
          </cell>
          <cell r="F557" t="str">
            <v>Male</v>
          </cell>
          <cell r="G557" t="str">
            <v>متزوج</v>
          </cell>
          <cell r="H557">
            <v>31658</v>
          </cell>
          <cell r="I557">
            <v>40</v>
          </cell>
          <cell r="J557">
            <v>14532</v>
          </cell>
          <cell r="K557" t="str">
            <v>AbdulrazaqM.Alanzi@agriserv.sa</v>
          </cell>
          <cell r="L557" t="str">
            <v>0591092323</v>
          </cell>
          <cell r="M557" t="str">
            <v/>
          </cell>
          <cell r="N557" t="str">
            <v>المملكة العربية السعودية</v>
          </cell>
          <cell r="O557" t="str">
            <v>50001200</v>
          </cell>
          <cell r="P557" t="str">
            <v>مساعد مشرف مختبرات الثروة النباتية</v>
          </cell>
          <cell r="Q557" t="str">
            <v>الدرجة 7</v>
          </cell>
          <cell r="R557" t="str">
            <v>Class A</v>
          </cell>
          <cell r="S557" t="str">
            <v>محجر الدرة  (تبوك)</v>
          </cell>
          <cell r="T557" t="str">
            <v>خدمات المحجر</v>
          </cell>
          <cell r="U557" t="str">
            <v>الاذونات وخدمات المحاجر</v>
          </cell>
          <cell r="V557" t="str">
            <v>العمليات</v>
          </cell>
          <cell r="W557" t="str">
            <v>Tabbuk</v>
          </cell>
          <cell r="X557" t="str">
            <v xml:space="preserve">الفرع </v>
          </cell>
          <cell r="Y557">
            <v>45126</v>
          </cell>
          <cell r="Z557">
            <v>2.91</v>
          </cell>
          <cell r="AA557">
            <v>1064</v>
          </cell>
          <cell r="AB557" t="str">
            <v>نشط</v>
          </cell>
          <cell r="AC557" t="str">
            <v>100135</v>
          </cell>
          <cell r="AD557" t="str">
            <v>Abdulrahman Alzahrani</v>
          </cell>
          <cell r="AE557" t="str">
            <v>إعارة</v>
          </cell>
          <cell r="AF557" t="str">
            <v/>
          </cell>
          <cell r="AG557" t="str">
            <v/>
          </cell>
          <cell r="AH557" t="str">
            <v>انتاج نباتى</v>
          </cell>
          <cell r="AI557" t="str">
            <v>بكالوريوس</v>
          </cell>
          <cell r="AJ557">
            <v>6</v>
          </cell>
          <cell r="AK557">
            <v>3</v>
          </cell>
          <cell r="AL557">
            <v>1</v>
          </cell>
          <cell r="AM557">
            <v>2</v>
          </cell>
          <cell r="AN557" t="str">
            <v/>
          </cell>
          <cell r="AO557" t="str">
            <v>الاذونات وخدمات المحاجر</v>
          </cell>
          <cell r="AP557" t="str">
            <v>Riyad Bank</v>
          </cell>
          <cell r="AQ557" t="str">
            <v>SA3620000004066888869940</v>
          </cell>
          <cell r="AR557">
            <v>12575</v>
          </cell>
          <cell r="AS557" t="str">
            <v/>
          </cell>
          <cell r="AT557">
            <v>557.5</v>
          </cell>
          <cell r="AU557">
            <v>3143.75</v>
          </cell>
          <cell r="AV557" t="str">
            <v/>
          </cell>
        </row>
        <row r="558">
          <cell r="A558">
            <v>400379</v>
          </cell>
          <cell r="B558" t="str">
            <v>1087437628</v>
          </cell>
          <cell r="C558" t="str">
            <v>السيد</v>
          </cell>
          <cell r="D558" t="str">
            <v>Mahmood Ead Ateeg Alemrany</v>
          </cell>
          <cell r="E558" t="str">
            <v>محمود عيد عتيق العمراني</v>
          </cell>
          <cell r="F558" t="str">
            <v>Male</v>
          </cell>
          <cell r="G558" t="str">
            <v>متزوج</v>
          </cell>
          <cell r="H558">
            <v>30773</v>
          </cell>
          <cell r="I558">
            <v>42</v>
          </cell>
          <cell r="J558">
            <v>15417</v>
          </cell>
          <cell r="K558" t="str">
            <v>Mahmoud.AlOmrani@agriserv.sa</v>
          </cell>
          <cell r="L558" t="str">
            <v>0537538559</v>
          </cell>
          <cell r="M558" t="str">
            <v/>
          </cell>
          <cell r="N558" t="str">
            <v>المملكة العربية السعودية</v>
          </cell>
          <cell r="O558" t="str">
            <v>50001266</v>
          </cell>
          <cell r="P558" t="str">
            <v>موظف دعم إداري</v>
          </cell>
          <cell r="Q558" t="str">
            <v>2A الدرجة</v>
          </cell>
          <cell r="R558" t="str">
            <v>Class A</v>
          </cell>
          <cell r="S558" t="str">
            <v>محجر الدرة  (تبوك)</v>
          </cell>
          <cell r="T558" t="str">
            <v>خدمات المحجر</v>
          </cell>
          <cell r="U558" t="str">
            <v>الاذونات وخدمات المحاجر</v>
          </cell>
          <cell r="V558" t="str">
            <v>العمليات</v>
          </cell>
          <cell r="W558" t="str">
            <v>Tabbuk</v>
          </cell>
          <cell r="X558" t="str">
            <v xml:space="preserve">الفرع </v>
          </cell>
          <cell r="Y558">
            <v>45126</v>
          </cell>
          <cell r="Z558">
            <v>2.91</v>
          </cell>
          <cell r="AA558">
            <v>1064</v>
          </cell>
          <cell r="AB558" t="str">
            <v>نشط</v>
          </cell>
          <cell r="AC558" t="str">
            <v>400378</v>
          </cell>
          <cell r="AD558" t="str">
            <v>Abdulrzaaq Alanzee</v>
          </cell>
          <cell r="AE558" t="str">
            <v>إعارة</v>
          </cell>
          <cell r="AF558" t="str">
            <v/>
          </cell>
          <cell r="AG558" t="str">
            <v/>
          </cell>
          <cell r="AH558" t="str">
            <v>إدارة الأعمال</v>
          </cell>
          <cell r="AI558" t="str">
            <v>بكالوريوس</v>
          </cell>
          <cell r="AJ558">
            <v>5</v>
          </cell>
          <cell r="AK558">
            <v>3</v>
          </cell>
          <cell r="AL558">
            <v>1</v>
          </cell>
          <cell r="AM558">
            <v>1</v>
          </cell>
          <cell r="AN558" t="str">
            <v/>
          </cell>
          <cell r="AO558" t="str">
            <v>الاذونات وخدمات المحاجر</v>
          </cell>
          <cell r="AP558" t="str">
            <v>Saudi National Bank</v>
          </cell>
          <cell r="AQ558" t="str">
            <v>SA6810000036852211000110</v>
          </cell>
          <cell r="AR558">
            <v>7890</v>
          </cell>
          <cell r="AS558" t="str">
            <v/>
          </cell>
          <cell r="AT558">
            <v>289</v>
          </cell>
          <cell r="AU558">
            <v>1972.5</v>
          </cell>
          <cell r="AV558" t="str">
            <v/>
          </cell>
        </row>
        <row r="559">
          <cell r="A559">
            <v>400380</v>
          </cell>
          <cell r="B559" t="str">
            <v>1022794059</v>
          </cell>
          <cell r="C559" t="str">
            <v>السيد</v>
          </cell>
          <cell r="D559" t="str">
            <v>Abdullah Mahmood Abdullah Esmael</v>
          </cell>
          <cell r="E559" t="str">
            <v>عبدالله محمود عبدالله اسماعيل</v>
          </cell>
          <cell r="F559" t="str">
            <v>Male</v>
          </cell>
          <cell r="G559" t="str">
            <v>متزوج</v>
          </cell>
          <cell r="H559">
            <v>24749</v>
          </cell>
          <cell r="I559">
            <v>59</v>
          </cell>
          <cell r="J559">
            <v>21441</v>
          </cell>
          <cell r="K559" t="str">
            <v>Abdullah.Esmael@agriserv.sa</v>
          </cell>
          <cell r="L559" t="str">
            <v>0554578674</v>
          </cell>
          <cell r="M559" t="str">
            <v/>
          </cell>
          <cell r="N559" t="str">
            <v>المملكة العربية السعودية</v>
          </cell>
          <cell r="O559" t="str">
            <v>50001193</v>
          </cell>
          <cell r="P559" t="str">
            <v>طبيب بيطري مساعد</v>
          </cell>
          <cell r="Q559" t="str">
            <v>2B الدرجة</v>
          </cell>
          <cell r="R559" t="str">
            <v>Class A</v>
          </cell>
          <cell r="S559" t="str">
            <v>منفذ جيزان  (جيزان)</v>
          </cell>
          <cell r="T559" t="str">
            <v>خدمات المحجر</v>
          </cell>
          <cell r="U559" t="str">
            <v>الاذونات وخدمات المحاجر</v>
          </cell>
          <cell r="V559" t="str">
            <v>العمليات</v>
          </cell>
          <cell r="W559" t="str">
            <v>Jizan</v>
          </cell>
          <cell r="X559" t="str">
            <v xml:space="preserve">الفرع </v>
          </cell>
          <cell r="Y559">
            <v>45126</v>
          </cell>
          <cell r="Z559">
            <v>2.91</v>
          </cell>
          <cell r="AA559">
            <v>1064</v>
          </cell>
          <cell r="AB559" t="str">
            <v>غير نشط</v>
          </cell>
          <cell r="AC559" t="str">
            <v>400278</v>
          </cell>
          <cell r="AD559" t="str">
            <v>Abdullah Shafei</v>
          </cell>
          <cell r="AE559" t="str">
            <v>إعارة</v>
          </cell>
          <cell r="AF559">
            <v>46011</v>
          </cell>
          <cell r="AG559" t="str">
            <v/>
          </cell>
          <cell r="AH559" t="str">
            <v>طب بيطري</v>
          </cell>
          <cell r="AI559" t="str">
            <v>دبلوم</v>
          </cell>
          <cell r="AJ559">
            <v>5</v>
          </cell>
          <cell r="AK559">
            <v>3</v>
          </cell>
          <cell r="AL559">
            <v>1</v>
          </cell>
          <cell r="AM559">
            <v>1</v>
          </cell>
          <cell r="AN559" t="str">
            <v/>
          </cell>
          <cell r="AO559" t="str">
            <v>Livestock Extension &amp; Protection</v>
          </cell>
          <cell r="AP559" t="str">
            <v>Saudi National Bank</v>
          </cell>
          <cell r="AQ559" t="str">
            <v>SA5410000044354761000104</v>
          </cell>
          <cell r="AR559">
            <v>18705</v>
          </cell>
          <cell r="AS559" t="str">
            <v/>
          </cell>
          <cell r="AT559" t="str">
            <v/>
          </cell>
          <cell r="AU559">
            <v>4676.25</v>
          </cell>
          <cell r="AV559" t="str">
            <v/>
          </cell>
        </row>
        <row r="560">
          <cell r="A560">
            <v>400381</v>
          </cell>
          <cell r="B560" t="str">
            <v>1061886311</v>
          </cell>
          <cell r="C560" t="str">
            <v>السيد</v>
          </cell>
          <cell r="D560" t="str">
            <v>Murtada Ali Mohammed Alkhalaf</v>
          </cell>
          <cell r="E560" t="str">
            <v>مرتضي علي محمد الخلف</v>
          </cell>
          <cell r="F560" t="str">
            <v>Male</v>
          </cell>
          <cell r="G560" t="str">
            <v>متزوج</v>
          </cell>
          <cell r="H560">
            <v>32689</v>
          </cell>
          <cell r="I560">
            <v>37</v>
          </cell>
          <cell r="J560">
            <v>13501</v>
          </cell>
          <cell r="K560" t="str">
            <v>Murtada.Alkhalaf@agriserv.sa</v>
          </cell>
          <cell r="L560" t="str">
            <v>0553180472</v>
          </cell>
          <cell r="M560" t="str">
            <v/>
          </cell>
          <cell r="N560" t="str">
            <v>المملكة العربية السعودية</v>
          </cell>
          <cell r="O560" t="str">
            <v>50001241</v>
          </cell>
          <cell r="P560" t="str">
            <v>طبيب بيطري</v>
          </cell>
          <cell r="Q560" t="str">
            <v>الدرجة 4</v>
          </cell>
          <cell r="R560" t="str">
            <v>Class A</v>
          </cell>
          <cell r="S560" t="str">
            <v>محجر جديدة عرعر  (عرعر)</v>
          </cell>
          <cell r="T560" t="str">
            <v>خدمات المحجر</v>
          </cell>
          <cell r="U560" t="str">
            <v>الاذونات وخدمات المحاجر</v>
          </cell>
          <cell r="V560" t="str">
            <v>العمليات</v>
          </cell>
          <cell r="W560" t="str">
            <v>Arar</v>
          </cell>
          <cell r="X560" t="str">
            <v xml:space="preserve">الفرع </v>
          </cell>
          <cell r="Y560">
            <v>45126</v>
          </cell>
          <cell r="Z560">
            <v>2.91</v>
          </cell>
          <cell r="AA560">
            <v>1064</v>
          </cell>
          <cell r="AB560" t="str">
            <v>نشط</v>
          </cell>
          <cell r="AC560" t="str">
            <v>400277</v>
          </cell>
          <cell r="AD560" t="str">
            <v>Sanad Alenezi</v>
          </cell>
          <cell r="AE560" t="str">
            <v>إعارة</v>
          </cell>
          <cell r="AF560" t="str">
            <v/>
          </cell>
          <cell r="AG560" t="str">
            <v/>
          </cell>
          <cell r="AH560" t="str">
            <v>الثروة الحيوانية</v>
          </cell>
          <cell r="AI560" t="str">
            <v>بكالوريوس</v>
          </cell>
          <cell r="AJ560">
            <v>5</v>
          </cell>
          <cell r="AK560">
            <v>2</v>
          </cell>
          <cell r="AL560">
            <v>1</v>
          </cell>
          <cell r="AM560">
            <v>2</v>
          </cell>
          <cell r="AN560" t="str">
            <v/>
          </cell>
          <cell r="AO560" t="str">
            <v>الاذونات وخدمات المحاجر</v>
          </cell>
          <cell r="AP560" t="str">
            <v>Al Rajhi Bank</v>
          </cell>
          <cell r="AQ560" t="str">
            <v>SA2880000430608010993640</v>
          </cell>
          <cell r="AR560">
            <v>9551</v>
          </cell>
          <cell r="AS560" t="str">
            <v/>
          </cell>
          <cell r="AT560">
            <v>455.1</v>
          </cell>
          <cell r="AU560">
            <v>2387.75</v>
          </cell>
          <cell r="AV560" t="str">
            <v/>
          </cell>
        </row>
        <row r="561">
          <cell r="A561">
            <v>400382</v>
          </cell>
          <cell r="B561" t="str">
            <v>1007490152</v>
          </cell>
          <cell r="C561" t="str">
            <v>السيد</v>
          </cell>
          <cell r="D561" t="str">
            <v>Maher Adam Abdullah Altwelaee</v>
          </cell>
          <cell r="E561" t="str">
            <v>ماهر ادم عبدالله الطويلعي</v>
          </cell>
          <cell r="F561" t="str">
            <v>Male</v>
          </cell>
          <cell r="G561" t="str">
            <v>متزوج</v>
          </cell>
          <cell r="H561">
            <v>29539</v>
          </cell>
          <cell r="I561">
            <v>46</v>
          </cell>
          <cell r="J561">
            <v>16651</v>
          </cell>
          <cell r="K561" t="str">
            <v>Maher.AlTaweelai@agriserv.sa</v>
          </cell>
          <cell r="L561" t="str">
            <v>0598492181</v>
          </cell>
          <cell r="M561" t="str">
            <v/>
          </cell>
          <cell r="N561" t="str">
            <v>المملكة العربية السعودية</v>
          </cell>
          <cell r="O561" t="str">
            <v>50001205</v>
          </cell>
          <cell r="P561" t="str">
            <v>فني مختبرات</v>
          </cell>
          <cell r="Q561" t="str">
            <v>2A الدرجة</v>
          </cell>
          <cell r="R561" t="str">
            <v>Class A</v>
          </cell>
          <cell r="S561" t="str">
            <v>مختبرات مكة  (مكة المكرمة)</v>
          </cell>
          <cell r="T561" t="str">
            <v>خدمات المحجر</v>
          </cell>
          <cell r="U561" t="str">
            <v>الاذونات وخدمات المحاجر</v>
          </cell>
          <cell r="V561" t="str">
            <v>العمليات</v>
          </cell>
          <cell r="W561" t="str">
            <v>Makkah</v>
          </cell>
          <cell r="X561" t="str">
            <v xml:space="preserve">الفرع </v>
          </cell>
          <cell r="Y561">
            <v>45126</v>
          </cell>
          <cell r="Z561">
            <v>2.91</v>
          </cell>
          <cell r="AA561">
            <v>1064</v>
          </cell>
          <cell r="AB561" t="str">
            <v>نشط</v>
          </cell>
          <cell r="AC561" t="str">
            <v>400274</v>
          </cell>
          <cell r="AD561" t="str">
            <v>Hussain Albakmani</v>
          </cell>
          <cell r="AE561" t="str">
            <v>إعارة</v>
          </cell>
          <cell r="AF561" t="str">
            <v/>
          </cell>
          <cell r="AG561" t="str">
            <v/>
          </cell>
          <cell r="AH561" t="str">
            <v>التسويق</v>
          </cell>
          <cell r="AI561" t="str">
            <v>بكالوريوس</v>
          </cell>
          <cell r="AJ561">
            <v>6</v>
          </cell>
          <cell r="AK561">
            <v>5</v>
          </cell>
          <cell r="AL561">
            <v>1</v>
          </cell>
          <cell r="AM561">
            <v>0</v>
          </cell>
          <cell r="AN561" t="str">
            <v/>
          </cell>
          <cell r="AO561" t="str">
            <v>الاذونات وخدمات المحاجر</v>
          </cell>
          <cell r="AP561" t="str">
            <v>Saudi Investment Bank</v>
          </cell>
          <cell r="AQ561" t="str">
            <v>SA2165000000251227188001</v>
          </cell>
          <cell r="AR561">
            <v>14355</v>
          </cell>
          <cell r="AS561" t="str">
            <v/>
          </cell>
          <cell r="AT561">
            <v>100</v>
          </cell>
          <cell r="AU561">
            <v>3588.75</v>
          </cell>
          <cell r="AV561" t="str">
            <v/>
          </cell>
        </row>
        <row r="562">
          <cell r="A562">
            <v>400383</v>
          </cell>
          <cell r="B562" t="str">
            <v>1014066151</v>
          </cell>
          <cell r="C562" t="str">
            <v>السيد</v>
          </cell>
          <cell r="D562" t="str">
            <v>Mostafa Mohammad Mehreq Alzuliai</v>
          </cell>
          <cell r="E562" t="str">
            <v>مصطفى امحمد محرق الزيلعي</v>
          </cell>
          <cell r="F562" t="str">
            <v>Male</v>
          </cell>
          <cell r="G562" t="str">
            <v>متزوج</v>
          </cell>
          <cell r="H562">
            <v>29356</v>
          </cell>
          <cell r="I562">
            <v>46</v>
          </cell>
          <cell r="J562">
            <v>16834</v>
          </cell>
          <cell r="K562" t="str">
            <v>Mustafa.AlZailai@agriserv.sa</v>
          </cell>
          <cell r="L562" t="str">
            <v>0555577632</v>
          </cell>
          <cell r="M562" t="str">
            <v/>
          </cell>
          <cell r="N562" t="str">
            <v>المملكة العربية السعودية</v>
          </cell>
          <cell r="O562" t="str">
            <v>50001206</v>
          </cell>
          <cell r="P562" t="str">
            <v>فني مختبرات</v>
          </cell>
          <cell r="Q562" t="str">
            <v>2A الدرجة</v>
          </cell>
          <cell r="R562" t="str">
            <v>Class A</v>
          </cell>
          <cell r="S562" t="str">
            <v>مختبرات مكة  (مكة المكرمة)</v>
          </cell>
          <cell r="T562" t="str">
            <v>خدمات المحجر</v>
          </cell>
          <cell r="U562" t="str">
            <v>الاذونات وخدمات المحاجر</v>
          </cell>
          <cell r="V562" t="str">
            <v>العمليات</v>
          </cell>
          <cell r="W562" t="str">
            <v>Makkah</v>
          </cell>
          <cell r="X562" t="str">
            <v xml:space="preserve">الفرع </v>
          </cell>
          <cell r="Y562">
            <v>45126</v>
          </cell>
          <cell r="Z562">
            <v>2.91</v>
          </cell>
          <cell r="AA562">
            <v>1064</v>
          </cell>
          <cell r="AB562" t="str">
            <v>نشط</v>
          </cell>
          <cell r="AC562" t="str">
            <v>400274</v>
          </cell>
          <cell r="AD562" t="str">
            <v>Hussain Albakmani</v>
          </cell>
          <cell r="AE562" t="str">
            <v>إعارة</v>
          </cell>
          <cell r="AF562" t="str">
            <v/>
          </cell>
          <cell r="AG562" t="str">
            <v/>
          </cell>
          <cell r="AH562" t="str">
            <v>علم الإحياء</v>
          </cell>
          <cell r="AI562" t="str">
            <v>دبلوم</v>
          </cell>
          <cell r="AJ562">
            <v>2</v>
          </cell>
          <cell r="AK562">
            <v>1</v>
          </cell>
          <cell r="AL562">
            <v>1</v>
          </cell>
          <cell r="AM562">
            <v>0</v>
          </cell>
          <cell r="AN562" t="str">
            <v/>
          </cell>
          <cell r="AO562" t="str">
            <v>الاذونات وخدمات المحاجر</v>
          </cell>
          <cell r="AP562" t="str">
            <v>Al Rajhi Bank</v>
          </cell>
          <cell r="AQ562" t="str">
            <v>SA4380000195608010178486</v>
          </cell>
          <cell r="AR562">
            <v>15375</v>
          </cell>
          <cell r="AS562" t="str">
            <v/>
          </cell>
          <cell r="AT562">
            <v>100</v>
          </cell>
          <cell r="AU562">
            <v>3843.75</v>
          </cell>
          <cell r="AV562" t="str">
            <v/>
          </cell>
        </row>
        <row r="563">
          <cell r="A563">
            <v>400384</v>
          </cell>
          <cell r="B563" t="str">
            <v>1038470561</v>
          </cell>
          <cell r="C563" t="str">
            <v>السيد</v>
          </cell>
          <cell r="D563" t="str">
            <v>Fahad Abdulah Mohammad Alghamdi</v>
          </cell>
          <cell r="E563" t="str">
            <v>فهد عبدالله محمد الغامدي</v>
          </cell>
          <cell r="F563" t="str">
            <v>Male</v>
          </cell>
          <cell r="G563" t="str">
            <v>متزوج</v>
          </cell>
          <cell r="H563">
            <v>27938</v>
          </cell>
          <cell r="I563">
            <v>50</v>
          </cell>
          <cell r="J563">
            <v>18252</v>
          </cell>
          <cell r="K563" t="str">
            <v>Fahad.alghamdi@agriserv.sa</v>
          </cell>
          <cell r="L563" t="str">
            <v>0540011520</v>
          </cell>
          <cell r="M563" t="str">
            <v/>
          </cell>
          <cell r="N563" t="str">
            <v>المملكة العربية السعودية</v>
          </cell>
          <cell r="O563" t="str">
            <v>50001207</v>
          </cell>
          <cell r="P563" t="str">
            <v>فني مختبرات</v>
          </cell>
          <cell r="Q563" t="str">
            <v>2A الدرجة</v>
          </cell>
          <cell r="R563" t="str">
            <v>Class A</v>
          </cell>
          <cell r="S563" t="str">
            <v>مختبرات مكة  (مكة المكرمة)</v>
          </cell>
          <cell r="T563" t="str">
            <v>خدمات المحجر</v>
          </cell>
          <cell r="U563" t="str">
            <v>الاذونات وخدمات المحاجر</v>
          </cell>
          <cell r="V563" t="str">
            <v>العمليات</v>
          </cell>
          <cell r="W563" t="str">
            <v>Makkah</v>
          </cell>
          <cell r="X563" t="str">
            <v xml:space="preserve">الفرع </v>
          </cell>
          <cell r="Y563">
            <v>45126</v>
          </cell>
          <cell r="Z563">
            <v>2.91</v>
          </cell>
          <cell r="AA563">
            <v>1064</v>
          </cell>
          <cell r="AB563" t="str">
            <v>نشط</v>
          </cell>
          <cell r="AC563" t="str">
            <v>400274</v>
          </cell>
          <cell r="AD563" t="str">
            <v>Hussain Albakmani</v>
          </cell>
          <cell r="AE563" t="str">
            <v>إعارة</v>
          </cell>
          <cell r="AF563" t="str">
            <v/>
          </cell>
          <cell r="AG563" t="str">
            <v/>
          </cell>
          <cell r="AH563" t="str">
            <v>التشريح النسيجي</v>
          </cell>
          <cell r="AI563" t="str">
            <v>ماجستير</v>
          </cell>
          <cell r="AJ563">
            <v>7</v>
          </cell>
          <cell r="AK563">
            <v>4</v>
          </cell>
          <cell r="AL563">
            <v>1</v>
          </cell>
          <cell r="AM563">
            <v>2</v>
          </cell>
          <cell r="AN563" t="str">
            <v/>
          </cell>
          <cell r="AO563" t="str">
            <v>الاذونات وخدمات المحاجر</v>
          </cell>
          <cell r="AP563" t="str">
            <v>Arab National Bank</v>
          </cell>
          <cell r="AQ563" t="str">
            <v>SA6830400108055083860011</v>
          </cell>
          <cell r="AR563">
            <v>14915</v>
          </cell>
          <cell r="AS563" t="str">
            <v/>
          </cell>
          <cell r="AT563">
            <v>100</v>
          </cell>
          <cell r="AU563">
            <v>3728.75</v>
          </cell>
          <cell r="AV563" t="str">
            <v/>
          </cell>
        </row>
        <row r="564">
          <cell r="A564">
            <v>400385</v>
          </cell>
          <cell r="B564" t="str">
            <v>1055636276</v>
          </cell>
          <cell r="C564" t="str">
            <v>السيد</v>
          </cell>
          <cell r="D564" t="str">
            <v>Ali Mohammad Abdullah Alghamdi</v>
          </cell>
          <cell r="E564" t="str">
            <v>علي محمد عبدالله الغامدي</v>
          </cell>
          <cell r="F564" t="str">
            <v>Male</v>
          </cell>
          <cell r="G564" t="str">
            <v>متزوج</v>
          </cell>
          <cell r="H564">
            <v>31381</v>
          </cell>
          <cell r="I564">
            <v>41</v>
          </cell>
          <cell r="J564">
            <v>14809</v>
          </cell>
          <cell r="K564" t="str">
            <v>Ali.Alghamdi@agriserv.sa</v>
          </cell>
          <cell r="L564" t="str">
            <v>0551711758</v>
          </cell>
          <cell r="M564" t="str">
            <v/>
          </cell>
          <cell r="N564" t="str">
            <v>المملكة العربية السعودية</v>
          </cell>
          <cell r="O564" t="str">
            <v>50001208</v>
          </cell>
          <cell r="P564" t="str">
            <v>فني مختبرات</v>
          </cell>
          <cell r="Q564" t="str">
            <v>2A الدرجة</v>
          </cell>
          <cell r="R564" t="str">
            <v>Class A</v>
          </cell>
          <cell r="S564" t="str">
            <v>مختبرات مكة  (مكة المكرمة)</v>
          </cell>
          <cell r="T564" t="str">
            <v>خدمات المحجر</v>
          </cell>
          <cell r="U564" t="str">
            <v>الاذونات وخدمات المحاجر</v>
          </cell>
          <cell r="V564" t="str">
            <v>العمليات</v>
          </cell>
          <cell r="W564" t="str">
            <v>Makkah</v>
          </cell>
          <cell r="X564" t="str">
            <v xml:space="preserve">الفرع </v>
          </cell>
          <cell r="Y564">
            <v>45126</v>
          </cell>
          <cell r="Z564">
            <v>2.91</v>
          </cell>
          <cell r="AA564">
            <v>1064</v>
          </cell>
          <cell r="AB564" t="str">
            <v>نشط</v>
          </cell>
          <cell r="AC564" t="str">
            <v>400274</v>
          </cell>
          <cell r="AD564" t="str">
            <v>Hussain Albakmani</v>
          </cell>
          <cell r="AE564" t="str">
            <v>إعارة</v>
          </cell>
          <cell r="AF564" t="str">
            <v/>
          </cell>
          <cell r="AG564" t="str">
            <v/>
          </cell>
          <cell r="AH564" t="str">
            <v>علم الإحياء</v>
          </cell>
          <cell r="AI564" t="str">
            <v>بكالوريوس</v>
          </cell>
          <cell r="AJ564">
            <v>5</v>
          </cell>
          <cell r="AK564">
            <v>2</v>
          </cell>
          <cell r="AL564">
            <v>1</v>
          </cell>
          <cell r="AM564">
            <v>2</v>
          </cell>
          <cell r="AN564" t="str">
            <v/>
          </cell>
          <cell r="AO564" t="str">
            <v>الاذونات وخدمات المحاجر</v>
          </cell>
          <cell r="AP564" t="str">
            <v>Al Rajhi Bank</v>
          </cell>
          <cell r="AQ564" t="str">
            <v>SA1580000112608010388101</v>
          </cell>
          <cell r="AR564">
            <v>13505</v>
          </cell>
          <cell r="AS564" t="str">
            <v/>
          </cell>
          <cell r="AT564">
            <v>100</v>
          </cell>
          <cell r="AU564">
            <v>3376.25</v>
          </cell>
          <cell r="AV564" t="str">
            <v/>
          </cell>
        </row>
        <row r="565">
          <cell r="A565">
            <v>400386</v>
          </cell>
          <cell r="B565" t="str">
            <v>1023159690</v>
          </cell>
          <cell r="C565" t="str">
            <v>السيد</v>
          </cell>
          <cell r="D565" t="str">
            <v>Shaker Sfar Awwad Althobaiti</v>
          </cell>
          <cell r="E565" t="str">
            <v>شاكر سفر عواض الثبيتي</v>
          </cell>
          <cell r="F565" t="str">
            <v>Male</v>
          </cell>
          <cell r="G565" t="str">
            <v>متزوج</v>
          </cell>
          <cell r="H565">
            <v>31535</v>
          </cell>
          <cell r="I565">
            <v>40</v>
          </cell>
          <cell r="J565">
            <v>14655</v>
          </cell>
          <cell r="K565" t="str">
            <v>shaker.althubaiti@agriserv.sa</v>
          </cell>
          <cell r="L565" t="str">
            <v>0555767528</v>
          </cell>
          <cell r="M565" t="str">
            <v/>
          </cell>
          <cell r="N565" t="str">
            <v>المملكة العربية السعودية</v>
          </cell>
          <cell r="O565" t="str">
            <v>50001209</v>
          </cell>
          <cell r="P565" t="str">
            <v>فني مختبرات</v>
          </cell>
          <cell r="Q565" t="str">
            <v>2A الدرجة</v>
          </cell>
          <cell r="R565" t="str">
            <v>Class A</v>
          </cell>
          <cell r="S565" t="str">
            <v>مختبرات مكة  (مكة المكرمة)</v>
          </cell>
          <cell r="T565" t="str">
            <v>خدمات المحجر</v>
          </cell>
          <cell r="U565" t="str">
            <v>الاذونات وخدمات المحاجر</v>
          </cell>
          <cell r="V565" t="str">
            <v>العمليات</v>
          </cell>
          <cell r="W565" t="str">
            <v>Makkah</v>
          </cell>
          <cell r="X565" t="str">
            <v xml:space="preserve">الفرع </v>
          </cell>
          <cell r="Y565">
            <v>45126</v>
          </cell>
          <cell r="Z565">
            <v>2.91</v>
          </cell>
          <cell r="AA565">
            <v>1064</v>
          </cell>
          <cell r="AB565" t="str">
            <v>نشط</v>
          </cell>
          <cell r="AC565" t="str">
            <v>400274</v>
          </cell>
          <cell r="AD565" t="str">
            <v>Hussain Albakmani</v>
          </cell>
          <cell r="AE565" t="str">
            <v>إعارة</v>
          </cell>
          <cell r="AF565" t="str">
            <v/>
          </cell>
          <cell r="AG565" t="str">
            <v/>
          </cell>
          <cell r="AH565" t="str">
            <v>التشريح النسيجي</v>
          </cell>
          <cell r="AI565" t="str">
            <v>ماجستير</v>
          </cell>
          <cell r="AJ565">
            <v>6</v>
          </cell>
          <cell r="AK565">
            <v>3</v>
          </cell>
          <cell r="AL565">
            <v>1</v>
          </cell>
          <cell r="AM565">
            <v>2</v>
          </cell>
          <cell r="AN565" t="str">
            <v/>
          </cell>
          <cell r="AO565" t="str">
            <v>الاذونات وخدمات المحاجر</v>
          </cell>
          <cell r="AP565" t="str">
            <v>Saudi National Bank</v>
          </cell>
          <cell r="AQ565" t="str">
            <v>SA0310000015600000064804</v>
          </cell>
          <cell r="AR565">
            <v>14355</v>
          </cell>
          <cell r="AS565" t="str">
            <v/>
          </cell>
          <cell r="AT565">
            <v>100</v>
          </cell>
          <cell r="AU565">
            <v>3588.75</v>
          </cell>
          <cell r="AV565" t="str">
            <v/>
          </cell>
        </row>
        <row r="566">
          <cell r="A566">
            <v>400387</v>
          </cell>
          <cell r="B566" t="str">
            <v>1058460716</v>
          </cell>
          <cell r="C566" t="str">
            <v>السيد</v>
          </cell>
          <cell r="D566" t="str">
            <v>Abdulelah Abdullah Faisal Alhamed</v>
          </cell>
          <cell r="E566" t="str">
            <v>عبدالأله عبدالله فيصل الحميد</v>
          </cell>
          <cell r="F566" t="str">
            <v>Male</v>
          </cell>
          <cell r="G566" t="str">
            <v>أعزب</v>
          </cell>
          <cell r="H566">
            <v>32336</v>
          </cell>
          <cell r="I566">
            <v>38</v>
          </cell>
          <cell r="J566">
            <v>13854</v>
          </cell>
          <cell r="K566" t="str">
            <v>Abdulelah.Alhamed@agriserv.sa</v>
          </cell>
          <cell r="L566" t="str">
            <v>0535053595</v>
          </cell>
          <cell r="M566" t="str">
            <v/>
          </cell>
          <cell r="N566" t="str">
            <v>المملكة العربية السعودية</v>
          </cell>
          <cell r="O566" t="str">
            <v>50001210</v>
          </cell>
          <cell r="P566" t="str">
            <v>فني مختبرات</v>
          </cell>
          <cell r="Q566" t="str">
            <v>2A الدرجة</v>
          </cell>
          <cell r="R566" t="str">
            <v>Class A</v>
          </cell>
          <cell r="S566" t="str">
            <v>مختبرات مكة  (مكة المكرمة)</v>
          </cell>
          <cell r="T566" t="str">
            <v>خدمات المحجر</v>
          </cell>
          <cell r="U566" t="str">
            <v>الاذونات وخدمات المحاجر</v>
          </cell>
          <cell r="V566" t="str">
            <v>العمليات</v>
          </cell>
          <cell r="W566" t="str">
            <v>Makkah</v>
          </cell>
          <cell r="X566" t="str">
            <v xml:space="preserve">الفرع </v>
          </cell>
          <cell r="Y566">
            <v>45126</v>
          </cell>
          <cell r="Z566">
            <v>2.91</v>
          </cell>
          <cell r="AA566">
            <v>1064</v>
          </cell>
          <cell r="AB566" t="str">
            <v>نشط</v>
          </cell>
          <cell r="AC566" t="str">
            <v>400274</v>
          </cell>
          <cell r="AD566" t="str">
            <v>Hussain Albakmani</v>
          </cell>
          <cell r="AE566" t="str">
            <v>إعارة</v>
          </cell>
          <cell r="AF566" t="str">
            <v/>
          </cell>
          <cell r="AG566" t="str">
            <v/>
          </cell>
          <cell r="AH566" t="str">
            <v>علم الإحياء</v>
          </cell>
          <cell r="AI566" t="str">
            <v>بكالوريوس</v>
          </cell>
          <cell r="AJ566">
            <v>2</v>
          </cell>
          <cell r="AK566">
            <v>0</v>
          </cell>
          <cell r="AL566">
            <v>0</v>
          </cell>
          <cell r="AM566">
            <v>2</v>
          </cell>
          <cell r="AN566" t="str">
            <v/>
          </cell>
          <cell r="AO566" t="str">
            <v>الاذونات وخدمات المحاجر</v>
          </cell>
          <cell r="AP566" t="str">
            <v>Al Rajhi Bank</v>
          </cell>
          <cell r="AQ566" t="str">
            <v>SA7380000451608010084345</v>
          </cell>
          <cell r="AR566">
            <v>13505</v>
          </cell>
          <cell r="AS566" t="str">
            <v/>
          </cell>
          <cell r="AT566">
            <v>100</v>
          </cell>
          <cell r="AU566">
            <v>3376.25</v>
          </cell>
          <cell r="AV566" t="str">
            <v/>
          </cell>
        </row>
        <row r="567">
          <cell r="A567">
            <v>400388</v>
          </cell>
          <cell r="B567" t="str">
            <v>1059206399</v>
          </cell>
          <cell r="C567" t="str">
            <v>السيد</v>
          </cell>
          <cell r="D567" t="str">
            <v>Wael Ahmed Hassan Alharthi</v>
          </cell>
          <cell r="E567" t="str">
            <v>وائل احمد حسن الحارثي</v>
          </cell>
          <cell r="F567" t="str">
            <v>Male</v>
          </cell>
          <cell r="G567" t="str">
            <v>أعزب</v>
          </cell>
          <cell r="H567">
            <v>32257</v>
          </cell>
          <cell r="I567">
            <v>38</v>
          </cell>
          <cell r="J567">
            <v>13933</v>
          </cell>
          <cell r="K567" t="str">
            <v>Wael.AlHarithi@agriserv.sa</v>
          </cell>
          <cell r="L567" t="str">
            <v>0501645510</v>
          </cell>
          <cell r="M567" t="str">
            <v/>
          </cell>
          <cell r="N567" t="str">
            <v>المملكة العربية السعودية</v>
          </cell>
          <cell r="O567" t="str">
            <v>50001211</v>
          </cell>
          <cell r="P567" t="str">
            <v>فني مختبرات</v>
          </cell>
          <cell r="Q567" t="str">
            <v>2A الدرجة</v>
          </cell>
          <cell r="R567" t="str">
            <v>Class A</v>
          </cell>
          <cell r="S567" t="str">
            <v>مختبرات مكة  (مكة المكرمة)</v>
          </cell>
          <cell r="T567" t="str">
            <v>خدمات المحجر</v>
          </cell>
          <cell r="U567" t="str">
            <v>الاذونات وخدمات المحاجر</v>
          </cell>
          <cell r="V567" t="str">
            <v>العمليات</v>
          </cell>
          <cell r="W567" t="str">
            <v>Makkah</v>
          </cell>
          <cell r="X567" t="str">
            <v xml:space="preserve">الفرع </v>
          </cell>
          <cell r="Y567">
            <v>45126</v>
          </cell>
          <cell r="Z567">
            <v>2.91</v>
          </cell>
          <cell r="AA567">
            <v>1064</v>
          </cell>
          <cell r="AB567" t="str">
            <v>نشط</v>
          </cell>
          <cell r="AC567" t="str">
            <v>400274</v>
          </cell>
          <cell r="AD567" t="str">
            <v>Hussain Albakmani</v>
          </cell>
          <cell r="AE567" t="str">
            <v>إعارة</v>
          </cell>
          <cell r="AF567" t="str">
            <v/>
          </cell>
          <cell r="AG567" t="str">
            <v/>
          </cell>
          <cell r="AH567" t="str">
            <v>التقنية الحيوية</v>
          </cell>
          <cell r="AI567" t="str">
            <v>بكالوريوس</v>
          </cell>
          <cell r="AJ567">
            <v>1</v>
          </cell>
          <cell r="AK567">
            <v>0</v>
          </cell>
          <cell r="AL567">
            <v>0</v>
          </cell>
          <cell r="AM567">
            <v>1</v>
          </cell>
          <cell r="AN567" t="str">
            <v/>
          </cell>
          <cell r="AO567" t="str">
            <v>الاذونات وخدمات المحاجر</v>
          </cell>
          <cell r="AP567" t="str">
            <v>Saudi National Bank</v>
          </cell>
          <cell r="AQ567" t="str">
            <v>SA1410000031652918000101</v>
          </cell>
          <cell r="AR567">
            <v>13505</v>
          </cell>
          <cell r="AS567" t="str">
            <v/>
          </cell>
          <cell r="AT567">
            <v>100</v>
          </cell>
          <cell r="AU567">
            <v>3376.25</v>
          </cell>
          <cell r="AV567" t="str">
            <v/>
          </cell>
        </row>
        <row r="568">
          <cell r="A568">
            <v>400389</v>
          </cell>
          <cell r="B568" t="str">
            <v>1065989244</v>
          </cell>
          <cell r="C568" t="str">
            <v>السيد</v>
          </cell>
          <cell r="D568" t="str">
            <v>Suliman Mohammd Suliman Abosuliman</v>
          </cell>
          <cell r="E568" t="str">
            <v>سليمان محمد سليمان ابوسليمان</v>
          </cell>
          <cell r="F568" t="str">
            <v>Male</v>
          </cell>
          <cell r="G568" t="str">
            <v>متزوج</v>
          </cell>
          <cell r="H568">
            <v>32942</v>
          </cell>
          <cell r="I568">
            <v>36</v>
          </cell>
          <cell r="J568">
            <v>13248</v>
          </cell>
          <cell r="K568" t="str">
            <v>Suleiman.AbuSuleiman@agriserv.sa</v>
          </cell>
          <cell r="L568" t="str">
            <v>0596622996</v>
          </cell>
          <cell r="M568" t="str">
            <v/>
          </cell>
          <cell r="N568" t="str">
            <v>المملكة العربية السعودية</v>
          </cell>
          <cell r="O568" t="str">
            <v>50001212</v>
          </cell>
          <cell r="P568" t="str">
            <v>فني مختبرات</v>
          </cell>
          <cell r="Q568" t="str">
            <v>2A الدرجة</v>
          </cell>
          <cell r="R568" t="str">
            <v>Class A</v>
          </cell>
          <cell r="S568" t="str">
            <v>مختبرات مكة  (مكة المكرمة)</v>
          </cell>
          <cell r="T568" t="str">
            <v>خدمات المحجر</v>
          </cell>
          <cell r="U568" t="str">
            <v>الاذونات وخدمات المحاجر</v>
          </cell>
          <cell r="V568" t="str">
            <v>العمليات</v>
          </cell>
          <cell r="W568" t="str">
            <v>Makkah</v>
          </cell>
          <cell r="X568" t="str">
            <v xml:space="preserve">الفرع </v>
          </cell>
          <cell r="Y568">
            <v>45126</v>
          </cell>
          <cell r="Z568">
            <v>2.91</v>
          </cell>
          <cell r="AA568">
            <v>1064</v>
          </cell>
          <cell r="AB568" t="str">
            <v>نشط</v>
          </cell>
          <cell r="AC568" t="str">
            <v>400274</v>
          </cell>
          <cell r="AD568" t="str">
            <v>Hussain Albakmani</v>
          </cell>
          <cell r="AE568" t="str">
            <v>إعارة</v>
          </cell>
          <cell r="AF568" t="str">
            <v/>
          </cell>
          <cell r="AG568" t="str">
            <v/>
          </cell>
          <cell r="AH568" t="str">
            <v>علم الإحياء</v>
          </cell>
          <cell r="AI568" t="str">
            <v>ماجستير</v>
          </cell>
          <cell r="AJ568">
            <v>5</v>
          </cell>
          <cell r="AK568">
            <v>2</v>
          </cell>
          <cell r="AL568">
            <v>1</v>
          </cell>
          <cell r="AM568">
            <v>2</v>
          </cell>
          <cell r="AN568" t="str">
            <v/>
          </cell>
          <cell r="AO568" t="str">
            <v>الاذونات وخدمات المحاجر</v>
          </cell>
          <cell r="AP568" t="str">
            <v>Gulf Int'l Bank</v>
          </cell>
          <cell r="AQ568" t="str">
            <v>SA2890000000029900510841</v>
          </cell>
          <cell r="AR568">
            <v>9278</v>
          </cell>
          <cell r="AS568" t="str">
            <v/>
          </cell>
          <cell r="AT568">
            <v>300</v>
          </cell>
          <cell r="AU568">
            <v>2319.5</v>
          </cell>
          <cell r="AV568" t="str">
            <v/>
          </cell>
        </row>
        <row r="569">
          <cell r="A569">
            <v>400390</v>
          </cell>
          <cell r="B569" t="str">
            <v>1089756009</v>
          </cell>
          <cell r="C569" t="str">
            <v>السيد</v>
          </cell>
          <cell r="D569" t="str">
            <v>Abdulaziz Mohammed Dafeer Alqarni</v>
          </cell>
          <cell r="E569" t="str">
            <v>عبدالعزيز محمد ظافر القرني</v>
          </cell>
          <cell r="F569" t="str">
            <v>Male</v>
          </cell>
          <cell r="G569" t="str">
            <v>متزوج</v>
          </cell>
          <cell r="H569">
            <v>32497</v>
          </cell>
          <cell r="I569">
            <v>37</v>
          </cell>
          <cell r="J569">
            <v>13693</v>
          </cell>
          <cell r="K569" t="str">
            <v>abdulaziz.alqarni@agriserv.sa</v>
          </cell>
          <cell r="L569" t="str">
            <v>0551800002</v>
          </cell>
          <cell r="M569" t="str">
            <v/>
          </cell>
          <cell r="N569" t="str">
            <v>المملكة العربية السعودية</v>
          </cell>
          <cell r="O569" t="str">
            <v>50001213</v>
          </cell>
          <cell r="P569" t="str">
            <v>فني مختبرات</v>
          </cell>
          <cell r="Q569" t="str">
            <v>2A الدرجة</v>
          </cell>
          <cell r="R569" t="str">
            <v>Class A</v>
          </cell>
          <cell r="S569" t="str">
            <v>مختبرات مكة  (مكة المكرمة)</v>
          </cell>
          <cell r="T569" t="str">
            <v>خدمات المحجر</v>
          </cell>
          <cell r="U569" t="str">
            <v>الاذونات وخدمات المحاجر</v>
          </cell>
          <cell r="V569" t="str">
            <v>العمليات</v>
          </cell>
          <cell r="W569" t="str">
            <v>Makkah</v>
          </cell>
          <cell r="X569" t="str">
            <v xml:space="preserve">الفرع </v>
          </cell>
          <cell r="Y569">
            <v>45126</v>
          </cell>
          <cell r="Z569">
            <v>2.91</v>
          </cell>
          <cell r="AA569">
            <v>1064</v>
          </cell>
          <cell r="AB569" t="str">
            <v>نشط</v>
          </cell>
          <cell r="AC569" t="str">
            <v>400274</v>
          </cell>
          <cell r="AD569" t="str">
            <v>Hussain Albakmani</v>
          </cell>
          <cell r="AE569" t="str">
            <v>إعارة</v>
          </cell>
          <cell r="AF569" t="str">
            <v/>
          </cell>
          <cell r="AG569" t="str">
            <v/>
          </cell>
          <cell r="AH569" t="str">
            <v>التقنية الحيوية</v>
          </cell>
          <cell r="AI569" t="str">
            <v>بكالوريوس</v>
          </cell>
          <cell r="AJ569">
            <v>3</v>
          </cell>
          <cell r="AK569">
            <v>1</v>
          </cell>
          <cell r="AL569">
            <v>1</v>
          </cell>
          <cell r="AM569">
            <v>1</v>
          </cell>
          <cell r="AN569" t="str">
            <v/>
          </cell>
          <cell r="AO569" t="str">
            <v>الاذونات وخدمات المحاجر</v>
          </cell>
          <cell r="AP569" t="str">
            <v>Al Rajhi Bank</v>
          </cell>
          <cell r="AQ569" t="str">
            <v>SA4180000257608010269900</v>
          </cell>
          <cell r="AR569">
            <v>12095</v>
          </cell>
          <cell r="AS569" t="str">
            <v/>
          </cell>
          <cell r="AT569">
            <v>100</v>
          </cell>
          <cell r="AU569">
            <v>3023.75</v>
          </cell>
          <cell r="AV569" t="str">
            <v/>
          </cell>
        </row>
        <row r="570">
          <cell r="A570">
            <v>400391</v>
          </cell>
          <cell r="B570" t="str">
            <v>1082179704</v>
          </cell>
          <cell r="C570" t="str">
            <v>السيد</v>
          </cell>
          <cell r="D570" t="str">
            <v>Fadhel Hassan Ahmed Alghamdi</v>
          </cell>
          <cell r="E570" t="str">
            <v>فاضل حسن احمد الغامدي</v>
          </cell>
          <cell r="F570" t="str">
            <v>Male</v>
          </cell>
          <cell r="G570" t="str">
            <v>متزوج</v>
          </cell>
          <cell r="H570">
            <v>33612</v>
          </cell>
          <cell r="I570">
            <v>34</v>
          </cell>
          <cell r="J570">
            <v>12578</v>
          </cell>
          <cell r="K570" t="str">
            <v>Fadel.AlGhamdi@agriserv.sa</v>
          </cell>
          <cell r="L570" t="str">
            <v>0533688192</v>
          </cell>
          <cell r="M570" t="str">
            <v/>
          </cell>
          <cell r="N570" t="str">
            <v>المملكة العربية السعودية</v>
          </cell>
          <cell r="O570" t="str">
            <v>50001214</v>
          </cell>
          <cell r="P570" t="str">
            <v>فني مختبرات</v>
          </cell>
          <cell r="Q570" t="str">
            <v>2A الدرجة</v>
          </cell>
          <cell r="R570" t="str">
            <v>Class A</v>
          </cell>
          <cell r="S570" t="str">
            <v>مختبرات مكة  (مكة المكرمة)</v>
          </cell>
          <cell r="T570" t="str">
            <v>خدمات المحجر</v>
          </cell>
          <cell r="U570" t="str">
            <v>الاذونات وخدمات المحاجر</v>
          </cell>
          <cell r="V570" t="str">
            <v>العمليات</v>
          </cell>
          <cell r="W570" t="str">
            <v>Makkah</v>
          </cell>
          <cell r="X570" t="str">
            <v xml:space="preserve">الفرع </v>
          </cell>
          <cell r="Y570">
            <v>45126</v>
          </cell>
          <cell r="Z570">
            <v>2.91</v>
          </cell>
          <cell r="AA570">
            <v>1064</v>
          </cell>
          <cell r="AB570" t="str">
            <v>نشط</v>
          </cell>
          <cell r="AC570" t="str">
            <v>400274</v>
          </cell>
          <cell r="AD570" t="str">
            <v>Hussain Albakmani</v>
          </cell>
          <cell r="AE570" t="str">
            <v>إعارة</v>
          </cell>
          <cell r="AF570" t="str">
            <v/>
          </cell>
          <cell r="AG570" t="str">
            <v/>
          </cell>
          <cell r="AH570" t="str">
            <v>كيمياء</v>
          </cell>
          <cell r="AI570" t="str">
            <v>بكالوريوس</v>
          </cell>
          <cell r="AJ570">
            <v>1</v>
          </cell>
          <cell r="AK570">
            <v>0</v>
          </cell>
          <cell r="AL570">
            <v>1</v>
          </cell>
          <cell r="AM570">
            <v>0</v>
          </cell>
          <cell r="AN570" t="str">
            <v/>
          </cell>
          <cell r="AO570" t="str">
            <v>الاذونات وخدمات المحاجر</v>
          </cell>
          <cell r="AP570" t="str">
            <v>Saudi National Bank</v>
          </cell>
          <cell r="AQ570" t="str">
            <v>SA2810000015563874000110</v>
          </cell>
          <cell r="AR570">
            <v>12095</v>
          </cell>
          <cell r="AS570" t="str">
            <v/>
          </cell>
          <cell r="AT570">
            <v>100</v>
          </cell>
          <cell r="AU570">
            <v>3023.75</v>
          </cell>
          <cell r="AV570" t="str">
            <v/>
          </cell>
        </row>
        <row r="571">
          <cell r="A571">
            <v>400392</v>
          </cell>
          <cell r="B571" t="str">
            <v>1084535143</v>
          </cell>
          <cell r="C571" t="str">
            <v>السيد</v>
          </cell>
          <cell r="D571" t="str">
            <v>Saeed Ali Saeed Alshehery</v>
          </cell>
          <cell r="E571" t="str">
            <v>سعيد علي سعيد الشهري</v>
          </cell>
          <cell r="F571" t="str">
            <v>Male</v>
          </cell>
          <cell r="G571" t="str">
            <v>متزوج</v>
          </cell>
          <cell r="H571">
            <v>33403</v>
          </cell>
          <cell r="I571">
            <v>35</v>
          </cell>
          <cell r="J571">
            <v>12787</v>
          </cell>
          <cell r="K571" t="str">
            <v>saeed.alshehri@agriserv.sa</v>
          </cell>
          <cell r="L571" t="str">
            <v>0565302847</v>
          </cell>
          <cell r="M571" t="str">
            <v/>
          </cell>
          <cell r="N571" t="str">
            <v>المملكة العربية السعودية</v>
          </cell>
          <cell r="O571" t="str">
            <v>50001215</v>
          </cell>
          <cell r="P571" t="str">
            <v>فني مختبرات</v>
          </cell>
          <cell r="Q571" t="str">
            <v>2A الدرجة</v>
          </cell>
          <cell r="R571" t="str">
            <v>Class A</v>
          </cell>
          <cell r="S571" t="str">
            <v>مختبرات مكة  (مكة المكرمة)</v>
          </cell>
          <cell r="T571" t="str">
            <v>خدمات المحجر</v>
          </cell>
          <cell r="U571" t="str">
            <v>الاذونات وخدمات المحاجر</v>
          </cell>
          <cell r="V571" t="str">
            <v>العمليات</v>
          </cell>
          <cell r="W571" t="str">
            <v>Makkah</v>
          </cell>
          <cell r="X571" t="str">
            <v xml:space="preserve">الفرع </v>
          </cell>
          <cell r="Y571">
            <v>45126</v>
          </cell>
          <cell r="Z571">
            <v>2.91</v>
          </cell>
          <cell r="AA571">
            <v>1064</v>
          </cell>
          <cell r="AB571" t="str">
            <v>نشط</v>
          </cell>
          <cell r="AC571" t="str">
            <v>400274</v>
          </cell>
          <cell r="AD571" t="str">
            <v>Hussain Albakmani</v>
          </cell>
          <cell r="AE571" t="str">
            <v>إعارة</v>
          </cell>
          <cell r="AF571" t="str">
            <v/>
          </cell>
          <cell r="AG571" t="str">
            <v/>
          </cell>
          <cell r="AH571" t="str">
            <v>علم الإحياء</v>
          </cell>
          <cell r="AI571" t="str">
            <v>بكالوريوس</v>
          </cell>
          <cell r="AJ571">
            <v>4</v>
          </cell>
          <cell r="AK571">
            <v>1</v>
          </cell>
          <cell r="AL571">
            <v>1</v>
          </cell>
          <cell r="AM571">
            <v>2</v>
          </cell>
          <cell r="AN571" t="str">
            <v/>
          </cell>
          <cell r="AO571" t="str">
            <v>الاذونات وخدمات المحاجر</v>
          </cell>
          <cell r="AP571" t="str">
            <v>Al Rajhi Bank</v>
          </cell>
          <cell r="AQ571" t="str">
            <v>SA5980000320608012036482</v>
          </cell>
          <cell r="AR571">
            <v>8440</v>
          </cell>
          <cell r="AS571" t="str">
            <v/>
          </cell>
          <cell r="AT571">
            <v>300</v>
          </cell>
          <cell r="AU571">
            <v>2110</v>
          </cell>
          <cell r="AV571" t="str">
            <v/>
          </cell>
        </row>
        <row r="572">
          <cell r="A572">
            <v>400393</v>
          </cell>
          <cell r="B572" t="str">
            <v>1093712469</v>
          </cell>
          <cell r="C572" t="str">
            <v>السيد</v>
          </cell>
          <cell r="D572" t="str">
            <v>Zaid Ali Ahmed Shibli</v>
          </cell>
          <cell r="E572" t="str">
            <v>زيد علي احمد شبلي</v>
          </cell>
          <cell r="F572" t="str">
            <v>Male</v>
          </cell>
          <cell r="G572" t="str">
            <v>متزوج</v>
          </cell>
          <cell r="H572">
            <v>34940</v>
          </cell>
          <cell r="I572">
            <v>31</v>
          </cell>
          <cell r="J572">
            <v>11250</v>
          </cell>
          <cell r="K572" t="str">
            <v>zaid.shebli@agriserv.sa</v>
          </cell>
          <cell r="L572" t="str">
            <v>0504803374</v>
          </cell>
          <cell r="M572" t="str">
            <v/>
          </cell>
          <cell r="N572" t="str">
            <v>المملكة العربية السعودية</v>
          </cell>
          <cell r="O572" t="str">
            <v>50001216</v>
          </cell>
          <cell r="P572" t="str">
            <v>فني مختبرات</v>
          </cell>
          <cell r="Q572" t="str">
            <v>2A الدرجة</v>
          </cell>
          <cell r="R572" t="str">
            <v>Class A</v>
          </cell>
          <cell r="S572" t="str">
            <v>مختبرات مكة  (مكة المكرمة)</v>
          </cell>
          <cell r="T572" t="str">
            <v>خدمات المحجر</v>
          </cell>
          <cell r="U572" t="str">
            <v>الاذونات وخدمات المحاجر</v>
          </cell>
          <cell r="V572" t="str">
            <v>العمليات</v>
          </cell>
          <cell r="W572" t="str">
            <v>Makkah</v>
          </cell>
          <cell r="X572" t="str">
            <v xml:space="preserve">الفرع </v>
          </cell>
          <cell r="Y572">
            <v>45126</v>
          </cell>
          <cell r="Z572">
            <v>2.91</v>
          </cell>
          <cell r="AA572">
            <v>1064</v>
          </cell>
          <cell r="AB572" t="str">
            <v>نشط</v>
          </cell>
          <cell r="AC572" t="str">
            <v>400274</v>
          </cell>
          <cell r="AD572" t="str">
            <v>Hussain Albakmani</v>
          </cell>
          <cell r="AE572" t="str">
            <v>إعارة</v>
          </cell>
          <cell r="AF572" t="str">
            <v/>
          </cell>
          <cell r="AG572" t="str">
            <v/>
          </cell>
          <cell r="AH572" t="str">
            <v>احياء دقيقة</v>
          </cell>
          <cell r="AI572" t="str">
            <v>بكالوريوس</v>
          </cell>
          <cell r="AJ572">
            <v>5</v>
          </cell>
          <cell r="AK572">
            <v>2</v>
          </cell>
          <cell r="AL572">
            <v>1</v>
          </cell>
          <cell r="AM572">
            <v>2</v>
          </cell>
          <cell r="AN572" t="str">
            <v/>
          </cell>
          <cell r="AO572" t="str">
            <v>الاذونات وخدمات المحاجر</v>
          </cell>
          <cell r="AP572" t="str">
            <v>Al Rajhi Bank</v>
          </cell>
          <cell r="AQ572" t="str">
            <v>SA1080000377608016000844</v>
          </cell>
          <cell r="AR572">
            <v>8038</v>
          </cell>
          <cell r="AS572" t="str">
            <v/>
          </cell>
          <cell r="AT572">
            <v>300</v>
          </cell>
          <cell r="AU572">
            <v>2009.5</v>
          </cell>
          <cell r="AV572" t="str">
            <v/>
          </cell>
        </row>
        <row r="573">
          <cell r="A573">
            <v>400394</v>
          </cell>
          <cell r="B573" t="str">
            <v>1021794423</v>
          </cell>
          <cell r="C573" t="str">
            <v>السيد</v>
          </cell>
          <cell r="D573" t="str">
            <v>Saleh Mustafa Ali Altanbakti</v>
          </cell>
          <cell r="E573" t="str">
            <v>صالح مصطفى علي التنبكتي</v>
          </cell>
          <cell r="F573" t="str">
            <v>Male</v>
          </cell>
          <cell r="G573" t="str">
            <v>متزوج</v>
          </cell>
          <cell r="H573">
            <v>25812</v>
          </cell>
          <cell r="I573">
            <v>56</v>
          </cell>
          <cell r="J573">
            <v>20378</v>
          </cell>
          <cell r="K573" t="str">
            <v>Saleh.AlTanbukti@agriserv.sa</v>
          </cell>
          <cell r="L573" t="str">
            <v>0504771270</v>
          </cell>
          <cell r="M573" t="str">
            <v/>
          </cell>
          <cell r="N573" t="str">
            <v>المملكة العربية السعودية</v>
          </cell>
          <cell r="O573" t="str">
            <v>50001217</v>
          </cell>
          <cell r="P573" t="str">
            <v>فني مختبرات</v>
          </cell>
          <cell r="Q573" t="str">
            <v>2A الدرجة</v>
          </cell>
          <cell r="R573" t="str">
            <v>Class A</v>
          </cell>
          <cell r="S573" t="str">
            <v>مختبرات مكة  (مكة المكرمة)</v>
          </cell>
          <cell r="T573" t="str">
            <v>خدمات المحجر</v>
          </cell>
          <cell r="U573" t="str">
            <v>الاذونات وخدمات المحاجر</v>
          </cell>
          <cell r="V573" t="str">
            <v>العمليات</v>
          </cell>
          <cell r="W573" t="str">
            <v>Makkah</v>
          </cell>
          <cell r="X573" t="str">
            <v xml:space="preserve">الفرع </v>
          </cell>
          <cell r="Y573">
            <v>45126</v>
          </cell>
          <cell r="Z573">
            <v>2.91</v>
          </cell>
          <cell r="AA573">
            <v>1064</v>
          </cell>
          <cell r="AB573" t="str">
            <v>نشط</v>
          </cell>
          <cell r="AC573" t="str">
            <v>400274</v>
          </cell>
          <cell r="AD573" t="str">
            <v>Hussain Albakmani</v>
          </cell>
          <cell r="AE573" t="str">
            <v>إعارة</v>
          </cell>
          <cell r="AF573" t="str">
            <v/>
          </cell>
          <cell r="AG573" t="str">
            <v/>
          </cell>
          <cell r="AH573" t="str">
            <v>كيمياء</v>
          </cell>
          <cell r="AI573" t="str">
            <v>بكالوريوس</v>
          </cell>
          <cell r="AJ573">
            <v>4</v>
          </cell>
          <cell r="AK573">
            <v>2</v>
          </cell>
          <cell r="AL573">
            <v>1</v>
          </cell>
          <cell r="AM573">
            <v>1</v>
          </cell>
          <cell r="AN573" t="str">
            <v/>
          </cell>
          <cell r="AO573" t="str">
            <v>الاذونات وخدمات المحاجر</v>
          </cell>
          <cell r="AP573" t="str">
            <v>Riyad Bank</v>
          </cell>
          <cell r="AQ573" t="str">
            <v>SA9320000002900674189940</v>
          </cell>
          <cell r="AR573">
            <v>16395</v>
          </cell>
          <cell r="AS573" t="str">
            <v/>
          </cell>
          <cell r="AT573">
            <v>100</v>
          </cell>
          <cell r="AU573">
            <v>4098.75</v>
          </cell>
          <cell r="AV573" t="str">
            <v/>
          </cell>
        </row>
        <row r="574">
          <cell r="A574">
            <v>400395</v>
          </cell>
          <cell r="B574" t="str">
            <v>1036876405</v>
          </cell>
          <cell r="C574" t="str">
            <v>السيد</v>
          </cell>
          <cell r="D574" t="str">
            <v>Fawzy Waslalah Yahya Al-Harbi</v>
          </cell>
          <cell r="E574" t="str">
            <v>فوزي وصل الله يحي الحربي</v>
          </cell>
          <cell r="F574" t="str">
            <v>Male</v>
          </cell>
          <cell r="G574" t="str">
            <v>متزوج</v>
          </cell>
          <cell r="H574">
            <v>27331</v>
          </cell>
          <cell r="I574">
            <v>52</v>
          </cell>
          <cell r="J574">
            <v>18859</v>
          </cell>
          <cell r="K574" t="str">
            <v>fawzi.alharbi@agriserv.sa</v>
          </cell>
          <cell r="L574" t="str">
            <v>0550550639</v>
          </cell>
          <cell r="M574" t="str">
            <v/>
          </cell>
          <cell r="N574" t="str">
            <v>المملكة العربية السعودية</v>
          </cell>
          <cell r="O574" t="str">
            <v>50001267</v>
          </cell>
          <cell r="P574" t="str">
            <v>موظف دعم إداري</v>
          </cell>
          <cell r="Q574" t="str">
            <v>2A الدرجة</v>
          </cell>
          <cell r="R574" t="str">
            <v>Class A</v>
          </cell>
          <cell r="S574" t="str">
            <v>مختبرات مكة  (مكة المكرمة)</v>
          </cell>
          <cell r="T574" t="str">
            <v>خدمات المحجر</v>
          </cell>
          <cell r="U574" t="str">
            <v>الاذونات وخدمات المحاجر</v>
          </cell>
          <cell r="V574" t="str">
            <v>العمليات</v>
          </cell>
          <cell r="W574" t="str">
            <v>Makkah</v>
          </cell>
          <cell r="X574" t="str">
            <v xml:space="preserve">الفرع </v>
          </cell>
          <cell r="Y574">
            <v>45126</v>
          </cell>
          <cell r="Z574">
            <v>2.91</v>
          </cell>
          <cell r="AA574">
            <v>1064</v>
          </cell>
          <cell r="AB574" t="str">
            <v>نشط</v>
          </cell>
          <cell r="AC574" t="str">
            <v>400274</v>
          </cell>
          <cell r="AD574" t="str">
            <v>Hussain Albakmani</v>
          </cell>
          <cell r="AE574" t="str">
            <v>إعارة</v>
          </cell>
          <cell r="AF574" t="str">
            <v/>
          </cell>
          <cell r="AG574" t="str">
            <v/>
          </cell>
          <cell r="AH574" t="str">
            <v>علوم كمبيوتر</v>
          </cell>
          <cell r="AI574" t="str">
            <v>دبلوم</v>
          </cell>
          <cell r="AJ574">
            <v>8</v>
          </cell>
          <cell r="AK574">
            <v>5</v>
          </cell>
          <cell r="AL574">
            <v>1</v>
          </cell>
          <cell r="AM574">
            <v>2</v>
          </cell>
          <cell r="AN574" t="str">
            <v/>
          </cell>
          <cell r="AO574" t="str">
            <v>الاذونات وخدمات المحاجر</v>
          </cell>
          <cell r="AP574" t="str">
            <v>Al Rajhi Bank</v>
          </cell>
          <cell r="AQ574" t="str">
            <v>SA2180000243608010069976</v>
          </cell>
          <cell r="AR574">
            <v>13975</v>
          </cell>
          <cell r="AS574" t="str">
            <v/>
          </cell>
          <cell r="AT574">
            <v>100</v>
          </cell>
          <cell r="AU574">
            <v>3493.75</v>
          </cell>
          <cell r="AV574" t="str">
            <v/>
          </cell>
        </row>
        <row r="575">
          <cell r="A575">
            <v>400396</v>
          </cell>
          <cell r="B575" t="str">
            <v>1040277830</v>
          </cell>
          <cell r="C575" t="str">
            <v>السيد</v>
          </cell>
          <cell r="D575" t="str">
            <v>Falaj Mohammad Falaj Alshereef</v>
          </cell>
          <cell r="E575" t="str">
            <v>فلاج محمد فلاج الشريف</v>
          </cell>
          <cell r="F575" t="str">
            <v>Male</v>
          </cell>
          <cell r="G575" t="str">
            <v>أعزب</v>
          </cell>
          <cell r="H575">
            <v>27226</v>
          </cell>
          <cell r="I575">
            <v>52</v>
          </cell>
          <cell r="J575">
            <v>18964</v>
          </cell>
          <cell r="K575" t="str">
            <v>Falaj.Alshereef@agriserv.sa</v>
          </cell>
          <cell r="L575" t="str">
            <v>0504600515</v>
          </cell>
          <cell r="M575" t="str">
            <v/>
          </cell>
          <cell r="N575" t="str">
            <v>المملكة العربية السعودية</v>
          </cell>
          <cell r="O575" t="str">
            <v>50001154</v>
          </cell>
          <cell r="P575" t="str">
            <v>فني زراعي</v>
          </cell>
          <cell r="Q575" t="str">
            <v>2A الدرجة</v>
          </cell>
          <cell r="R575" t="str">
            <v>Class A</v>
          </cell>
          <cell r="S575" t="str">
            <v>محجر ميناء الملك عبدالله رابغ</v>
          </cell>
          <cell r="T575" t="str">
            <v>خدمات المحجر</v>
          </cell>
          <cell r="U575" t="str">
            <v>الاذونات وخدمات المحاجر</v>
          </cell>
          <cell r="V575" t="str">
            <v>العمليات</v>
          </cell>
          <cell r="W575" t="str">
            <v>Makkah</v>
          </cell>
          <cell r="X575" t="str">
            <v xml:space="preserve">الفرع </v>
          </cell>
          <cell r="Y575">
            <v>45126</v>
          </cell>
          <cell r="Z575">
            <v>2.91</v>
          </cell>
          <cell r="AA575">
            <v>1064</v>
          </cell>
          <cell r="AB575" t="str">
            <v>نشط</v>
          </cell>
          <cell r="AC575" t="str">
            <v>400275</v>
          </cell>
          <cell r="AD575" t="str">
            <v>Tareq Almalekei</v>
          </cell>
          <cell r="AE575" t="str">
            <v>إعارة</v>
          </cell>
          <cell r="AF575" t="str">
            <v/>
          </cell>
          <cell r="AG575" t="str">
            <v/>
          </cell>
          <cell r="AH575" t="str">
            <v>علم الزراعة</v>
          </cell>
          <cell r="AI575" t="str">
            <v>بكالوريوس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 t="str">
            <v/>
          </cell>
          <cell r="AO575" t="str">
            <v>الاذونات وخدمات المحاجر</v>
          </cell>
          <cell r="AP575" t="str">
            <v>Al Rajhi Bank</v>
          </cell>
          <cell r="AQ575" t="str">
            <v>SA7480000223608010148980</v>
          </cell>
          <cell r="AR575">
            <v>15385</v>
          </cell>
          <cell r="AS575" t="str">
            <v/>
          </cell>
          <cell r="AT575">
            <v>100</v>
          </cell>
          <cell r="AU575">
            <v>3846.25</v>
          </cell>
          <cell r="AV575" t="str">
            <v/>
          </cell>
        </row>
        <row r="576">
          <cell r="A576">
            <v>400397</v>
          </cell>
          <cell r="B576" t="str">
            <v>1059867448</v>
          </cell>
          <cell r="C576" t="str">
            <v>السيد</v>
          </cell>
          <cell r="D576" t="str">
            <v>Husain Mesfer Saeed Alyoubi</v>
          </cell>
          <cell r="E576" t="str">
            <v>حسين مسفر سعيد اليوبي</v>
          </cell>
          <cell r="F576" t="str">
            <v>Male</v>
          </cell>
          <cell r="G576" t="str">
            <v>متزوج</v>
          </cell>
          <cell r="H576">
            <v>26875</v>
          </cell>
          <cell r="I576">
            <v>53</v>
          </cell>
          <cell r="J576">
            <v>19315</v>
          </cell>
          <cell r="K576" t="str">
            <v>Hussain.AlYoubi@agriserv.sa</v>
          </cell>
          <cell r="L576" t="str">
            <v>0506356289</v>
          </cell>
          <cell r="M576" t="str">
            <v/>
          </cell>
          <cell r="N576" t="str">
            <v>المملكة العربية السعودية</v>
          </cell>
          <cell r="O576" t="str">
            <v>50001202</v>
          </cell>
          <cell r="P576" t="str">
            <v>باحث ثروة سمكية</v>
          </cell>
          <cell r="Q576" t="str">
            <v>الدرجة 4</v>
          </cell>
          <cell r="R576" t="str">
            <v>Class A</v>
          </cell>
          <cell r="S576" t="str">
            <v>محجر ميناء الملك عبدالله رابغ</v>
          </cell>
          <cell r="T576" t="str">
            <v>خدمات المحجر</v>
          </cell>
          <cell r="U576" t="str">
            <v>الاذونات وخدمات المحاجر</v>
          </cell>
          <cell r="V576" t="str">
            <v>العمليات</v>
          </cell>
          <cell r="W576" t="str">
            <v>Makkah</v>
          </cell>
          <cell r="X576" t="str">
            <v xml:space="preserve">الفرع </v>
          </cell>
          <cell r="Y576">
            <v>45126</v>
          </cell>
          <cell r="Z576">
            <v>2.91</v>
          </cell>
          <cell r="AA576">
            <v>1064</v>
          </cell>
          <cell r="AB576" t="str">
            <v>نشط</v>
          </cell>
          <cell r="AC576" t="str">
            <v>400275</v>
          </cell>
          <cell r="AD576" t="str">
            <v>Tareq Almalekei</v>
          </cell>
          <cell r="AE576" t="str">
            <v>إعارة</v>
          </cell>
          <cell r="AF576" t="str">
            <v/>
          </cell>
          <cell r="AG576" t="str">
            <v/>
          </cell>
          <cell r="AH576" t="str">
            <v>كيمياء</v>
          </cell>
          <cell r="AI576" t="str">
            <v>بكالوريوس</v>
          </cell>
          <cell r="AJ576">
            <v>7</v>
          </cell>
          <cell r="AK576">
            <v>5</v>
          </cell>
          <cell r="AL576">
            <v>1</v>
          </cell>
          <cell r="AM576">
            <v>1</v>
          </cell>
          <cell r="AN576" t="str">
            <v/>
          </cell>
          <cell r="AO576" t="str">
            <v>الاذونات وخدمات المحاجر</v>
          </cell>
          <cell r="AP576" t="str">
            <v>Bank Al Jazirah</v>
          </cell>
          <cell r="AQ576" t="str">
            <v>SA5360000000120528488001</v>
          </cell>
          <cell r="AR576">
            <v>10915</v>
          </cell>
          <cell r="AS576" t="str">
            <v/>
          </cell>
          <cell r="AT576">
            <v>391.5</v>
          </cell>
          <cell r="AU576">
            <v>2728.75</v>
          </cell>
          <cell r="AV576" t="str">
            <v/>
          </cell>
        </row>
        <row r="577">
          <cell r="A577">
            <v>400398</v>
          </cell>
          <cell r="B577" t="str">
            <v>1075166023</v>
          </cell>
          <cell r="C577" t="str">
            <v>السيد</v>
          </cell>
          <cell r="D577" t="str">
            <v>Akram Mustafa Ahmad Almali</v>
          </cell>
          <cell r="E577" t="str">
            <v>اكرم مصطفى احمد المالي</v>
          </cell>
          <cell r="F577" t="str">
            <v>Male</v>
          </cell>
          <cell r="G577" t="str">
            <v>متزوج</v>
          </cell>
          <cell r="H577">
            <v>33456</v>
          </cell>
          <cell r="I577">
            <v>35</v>
          </cell>
          <cell r="J577">
            <v>12734</v>
          </cell>
          <cell r="K577" t="str">
            <v>Akram.Almali@agriserv.sa</v>
          </cell>
          <cell r="L577" t="str">
            <v>0561841774</v>
          </cell>
          <cell r="M577" t="str">
            <v/>
          </cell>
          <cell r="N577" t="str">
            <v>المملكة العربية السعودية</v>
          </cell>
          <cell r="O577" t="str">
            <v>50001242</v>
          </cell>
          <cell r="P577" t="str">
            <v>طبيب بيطري</v>
          </cell>
          <cell r="Q577" t="str">
            <v>الدرجة 4</v>
          </cell>
          <cell r="R577" t="str">
            <v>Class A</v>
          </cell>
          <cell r="S577" t="str">
            <v>محجر ميناء الملك عبدالله رابغ</v>
          </cell>
          <cell r="T577" t="str">
            <v>خدمات المحجر</v>
          </cell>
          <cell r="U577" t="str">
            <v>الاذونات وخدمات المحاجر</v>
          </cell>
          <cell r="V577" t="str">
            <v>العمليات</v>
          </cell>
          <cell r="W577" t="str">
            <v>Makkah</v>
          </cell>
          <cell r="X577" t="str">
            <v xml:space="preserve">الفرع </v>
          </cell>
          <cell r="Y577">
            <v>45126</v>
          </cell>
          <cell r="Z577">
            <v>2.91</v>
          </cell>
          <cell r="AA577">
            <v>1064</v>
          </cell>
          <cell r="AB577" t="str">
            <v>نشط</v>
          </cell>
          <cell r="AC577" t="str">
            <v>400275</v>
          </cell>
          <cell r="AD577" t="str">
            <v>Tareq Almalekei</v>
          </cell>
          <cell r="AE577" t="str">
            <v>إعارة</v>
          </cell>
          <cell r="AF577" t="str">
            <v/>
          </cell>
          <cell r="AG577" t="str">
            <v/>
          </cell>
          <cell r="AH577" t="str">
            <v>ثانوية</v>
          </cell>
          <cell r="AI577" t="str">
            <v>شهادة المدرسة الثانوية</v>
          </cell>
          <cell r="AJ577">
            <v>4</v>
          </cell>
          <cell r="AK577">
            <v>1</v>
          </cell>
          <cell r="AL577">
            <v>1</v>
          </cell>
          <cell r="AM577">
            <v>2</v>
          </cell>
          <cell r="AN577" t="str">
            <v/>
          </cell>
          <cell r="AO577" t="str">
            <v>الاذونات وخدمات المحاجر</v>
          </cell>
          <cell r="AP577" t="str">
            <v>Bank Al Jazirah</v>
          </cell>
          <cell r="AQ577" t="str">
            <v>SA2960100010480738657001</v>
          </cell>
          <cell r="AR577">
            <v>9369</v>
          </cell>
          <cell r="AS577" t="str">
            <v/>
          </cell>
          <cell r="AT577">
            <v>436.9</v>
          </cell>
          <cell r="AU577">
            <v>2342.25</v>
          </cell>
          <cell r="AV577" t="str">
            <v/>
          </cell>
        </row>
        <row r="578">
          <cell r="A578">
            <v>400399</v>
          </cell>
          <cell r="B578" t="str">
            <v>1001288990</v>
          </cell>
          <cell r="C578" t="str">
            <v>السيد</v>
          </cell>
          <cell r="D578" t="str">
            <v>Tareq Metlaq Ali Alghamdi</v>
          </cell>
          <cell r="E578" t="str">
            <v>طارق مطلق على الغامدى</v>
          </cell>
          <cell r="F578" t="str">
            <v>Male</v>
          </cell>
          <cell r="G578" t="str">
            <v>أعزب</v>
          </cell>
          <cell r="H578">
            <v>27818</v>
          </cell>
          <cell r="I578">
            <v>50</v>
          </cell>
          <cell r="J578">
            <v>18372</v>
          </cell>
          <cell r="K578" t="str">
            <v>Tareq.AlGhamdi@agriserv.sa</v>
          </cell>
          <cell r="L578" t="str">
            <v>0562345322</v>
          </cell>
          <cell r="M578" t="str">
            <v/>
          </cell>
          <cell r="N578" t="str">
            <v>المملكة العربية السعودية</v>
          </cell>
          <cell r="O578" t="str">
            <v>50001196</v>
          </cell>
          <cell r="P578" t="str">
            <v>طبيب بيطري مساعد</v>
          </cell>
          <cell r="Q578" t="str">
            <v>2B الدرجة</v>
          </cell>
          <cell r="R578" t="str">
            <v>Class A</v>
          </cell>
          <cell r="S578" t="str">
            <v>محجر ميناء جدة الاسلامي  (مكة المكرمة)</v>
          </cell>
          <cell r="T578" t="str">
            <v>خدمات المحجر</v>
          </cell>
          <cell r="U578" t="str">
            <v>الاذونات وخدمات المحاجر</v>
          </cell>
          <cell r="V578" t="str">
            <v>العمليات</v>
          </cell>
          <cell r="W578" t="str">
            <v>Makkah</v>
          </cell>
          <cell r="X578" t="str">
            <v xml:space="preserve">الفرع </v>
          </cell>
          <cell r="Y578">
            <v>45126</v>
          </cell>
          <cell r="Z578">
            <v>2.91</v>
          </cell>
          <cell r="AA578">
            <v>1064</v>
          </cell>
          <cell r="AB578" t="str">
            <v>نشط</v>
          </cell>
          <cell r="AC578" t="str">
            <v>400274</v>
          </cell>
          <cell r="AD578" t="str">
            <v>Hussain Albakmani</v>
          </cell>
          <cell r="AE578" t="str">
            <v>إعارة</v>
          </cell>
          <cell r="AF578" t="str">
            <v/>
          </cell>
          <cell r="AG578" t="str">
            <v/>
          </cell>
          <cell r="AH578" t="str">
            <v>مختبرات طبيه</v>
          </cell>
          <cell r="AI578" t="str">
            <v>دبلوم</v>
          </cell>
          <cell r="AJ578">
            <v>2</v>
          </cell>
          <cell r="AK578">
            <v>0</v>
          </cell>
          <cell r="AL578">
            <v>0</v>
          </cell>
          <cell r="AM578">
            <v>2</v>
          </cell>
          <cell r="AN578" t="str">
            <v/>
          </cell>
          <cell r="AO578" t="str">
            <v>الاذونات وخدمات المحاجر</v>
          </cell>
          <cell r="AP578" t="str">
            <v>Saudi National Bank</v>
          </cell>
          <cell r="AQ578" t="str">
            <v>SA7210000012947938000107</v>
          </cell>
          <cell r="AR578">
            <v>12990</v>
          </cell>
          <cell r="AS578" t="str">
            <v/>
          </cell>
          <cell r="AT578">
            <v>100</v>
          </cell>
          <cell r="AU578">
            <v>3247.5</v>
          </cell>
          <cell r="AV578" t="str">
            <v/>
          </cell>
        </row>
        <row r="579">
          <cell r="A579">
            <v>400400</v>
          </cell>
          <cell r="B579" t="str">
            <v>1052249248</v>
          </cell>
          <cell r="C579" t="str">
            <v>السيد</v>
          </cell>
          <cell r="D579" t="str">
            <v>Adil Muhmmad Nasser Kawajah</v>
          </cell>
          <cell r="E579" t="str">
            <v>عادل محمد ناصر خواجي</v>
          </cell>
          <cell r="F579" t="str">
            <v>Male</v>
          </cell>
          <cell r="G579" t="str">
            <v>متزوج</v>
          </cell>
          <cell r="H579">
            <v>30070</v>
          </cell>
          <cell r="I579">
            <v>44</v>
          </cell>
          <cell r="J579">
            <v>16120</v>
          </cell>
          <cell r="K579" t="str">
            <v>Adel.Khawaji@agriserv.sa</v>
          </cell>
          <cell r="L579" t="str">
            <v>0551130324</v>
          </cell>
          <cell r="M579" t="str">
            <v/>
          </cell>
          <cell r="N579" t="str">
            <v>المملكة العربية السعودية</v>
          </cell>
          <cell r="O579" t="str">
            <v>50001155</v>
          </cell>
          <cell r="P579" t="str">
            <v>فني زراعي</v>
          </cell>
          <cell r="Q579" t="str">
            <v>2A الدرجة</v>
          </cell>
          <cell r="R579" t="str">
            <v>Class A</v>
          </cell>
          <cell r="S579" t="str">
            <v>محجر ميناء جدة الاسلامي  (مكة المكرمة)</v>
          </cell>
          <cell r="T579" t="str">
            <v>خدمات المحجر</v>
          </cell>
          <cell r="U579" t="str">
            <v>الاذونات وخدمات المحاجر</v>
          </cell>
          <cell r="V579" t="str">
            <v>العمليات</v>
          </cell>
          <cell r="W579" t="str">
            <v>Makkah</v>
          </cell>
          <cell r="X579" t="str">
            <v xml:space="preserve">الفرع </v>
          </cell>
          <cell r="Y579">
            <v>45126</v>
          </cell>
          <cell r="Z579">
            <v>2.91</v>
          </cell>
          <cell r="AA579">
            <v>1064</v>
          </cell>
          <cell r="AB579" t="str">
            <v>نشط</v>
          </cell>
          <cell r="AC579" t="str">
            <v>400274</v>
          </cell>
          <cell r="AD579" t="str">
            <v>Hussain Albakmani</v>
          </cell>
          <cell r="AE579" t="str">
            <v>إعارة</v>
          </cell>
          <cell r="AF579" t="str">
            <v/>
          </cell>
          <cell r="AG579" t="str">
            <v/>
          </cell>
          <cell r="AH579" t="str">
            <v>انتاج نباتى</v>
          </cell>
          <cell r="AI579" t="str">
            <v>دبلوم</v>
          </cell>
          <cell r="AJ579">
            <v>6</v>
          </cell>
          <cell r="AK579">
            <v>5</v>
          </cell>
          <cell r="AL579">
            <v>1</v>
          </cell>
          <cell r="AM579">
            <v>0</v>
          </cell>
          <cell r="AN579" t="str">
            <v/>
          </cell>
          <cell r="AO579" t="str">
            <v>الاذونات وخدمات المحاجر</v>
          </cell>
          <cell r="AP579" t="str">
            <v>Saudi Awwal Bank</v>
          </cell>
          <cell r="AQ579" t="str">
            <v>SA3645000000263187403001</v>
          </cell>
          <cell r="AR579">
            <v>14915</v>
          </cell>
          <cell r="AS579" t="str">
            <v/>
          </cell>
          <cell r="AT579">
            <v>100</v>
          </cell>
          <cell r="AU579">
            <v>3728.75</v>
          </cell>
          <cell r="AV579" t="str">
            <v/>
          </cell>
        </row>
        <row r="580">
          <cell r="A580">
            <v>400401</v>
          </cell>
          <cell r="B580" t="str">
            <v>1045248117</v>
          </cell>
          <cell r="C580" t="str">
            <v>السيد</v>
          </cell>
          <cell r="D580" t="str">
            <v>Saud Abdulaziz Ehsan Alomari</v>
          </cell>
          <cell r="E580" t="str">
            <v>سعود عبدالعزيز احسان العمري</v>
          </cell>
          <cell r="F580" t="str">
            <v>Male</v>
          </cell>
          <cell r="G580" t="str">
            <v>متزوج</v>
          </cell>
          <cell r="H580">
            <v>28173</v>
          </cell>
          <cell r="I580">
            <v>49</v>
          </cell>
          <cell r="J580">
            <v>18017</v>
          </cell>
          <cell r="K580" t="str">
            <v>saud.alamri@agriserv.sa</v>
          </cell>
          <cell r="L580" t="str">
            <v>0596444671</v>
          </cell>
          <cell r="M580" t="str">
            <v/>
          </cell>
          <cell r="N580" t="str">
            <v>المملكة العربية السعودية</v>
          </cell>
          <cell r="O580" t="str">
            <v>50001243</v>
          </cell>
          <cell r="P580" t="str">
            <v>طبيب بيطري</v>
          </cell>
          <cell r="Q580" t="str">
            <v>الدرجة 4</v>
          </cell>
          <cell r="R580" t="str">
            <v>Class A</v>
          </cell>
          <cell r="S580" t="str">
            <v>محجر ميناء جدة الاسلامي  (مكة المكرمة)</v>
          </cell>
          <cell r="T580" t="str">
            <v>خدمات المحجر</v>
          </cell>
          <cell r="U580" t="str">
            <v>الاذونات وخدمات المحاجر</v>
          </cell>
          <cell r="V580" t="str">
            <v>العمليات</v>
          </cell>
          <cell r="W580" t="str">
            <v>Makkah</v>
          </cell>
          <cell r="X580" t="str">
            <v xml:space="preserve">الفرع </v>
          </cell>
          <cell r="Y580">
            <v>45126</v>
          </cell>
          <cell r="Z580">
            <v>2.91</v>
          </cell>
          <cell r="AA580">
            <v>1064</v>
          </cell>
          <cell r="AB580" t="str">
            <v>نشط</v>
          </cell>
          <cell r="AC580" t="str">
            <v>400274</v>
          </cell>
          <cell r="AD580" t="str">
            <v>Hussain Albakmani</v>
          </cell>
          <cell r="AE580" t="str">
            <v>إعارة</v>
          </cell>
          <cell r="AF580" t="str">
            <v/>
          </cell>
          <cell r="AG580" t="str">
            <v/>
          </cell>
          <cell r="AH580" t="str">
            <v>طب بيطري</v>
          </cell>
          <cell r="AI580" t="str">
            <v>بكالوريوس</v>
          </cell>
          <cell r="AJ580">
            <v>3</v>
          </cell>
          <cell r="AK580">
            <v>2</v>
          </cell>
          <cell r="AL580">
            <v>1</v>
          </cell>
          <cell r="AM580">
            <v>0</v>
          </cell>
          <cell r="AN580" t="str">
            <v/>
          </cell>
          <cell r="AO580" t="str">
            <v>الاذونات وخدمات المحاجر</v>
          </cell>
          <cell r="AP580" t="str">
            <v>Bank Al Jazirah</v>
          </cell>
          <cell r="AQ580" t="str">
            <v>SA2360000000830175803053</v>
          </cell>
          <cell r="AR580">
            <v>16905</v>
          </cell>
          <cell r="AS580" t="str">
            <v/>
          </cell>
          <cell r="AT580">
            <v>990.5</v>
          </cell>
          <cell r="AU580">
            <v>4226.25</v>
          </cell>
          <cell r="AV580" t="str">
            <v/>
          </cell>
        </row>
        <row r="581">
          <cell r="A581">
            <v>400402</v>
          </cell>
          <cell r="B581" t="str">
            <v>1015454240</v>
          </cell>
          <cell r="C581" t="str">
            <v>السيد</v>
          </cell>
          <cell r="D581" t="str">
            <v>Zayed Abdu Hashim Alqarni</v>
          </cell>
          <cell r="E581" t="str">
            <v>زايد عبده هاشم القرني</v>
          </cell>
          <cell r="F581" t="str">
            <v>Male</v>
          </cell>
          <cell r="G581" t="str">
            <v>متزوج</v>
          </cell>
          <cell r="H581">
            <v>29799</v>
          </cell>
          <cell r="I581">
            <v>45</v>
          </cell>
          <cell r="J581">
            <v>16391</v>
          </cell>
          <cell r="K581" t="str">
            <v>Zayed.Alqarni@agriserv.sa</v>
          </cell>
          <cell r="L581" t="str">
            <v>0542444772</v>
          </cell>
          <cell r="M581" t="str">
            <v/>
          </cell>
          <cell r="N581" t="str">
            <v>المملكة العربية السعودية</v>
          </cell>
          <cell r="O581" t="str">
            <v>50001156</v>
          </cell>
          <cell r="P581" t="str">
            <v>فني زراعي</v>
          </cell>
          <cell r="Q581" t="str">
            <v>2A الدرجة</v>
          </cell>
          <cell r="R581" t="str">
            <v>Class A</v>
          </cell>
          <cell r="S581" t="str">
            <v>محجر ميناء جدة الاسلامي  (مكة المكرمة)</v>
          </cell>
          <cell r="T581" t="str">
            <v>خدمات المحجر</v>
          </cell>
          <cell r="U581" t="str">
            <v>الاذونات وخدمات المحاجر</v>
          </cell>
          <cell r="V581" t="str">
            <v>العمليات</v>
          </cell>
          <cell r="W581" t="str">
            <v>Makkah</v>
          </cell>
          <cell r="X581" t="str">
            <v xml:space="preserve">الفرع </v>
          </cell>
          <cell r="Y581">
            <v>45126</v>
          </cell>
          <cell r="Z581">
            <v>2.91</v>
          </cell>
          <cell r="AA581">
            <v>1064</v>
          </cell>
          <cell r="AB581" t="str">
            <v>نشط</v>
          </cell>
          <cell r="AC581" t="str">
            <v>400274</v>
          </cell>
          <cell r="AD581" t="str">
            <v>Hussain Albakmani</v>
          </cell>
          <cell r="AE581" t="str">
            <v>إعارة</v>
          </cell>
          <cell r="AF581" t="str">
            <v/>
          </cell>
          <cell r="AG581" t="str">
            <v/>
          </cell>
          <cell r="AH581" t="str">
            <v>علم التربة</v>
          </cell>
          <cell r="AI581" t="str">
            <v>دبلوم</v>
          </cell>
          <cell r="AJ581">
            <v>6</v>
          </cell>
          <cell r="AK581">
            <v>4</v>
          </cell>
          <cell r="AL581">
            <v>1</v>
          </cell>
          <cell r="AM581">
            <v>1</v>
          </cell>
          <cell r="AN581" t="str">
            <v/>
          </cell>
          <cell r="AO581" t="str">
            <v>الاذونات وخدمات المحاجر</v>
          </cell>
          <cell r="AP581" t="str">
            <v>Al Rajhi Bank</v>
          </cell>
          <cell r="AQ581" t="str">
            <v>SA5580000163608010101106</v>
          </cell>
          <cell r="AR581">
            <v>13975</v>
          </cell>
          <cell r="AS581" t="str">
            <v/>
          </cell>
          <cell r="AT581">
            <v>100</v>
          </cell>
          <cell r="AU581">
            <v>3493.75</v>
          </cell>
          <cell r="AV581" t="str">
            <v/>
          </cell>
        </row>
        <row r="582">
          <cell r="A582">
            <v>400403</v>
          </cell>
          <cell r="B582" t="str">
            <v>1046344618</v>
          </cell>
          <cell r="C582" t="str">
            <v>السيد</v>
          </cell>
          <cell r="D582" t="str">
            <v>Hasan Abdullmuhsen Ali Alrashid</v>
          </cell>
          <cell r="E582" t="str">
            <v>حسن عبدالمحسن علي الراشد</v>
          </cell>
          <cell r="F582" t="str">
            <v>Male</v>
          </cell>
          <cell r="G582" t="str">
            <v>أعزب</v>
          </cell>
          <cell r="H582">
            <v>30139</v>
          </cell>
          <cell r="I582">
            <v>44</v>
          </cell>
          <cell r="J582">
            <v>16051</v>
          </cell>
          <cell r="K582" t="str">
            <v>Hasan.Alrashid@agriserv.sa</v>
          </cell>
          <cell r="L582" t="str">
            <v>0566667115</v>
          </cell>
          <cell r="M582" t="str">
            <v/>
          </cell>
          <cell r="N582" t="str">
            <v>المملكة العربية السعودية</v>
          </cell>
          <cell r="O582" t="str">
            <v>50001244</v>
          </cell>
          <cell r="P582" t="str">
            <v>طبيب بيطري</v>
          </cell>
          <cell r="Q582" t="str">
            <v>الدرجة 4</v>
          </cell>
          <cell r="R582" t="str">
            <v>Class A</v>
          </cell>
          <cell r="S582" t="str">
            <v>محجر مطار جدة  (مكة المكرمة)</v>
          </cell>
          <cell r="T582" t="str">
            <v>خدمات المحجر</v>
          </cell>
          <cell r="U582" t="str">
            <v>الاذونات وخدمات المحاجر</v>
          </cell>
          <cell r="V582" t="str">
            <v>العمليات</v>
          </cell>
          <cell r="W582" t="str">
            <v>Makkah</v>
          </cell>
          <cell r="X582" t="str">
            <v xml:space="preserve">الفرع </v>
          </cell>
          <cell r="Y582">
            <v>45126</v>
          </cell>
          <cell r="Z582">
            <v>2.91</v>
          </cell>
          <cell r="AA582">
            <v>1064</v>
          </cell>
          <cell r="AB582" t="str">
            <v>نشط</v>
          </cell>
          <cell r="AC582" t="str">
            <v>400273</v>
          </cell>
          <cell r="AD582" t="str">
            <v>Yahya Alzahrani</v>
          </cell>
          <cell r="AE582" t="str">
            <v>إعارة</v>
          </cell>
          <cell r="AF582" t="str">
            <v/>
          </cell>
          <cell r="AG582" t="str">
            <v/>
          </cell>
          <cell r="AH582" t="str">
            <v>طب بيطري</v>
          </cell>
          <cell r="AI582" t="str">
            <v>بكالوريوس</v>
          </cell>
          <cell r="AJ582">
            <v>2</v>
          </cell>
          <cell r="AK582">
            <v>1</v>
          </cell>
          <cell r="AL582">
            <v>0</v>
          </cell>
          <cell r="AM582">
            <v>1</v>
          </cell>
          <cell r="AN582" t="str">
            <v/>
          </cell>
          <cell r="AO582" t="str">
            <v>الاذونات وخدمات المحاجر</v>
          </cell>
          <cell r="AP582" t="str">
            <v>Saudi National Bank</v>
          </cell>
          <cell r="AQ582" t="str">
            <v>SA2410000075400004518101</v>
          </cell>
          <cell r="AR582">
            <v>13975</v>
          </cell>
          <cell r="AS582" t="str">
            <v/>
          </cell>
          <cell r="AT582">
            <v>697.5</v>
          </cell>
          <cell r="AU582">
            <v>3493.75</v>
          </cell>
          <cell r="AV582" t="str">
            <v/>
          </cell>
        </row>
        <row r="583">
          <cell r="A583">
            <v>400404</v>
          </cell>
          <cell r="B583" t="str">
            <v>1045431119</v>
          </cell>
          <cell r="C583" t="str">
            <v>السيد</v>
          </cell>
          <cell r="D583" t="str">
            <v>Mohammed Ali Abdullah Kaabi</v>
          </cell>
          <cell r="E583" t="str">
            <v>محمد علي عبدالله كعبي</v>
          </cell>
          <cell r="F583" t="str">
            <v>Male</v>
          </cell>
          <cell r="G583" t="str">
            <v>متزوج</v>
          </cell>
          <cell r="H583">
            <v>28824</v>
          </cell>
          <cell r="I583">
            <v>48</v>
          </cell>
          <cell r="J583">
            <v>17366</v>
          </cell>
          <cell r="K583" t="str">
            <v>Muhammad.Kaabi@agriserv.sa</v>
          </cell>
          <cell r="L583" t="str">
            <v>0568003007</v>
          </cell>
          <cell r="M583" t="str">
            <v/>
          </cell>
          <cell r="N583" t="str">
            <v>المملكة العربية السعودية</v>
          </cell>
          <cell r="O583" t="str">
            <v>50001157</v>
          </cell>
          <cell r="P583" t="str">
            <v>فني زراعي</v>
          </cell>
          <cell r="Q583" t="str">
            <v>2A الدرجة</v>
          </cell>
          <cell r="R583" t="str">
            <v>Class A</v>
          </cell>
          <cell r="S583" t="str">
            <v>محجر ميناء جدة الاسلامي  (مكة المكرمة)</v>
          </cell>
          <cell r="T583" t="str">
            <v>خدمات المحجر</v>
          </cell>
          <cell r="U583" t="str">
            <v>الاذونات وخدمات المحاجر</v>
          </cell>
          <cell r="V583" t="str">
            <v>العمليات</v>
          </cell>
          <cell r="W583" t="str">
            <v>Makkah</v>
          </cell>
          <cell r="X583" t="str">
            <v xml:space="preserve">الفرع </v>
          </cell>
          <cell r="Y583">
            <v>45126</v>
          </cell>
          <cell r="Z583">
            <v>2.91</v>
          </cell>
          <cell r="AA583">
            <v>1064</v>
          </cell>
          <cell r="AB583" t="str">
            <v>نشط</v>
          </cell>
          <cell r="AC583" t="str">
            <v>400274</v>
          </cell>
          <cell r="AD583" t="str">
            <v>Hussain Albakmani</v>
          </cell>
          <cell r="AE583" t="str">
            <v>إعارة</v>
          </cell>
          <cell r="AF583" t="str">
            <v/>
          </cell>
          <cell r="AG583" t="str">
            <v/>
          </cell>
          <cell r="AH583" t="str">
            <v>انتاج نباتى</v>
          </cell>
          <cell r="AI583" t="str">
            <v>دبلوم</v>
          </cell>
          <cell r="AJ583">
            <v>4</v>
          </cell>
          <cell r="AK583">
            <v>1</v>
          </cell>
          <cell r="AL583">
            <v>1</v>
          </cell>
          <cell r="AM583">
            <v>2</v>
          </cell>
          <cell r="AN583" t="str">
            <v/>
          </cell>
          <cell r="AO583" t="str">
            <v>الاذونات وخدمات المحاجر</v>
          </cell>
          <cell r="AP583" t="str">
            <v>Saudi National Bank</v>
          </cell>
          <cell r="AQ583" t="str">
            <v>SA1210000036187899000108</v>
          </cell>
          <cell r="AR583">
            <v>11745</v>
          </cell>
          <cell r="AS583" t="str">
            <v/>
          </cell>
          <cell r="AT583">
            <v>100</v>
          </cell>
          <cell r="AU583">
            <v>2936.25</v>
          </cell>
          <cell r="AV583" t="str">
            <v/>
          </cell>
        </row>
        <row r="584">
          <cell r="A584">
            <v>400405</v>
          </cell>
          <cell r="B584" t="str">
            <v>1069868584</v>
          </cell>
          <cell r="C584" t="str">
            <v>السيد</v>
          </cell>
          <cell r="D584" t="str">
            <v>Abdulmajeed Jber Abdualaali Alswat</v>
          </cell>
          <cell r="E584" t="str">
            <v>عبدالمجيد جبر عبدالعالي السواط</v>
          </cell>
          <cell r="F584" t="str">
            <v>Male</v>
          </cell>
          <cell r="G584" t="str">
            <v>متزوج</v>
          </cell>
          <cell r="H584">
            <v>33019</v>
          </cell>
          <cell r="I584">
            <v>36</v>
          </cell>
          <cell r="J584">
            <v>13171</v>
          </cell>
          <cell r="K584" t="str">
            <v>Abdulmajeed.AlSuwat@agriserv.sa</v>
          </cell>
          <cell r="L584" t="str">
            <v>0565805050</v>
          </cell>
          <cell r="M584" t="str">
            <v/>
          </cell>
          <cell r="N584" t="str">
            <v>المملكة العربية السعودية</v>
          </cell>
          <cell r="O584" t="str">
            <v>50001197</v>
          </cell>
          <cell r="P584" t="str">
            <v>طبيب بيطري مساعد</v>
          </cell>
          <cell r="Q584" t="str">
            <v>2B الدرجة</v>
          </cell>
          <cell r="R584" t="str">
            <v>Class A</v>
          </cell>
          <cell r="S584" t="str">
            <v>محجر ميناء جدة الاسلامي  (مكة المكرمة)</v>
          </cell>
          <cell r="T584" t="str">
            <v>خدمات المحجر</v>
          </cell>
          <cell r="U584" t="str">
            <v>الاذونات وخدمات المحاجر</v>
          </cell>
          <cell r="V584" t="str">
            <v>العمليات</v>
          </cell>
          <cell r="W584" t="str">
            <v>Makkah</v>
          </cell>
          <cell r="X584" t="str">
            <v xml:space="preserve">الفرع </v>
          </cell>
          <cell r="Y584">
            <v>45126</v>
          </cell>
          <cell r="Z584">
            <v>2.91</v>
          </cell>
          <cell r="AA584">
            <v>1064</v>
          </cell>
          <cell r="AB584" t="str">
            <v>نشط</v>
          </cell>
          <cell r="AC584" t="str">
            <v>400274</v>
          </cell>
          <cell r="AD584" t="str">
            <v>Hussain Albakmani</v>
          </cell>
          <cell r="AE584" t="str">
            <v>إعارة</v>
          </cell>
          <cell r="AF584" t="str">
            <v/>
          </cell>
          <cell r="AG584" t="str">
            <v/>
          </cell>
          <cell r="AH584" t="str">
            <v>إدارة الأعمال</v>
          </cell>
          <cell r="AI584" t="str">
            <v>بكالوريوس</v>
          </cell>
          <cell r="AJ584">
            <v>7</v>
          </cell>
          <cell r="AK584">
            <v>4</v>
          </cell>
          <cell r="AL584">
            <v>1</v>
          </cell>
          <cell r="AM584">
            <v>2</v>
          </cell>
          <cell r="AN584" t="str">
            <v/>
          </cell>
          <cell r="AO584" t="str">
            <v>الاذونات وخدمات المحاجر</v>
          </cell>
          <cell r="AP584" t="str">
            <v>Inma Bank</v>
          </cell>
          <cell r="AQ584" t="str">
            <v>SA0505000068201750288000</v>
          </cell>
          <cell r="AR584">
            <v>8105</v>
          </cell>
          <cell r="AS584" t="str">
            <v/>
          </cell>
          <cell r="AT584">
            <v>100</v>
          </cell>
          <cell r="AU584">
            <v>2026.25</v>
          </cell>
          <cell r="AV584" t="str">
            <v/>
          </cell>
        </row>
        <row r="585">
          <cell r="A585">
            <v>400406</v>
          </cell>
          <cell r="B585" t="str">
            <v>1089463630</v>
          </cell>
          <cell r="C585" t="str">
            <v>السيد</v>
          </cell>
          <cell r="D585" t="str">
            <v>Zain Taleb Abbas Alqasir</v>
          </cell>
          <cell r="E585" t="str">
            <v>زين طالب عباس القصير</v>
          </cell>
          <cell r="F585" t="str">
            <v>Male</v>
          </cell>
          <cell r="G585" t="str">
            <v/>
          </cell>
          <cell r="H585">
            <v>31142</v>
          </cell>
          <cell r="I585">
            <v>41</v>
          </cell>
          <cell r="J585">
            <v>15048</v>
          </cell>
          <cell r="K585" t="str">
            <v/>
          </cell>
          <cell r="L585" t="str">
            <v>0546468807</v>
          </cell>
          <cell r="M585" t="str">
            <v/>
          </cell>
          <cell r="N585" t="str">
            <v>المملكة العربية السعودية</v>
          </cell>
          <cell r="O585" t="str">
            <v>50001245</v>
          </cell>
          <cell r="P585" t="str">
            <v>طبيب بيطري</v>
          </cell>
          <cell r="Q585" t="str">
            <v>الدرجة 4</v>
          </cell>
          <cell r="R585" t="str">
            <v/>
          </cell>
          <cell r="S585" t="str">
            <v/>
          </cell>
          <cell r="T585" t="str">
            <v>مختبرات الثروة النباتية</v>
          </cell>
          <cell r="U585" t="str">
            <v>الخدمات الصحية و الإرشاد ودعم التسويق للثروة النباتية</v>
          </cell>
          <cell r="V585" t="str">
            <v>العمليات</v>
          </cell>
          <cell r="W585" t="str">
            <v>Makkah</v>
          </cell>
          <cell r="X585" t="str">
            <v xml:space="preserve">الفرع </v>
          </cell>
          <cell r="Y585">
            <v>45126</v>
          </cell>
          <cell r="Z585">
            <v>2.91</v>
          </cell>
          <cell r="AA585">
            <v>1064</v>
          </cell>
          <cell r="AB585" t="str">
            <v>غير نشط</v>
          </cell>
          <cell r="AC585" t="str">
            <v/>
          </cell>
          <cell r="AD585" t="str">
            <v xml:space="preserve"> </v>
          </cell>
          <cell r="AE585" t="str">
            <v>إعارة</v>
          </cell>
          <cell r="AF585">
            <v>45208</v>
          </cell>
          <cell r="AG585" t="str">
            <v/>
          </cell>
          <cell r="AH585" t="str">
            <v/>
          </cell>
          <cell r="AI585" t="str">
            <v/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 t="str">
            <v/>
          </cell>
          <cell r="AO585" t="str">
            <v>Livestock Extension &amp; Protection</v>
          </cell>
          <cell r="AP585" t="str">
            <v>Al Rajhi Bank</v>
          </cell>
          <cell r="AQ585" t="str">
            <v>SA6080000356608010054021</v>
          </cell>
          <cell r="AR585">
            <v>12160</v>
          </cell>
          <cell r="AS585" t="str">
            <v/>
          </cell>
          <cell r="AT585">
            <v>516</v>
          </cell>
          <cell r="AU585">
            <v>3040</v>
          </cell>
          <cell r="AV585" t="str">
            <v/>
          </cell>
        </row>
        <row r="586">
          <cell r="A586">
            <v>400407</v>
          </cell>
          <cell r="B586" t="str">
            <v>1014583718</v>
          </cell>
          <cell r="C586" t="str">
            <v>السيد</v>
          </cell>
          <cell r="D586" t="str">
            <v>Abdullah Hashem Huseen Maerfee</v>
          </cell>
          <cell r="E586" t="str">
            <v>عبدالله هاشم حسين النخلي</v>
          </cell>
          <cell r="F586" t="str">
            <v>Male</v>
          </cell>
          <cell r="G586" t="str">
            <v>متزوج</v>
          </cell>
          <cell r="H586">
            <v>30867</v>
          </cell>
          <cell r="I586">
            <v>42</v>
          </cell>
          <cell r="J586">
            <v>15323</v>
          </cell>
          <cell r="K586" t="str">
            <v>Abdullah.almaarifi@agriserv.sa</v>
          </cell>
          <cell r="L586" t="str">
            <v>0550222403</v>
          </cell>
          <cell r="M586" t="str">
            <v/>
          </cell>
          <cell r="N586" t="str">
            <v>المملكة العربية السعودية</v>
          </cell>
          <cell r="O586" t="str">
            <v>50001246</v>
          </cell>
          <cell r="P586" t="str">
            <v>طبيب بيطري</v>
          </cell>
          <cell r="Q586" t="str">
            <v>الدرجة 4</v>
          </cell>
          <cell r="R586" t="str">
            <v>Class A</v>
          </cell>
          <cell r="S586" t="str">
            <v>محجر ميناء جدة الاسلامي  (مكة المكرمة)</v>
          </cell>
          <cell r="T586" t="str">
            <v>خدمات المحجر</v>
          </cell>
          <cell r="U586" t="str">
            <v>الاذونات وخدمات المحاجر</v>
          </cell>
          <cell r="V586" t="str">
            <v>العمليات</v>
          </cell>
          <cell r="W586" t="str">
            <v>Makkah</v>
          </cell>
          <cell r="X586" t="str">
            <v xml:space="preserve">الفرع </v>
          </cell>
          <cell r="Y586">
            <v>45126</v>
          </cell>
          <cell r="Z586">
            <v>2.91</v>
          </cell>
          <cell r="AA586">
            <v>1064</v>
          </cell>
          <cell r="AB586" t="str">
            <v>نشط</v>
          </cell>
          <cell r="AC586" t="str">
            <v>400274</v>
          </cell>
          <cell r="AD586" t="str">
            <v>Hussain Albakmani</v>
          </cell>
          <cell r="AE586" t="str">
            <v>إعارة</v>
          </cell>
          <cell r="AF586" t="str">
            <v/>
          </cell>
          <cell r="AG586" t="str">
            <v/>
          </cell>
          <cell r="AH586" t="str">
            <v>طب بيطري</v>
          </cell>
          <cell r="AI586" t="str">
            <v>بكالوريوس</v>
          </cell>
          <cell r="AJ586">
            <v>5</v>
          </cell>
          <cell r="AK586">
            <v>4</v>
          </cell>
          <cell r="AL586">
            <v>1</v>
          </cell>
          <cell r="AM586">
            <v>0</v>
          </cell>
          <cell r="AN586" t="str">
            <v/>
          </cell>
          <cell r="AO586" t="str">
            <v>الاذونات وخدمات المحاجر</v>
          </cell>
          <cell r="AP586" t="str">
            <v>Saudi Awwal Bank</v>
          </cell>
          <cell r="AQ586" t="str">
            <v>SA8845000000036301182150</v>
          </cell>
          <cell r="AR586">
            <v>14445</v>
          </cell>
          <cell r="AS586" t="str">
            <v/>
          </cell>
          <cell r="AT586">
            <v>744.5</v>
          </cell>
          <cell r="AU586">
            <v>3611.25</v>
          </cell>
          <cell r="AV586" t="str">
            <v/>
          </cell>
        </row>
        <row r="587">
          <cell r="A587">
            <v>400408</v>
          </cell>
          <cell r="B587" t="str">
            <v>1058359173</v>
          </cell>
          <cell r="C587" t="str">
            <v>السيد</v>
          </cell>
          <cell r="D587" t="str">
            <v>Yousaf Abdulaziz Sleman ALnaseaen</v>
          </cell>
          <cell r="E587" t="str">
            <v>يوسف عبدالعزيز سليمان النصيان</v>
          </cell>
          <cell r="F587" t="str">
            <v>Male</v>
          </cell>
          <cell r="G587" t="str">
            <v>متزوج</v>
          </cell>
          <cell r="H587">
            <v>31327</v>
          </cell>
          <cell r="I587">
            <v>41</v>
          </cell>
          <cell r="J587">
            <v>14863</v>
          </cell>
          <cell r="K587" t="str">
            <v>yousaf.alnaseaen@agriserv.sa</v>
          </cell>
          <cell r="L587" t="str">
            <v>0563669509</v>
          </cell>
          <cell r="M587" t="str">
            <v/>
          </cell>
          <cell r="N587" t="str">
            <v>المملكة العربية السعودية</v>
          </cell>
          <cell r="O587" t="str">
            <v>50001247</v>
          </cell>
          <cell r="P587" t="str">
            <v>طبيب بيطري</v>
          </cell>
          <cell r="Q587" t="str">
            <v>الدرجة 4</v>
          </cell>
          <cell r="R587" t="str">
            <v>Class A</v>
          </cell>
          <cell r="S587" t="str">
            <v>محجر مطار جدة  (مكة المكرمة)</v>
          </cell>
          <cell r="T587" t="str">
            <v>خدمات المحجر</v>
          </cell>
          <cell r="U587" t="str">
            <v>الاذونات وخدمات المحاجر</v>
          </cell>
          <cell r="V587" t="str">
            <v>العمليات</v>
          </cell>
          <cell r="W587" t="str">
            <v>Jiddah</v>
          </cell>
          <cell r="X587" t="str">
            <v xml:space="preserve">الفرع </v>
          </cell>
          <cell r="Y587">
            <v>45126</v>
          </cell>
          <cell r="Z587">
            <v>2.91</v>
          </cell>
          <cell r="AA587">
            <v>1064</v>
          </cell>
          <cell r="AB587" t="str">
            <v>نشط</v>
          </cell>
          <cell r="AC587" t="str">
            <v>400273</v>
          </cell>
          <cell r="AD587" t="str">
            <v>Yahya Alzahrani</v>
          </cell>
          <cell r="AE587" t="str">
            <v>إعارة</v>
          </cell>
          <cell r="AF587" t="str">
            <v/>
          </cell>
          <cell r="AG587" t="str">
            <v/>
          </cell>
          <cell r="AH587" t="str">
            <v>طب بيطري</v>
          </cell>
          <cell r="AI587" t="str">
            <v>بكالوريوس</v>
          </cell>
          <cell r="AJ587">
            <v>7</v>
          </cell>
          <cell r="AK587">
            <v>4</v>
          </cell>
          <cell r="AL587">
            <v>1</v>
          </cell>
          <cell r="AM587">
            <v>2</v>
          </cell>
          <cell r="AN587" t="str">
            <v/>
          </cell>
          <cell r="AO587" t="str">
            <v>الاذونات وخدمات المحاجر</v>
          </cell>
          <cell r="AP587" t="str">
            <v>Bank Al Bilad</v>
          </cell>
          <cell r="AQ587" t="str">
            <v>SA4515000571121022200002</v>
          </cell>
          <cell r="AR587">
            <v>15375</v>
          </cell>
          <cell r="AS587" t="str">
            <v/>
          </cell>
          <cell r="AT587">
            <v>837.5</v>
          </cell>
          <cell r="AU587">
            <v>3843.75</v>
          </cell>
          <cell r="AV587" t="str">
            <v/>
          </cell>
        </row>
        <row r="588">
          <cell r="A588">
            <v>400409</v>
          </cell>
          <cell r="B588" t="str">
            <v>1051416988</v>
          </cell>
          <cell r="C588" t="str">
            <v>السيد</v>
          </cell>
          <cell r="D588" t="str">
            <v>Saud Saleh Nawadis Alzahrany</v>
          </cell>
          <cell r="E588" t="str">
            <v>سعود صالح نواديس الزهراني</v>
          </cell>
          <cell r="F588" t="str">
            <v>Male</v>
          </cell>
          <cell r="G588" t="str">
            <v>متزوج</v>
          </cell>
          <cell r="H588">
            <v>31718</v>
          </cell>
          <cell r="I588">
            <v>40</v>
          </cell>
          <cell r="J588">
            <v>14472</v>
          </cell>
          <cell r="K588" t="str">
            <v>Saud.Alzahrani@agriserv.sa</v>
          </cell>
          <cell r="L588" t="str">
            <v>0557412294</v>
          </cell>
          <cell r="M588" t="str">
            <v/>
          </cell>
          <cell r="N588" t="str">
            <v>المملكة العربية السعودية</v>
          </cell>
          <cell r="O588" t="str">
            <v>50001268</v>
          </cell>
          <cell r="P588" t="str">
            <v>موظف دعم إداري</v>
          </cell>
          <cell r="Q588" t="str">
            <v>2A الدرجة</v>
          </cell>
          <cell r="R588" t="str">
            <v>Class A</v>
          </cell>
          <cell r="S588" t="str">
            <v>محجر ميناء جدة الاسلامي  (مكة المكرمة)</v>
          </cell>
          <cell r="T588" t="str">
            <v>خدمات المحجر</v>
          </cell>
          <cell r="U588" t="str">
            <v>الاذونات وخدمات المحاجر</v>
          </cell>
          <cell r="V588" t="str">
            <v>العمليات</v>
          </cell>
          <cell r="W588" t="str">
            <v>Makkah</v>
          </cell>
          <cell r="X588" t="str">
            <v xml:space="preserve">الفرع </v>
          </cell>
          <cell r="Y588">
            <v>45126</v>
          </cell>
          <cell r="Z588">
            <v>2.91</v>
          </cell>
          <cell r="AA588">
            <v>1064</v>
          </cell>
          <cell r="AB588" t="str">
            <v>نشط</v>
          </cell>
          <cell r="AC588" t="str">
            <v>400274</v>
          </cell>
          <cell r="AD588" t="str">
            <v>Hussain Albakmani</v>
          </cell>
          <cell r="AE588" t="str">
            <v>إعارة</v>
          </cell>
          <cell r="AF588" t="str">
            <v/>
          </cell>
          <cell r="AG588" t="str">
            <v/>
          </cell>
          <cell r="AH588" t="str">
            <v>ثانوية</v>
          </cell>
          <cell r="AI588" t="str">
            <v>شهادة المدرسة الثانوية</v>
          </cell>
          <cell r="AJ588">
            <v>5</v>
          </cell>
          <cell r="AK588">
            <v>3</v>
          </cell>
          <cell r="AL588">
            <v>1</v>
          </cell>
          <cell r="AM588">
            <v>1</v>
          </cell>
          <cell r="AN588" t="str">
            <v/>
          </cell>
          <cell r="AO588" t="str">
            <v>الاذونات وخدمات المحاجر</v>
          </cell>
          <cell r="AP588" t="str">
            <v>Al Rajhi Bank</v>
          </cell>
          <cell r="AQ588" t="str">
            <v>SA9380000337608010165151</v>
          </cell>
          <cell r="AR588">
            <v>6565</v>
          </cell>
          <cell r="AS588" t="str">
            <v/>
          </cell>
          <cell r="AT588">
            <v>156.5</v>
          </cell>
          <cell r="AU588">
            <v>1641.25</v>
          </cell>
          <cell r="AV588" t="str">
            <v/>
          </cell>
        </row>
        <row r="589">
          <cell r="A589">
            <v>400410</v>
          </cell>
          <cell r="B589" t="str">
            <v/>
          </cell>
          <cell r="C589" t="str">
            <v>السيد</v>
          </cell>
          <cell r="D589" t="str">
            <v>HASSAN ALI HUSAIN ALNAKHLEI</v>
          </cell>
          <cell r="E589" t="str">
            <v>حسن حسين علي النخلي</v>
          </cell>
          <cell r="F589" t="str">
            <v>Male</v>
          </cell>
          <cell r="G589" t="str">
            <v/>
          </cell>
          <cell r="H589">
            <v>30771</v>
          </cell>
          <cell r="I589">
            <v>42</v>
          </cell>
          <cell r="J589">
            <v>15419</v>
          </cell>
          <cell r="K589" t="str">
            <v/>
          </cell>
          <cell r="L589" t="str">
            <v>0545299444</v>
          </cell>
          <cell r="M589" t="str">
            <v/>
          </cell>
          <cell r="N589" t="str">
            <v>المملكة العربية السعودية</v>
          </cell>
          <cell r="O589" t="str">
            <v>50001248</v>
          </cell>
          <cell r="P589" t="str">
            <v>طبيب بيطري</v>
          </cell>
          <cell r="Q589" t="str">
            <v>الدرجة 4</v>
          </cell>
          <cell r="R589" t="str">
            <v/>
          </cell>
          <cell r="S589" t="str">
            <v/>
          </cell>
          <cell r="T589" t="str">
            <v>مختبرات الثروة النباتية</v>
          </cell>
          <cell r="U589" t="str">
            <v>الخدمات الصحية و الإرشاد ودعم التسويق للثروة النباتية</v>
          </cell>
          <cell r="V589" t="str">
            <v>العمليات</v>
          </cell>
          <cell r="W589" t="str">
            <v>Makkah</v>
          </cell>
          <cell r="X589" t="str">
            <v xml:space="preserve">الفرع </v>
          </cell>
          <cell r="Y589">
            <v>45126</v>
          </cell>
          <cell r="Z589">
            <v>2.91</v>
          </cell>
          <cell r="AA589">
            <v>1064</v>
          </cell>
          <cell r="AB589" t="str">
            <v>غير نشط</v>
          </cell>
          <cell r="AC589" t="str">
            <v/>
          </cell>
          <cell r="AD589" t="str">
            <v xml:space="preserve"> </v>
          </cell>
          <cell r="AE589" t="str">
            <v>إعارة</v>
          </cell>
          <cell r="AF589">
            <v>45126</v>
          </cell>
          <cell r="AG589" t="str">
            <v/>
          </cell>
          <cell r="AH589" t="str">
            <v/>
          </cell>
          <cell r="AI589" t="str">
            <v/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 t="str">
            <v/>
          </cell>
          <cell r="AO589" t="str">
            <v>Livestock Extension &amp; Protection</v>
          </cell>
          <cell r="AP589" t="str">
            <v>Al Rajhi Bank</v>
          </cell>
          <cell r="AQ589" t="str">
            <v>SA1380000128608010149687</v>
          </cell>
          <cell r="AR589">
            <v>14355</v>
          </cell>
          <cell r="AS589" t="str">
            <v/>
          </cell>
          <cell r="AT589">
            <v>735.5</v>
          </cell>
          <cell r="AU589">
            <v>3588.75</v>
          </cell>
          <cell r="AV589" t="str">
            <v/>
          </cell>
        </row>
        <row r="590">
          <cell r="A590">
            <v>400411</v>
          </cell>
          <cell r="B590" t="str">
            <v>1002840765</v>
          </cell>
          <cell r="C590" t="str">
            <v>السيد</v>
          </cell>
          <cell r="D590" t="str">
            <v>Salem Saad Ali Alamri</v>
          </cell>
          <cell r="E590" t="str">
            <v>سالم سعد علي العمري</v>
          </cell>
          <cell r="F590" t="str">
            <v>Male</v>
          </cell>
          <cell r="G590" t="str">
            <v>متزوج</v>
          </cell>
          <cell r="H590">
            <v>27628</v>
          </cell>
          <cell r="I590">
            <v>51</v>
          </cell>
          <cell r="J590">
            <v>18562</v>
          </cell>
          <cell r="K590" t="str">
            <v>Salem.Alamri@agriserv.sa</v>
          </cell>
          <cell r="L590" t="str">
            <v>0598971862</v>
          </cell>
          <cell r="M590" t="str">
            <v/>
          </cell>
          <cell r="N590" t="str">
            <v>المملكة العربية السعودية</v>
          </cell>
          <cell r="O590" t="str">
            <v>50001158</v>
          </cell>
          <cell r="P590" t="str">
            <v>فني زراعي</v>
          </cell>
          <cell r="Q590" t="str">
            <v>2A الدرجة</v>
          </cell>
          <cell r="R590" t="str">
            <v>Class A</v>
          </cell>
          <cell r="S590" t="str">
            <v>محجر ميناء جدة الاسلامي  (مكة المكرمة)</v>
          </cell>
          <cell r="T590" t="str">
            <v>خدمات المحجر</v>
          </cell>
          <cell r="U590" t="str">
            <v>الاذونات وخدمات المحاجر</v>
          </cell>
          <cell r="V590" t="str">
            <v>العمليات</v>
          </cell>
          <cell r="W590" t="str">
            <v>Makkah</v>
          </cell>
          <cell r="X590" t="str">
            <v xml:space="preserve">الفرع </v>
          </cell>
          <cell r="Y590">
            <v>45126</v>
          </cell>
          <cell r="Z590">
            <v>2.91</v>
          </cell>
          <cell r="AA590">
            <v>1064</v>
          </cell>
          <cell r="AB590" t="str">
            <v>نشط</v>
          </cell>
          <cell r="AC590" t="str">
            <v>400274</v>
          </cell>
          <cell r="AD590" t="str">
            <v>Hussain Albakmani</v>
          </cell>
          <cell r="AE590" t="str">
            <v>إعارة</v>
          </cell>
          <cell r="AF590" t="str">
            <v/>
          </cell>
          <cell r="AG590" t="str">
            <v/>
          </cell>
          <cell r="AH590" t="str">
            <v>انتاج نباتى</v>
          </cell>
          <cell r="AI590" t="str">
            <v>دبلوم</v>
          </cell>
          <cell r="AJ590">
            <v>4</v>
          </cell>
          <cell r="AK590">
            <v>2</v>
          </cell>
          <cell r="AL590">
            <v>1</v>
          </cell>
          <cell r="AM590">
            <v>1</v>
          </cell>
          <cell r="AN590" t="str">
            <v/>
          </cell>
          <cell r="AO590" t="str">
            <v>الاذونات وخدمات المحاجر</v>
          </cell>
          <cell r="AP590" t="str">
            <v>Banque Saudi Fransi</v>
          </cell>
          <cell r="AQ590" t="str">
            <v>SA5655000000001061500197</v>
          </cell>
          <cell r="AR590">
            <v>10915</v>
          </cell>
          <cell r="AS590" t="str">
            <v/>
          </cell>
          <cell r="AT590">
            <v>100</v>
          </cell>
          <cell r="AU590">
            <v>2728.75</v>
          </cell>
          <cell r="AV590" t="str">
            <v/>
          </cell>
        </row>
        <row r="591">
          <cell r="A591">
            <v>400412</v>
          </cell>
          <cell r="B591" t="str">
            <v>1038305932</v>
          </cell>
          <cell r="C591" t="str">
            <v>السيد</v>
          </cell>
          <cell r="D591" t="str">
            <v>Majed Ali Musalem Alnkhley</v>
          </cell>
          <cell r="E591" t="str">
            <v>ماجد علي مسلم النخلي</v>
          </cell>
          <cell r="F591" t="str">
            <v>Male</v>
          </cell>
          <cell r="G591" t="str">
            <v>متزوج</v>
          </cell>
          <cell r="H591">
            <v>29002</v>
          </cell>
          <cell r="I591">
            <v>47</v>
          </cell>
          <cell r="J591">
            <v>17188</v>
          </cell>
          <cell r="K591" t="str">
            <v>Majid.AlNakhli@agriserv.sa</v>
          </cell>
          <cell r="L591" t="str">
            <v>0562339642</v>
          </cell>
          <cell r="M591" t="str">
            <v/>
          </cell>
          <cell r="N591" t="str">
            <v>المملكة العربية السعودية</v>
          </cell>
          <cell r="O591" t="str">
            <v>50001249</v>
          </cell>
          <cell r="P591" t="str">
            <v>طبيب بيطري</v>
          </cell>
          <cell r="Q591" t="str">
            <v>الدرجة 4</v>
          </cell>
          <cell r="R591" t="str">
            <v>Class A</v>
          </cell>
          <cell r="S591" t="str">
            <v>محجر ميناء جدة الاسلامي  (مكة المكرمة)</v>
          </cell>
          <cell r="T591" t="str">
            <v>خدمات المحجر</v>
          </cell>
          <cell r="U591" t="str">
            <v>الاذونات وخدمات المحاجر</v>
          </cell>
          <cell r="V591" t="str">
            <v>العمليات</v>
          </cell>
          <cell r="W591" t="str">
            <v>Makkah</v>
          </cell>
          <cell r="X591" t="str">
            <v xml:space="preserve">الفرع </v>
          </cell>
          <cell r="Y591">
            <v>45126</v>
          </cell>
          <cell r="Z591">
            <v>2.91</v>
          </cell>
          <cell r="AA591">
            <v>1064</v>
          </cell>
          <cell r="AB591" t="str">
            <v>نشط</v>
          </cell>
          <cell r="AC591" t="str">
            <v>400274</v>
          </cell>
          <cell r="AD591" t="str">
            <v>Hussain Albakmani</v>
          </cell>
          <cell r="AE591" t="str">
            <v>إعارة</v>
          </cell>
          <cell r="AF591" t="str">
            <v/>
          </cell>
          <cell r="AG591" t="str">
            <v/>
          </cell>
          <cell r="AH591" t="str">
            <v>طب بيطري</v>
          </cell>
          <cell r="AI591" t="str">
            <v>بكالوريوس</v>
          </cell>
          <cell r="AJ591">
            <v>6</v>
          </cell>
          <cell r="AK591">
            <v>3</v>
          </cell>
          <cell r="AL591">
            <v>1</v>
          </cell>
          <cell r="AM591">
            <v>2</v>
          </cell>
          <cell r="AN591" t="str">
            <v/>
          </cell>
          <cell r="AO591" t="str">
            <v>الاذونات وخدمات المحاجر</v>
          </cell>
          <cell r="AP591" t="str">
            <v>Saudi National Bank</v>
          </cell>
          <cell r="AQ591" t="str">
            <v>SA9010000033047630000207</v>
          </cell>
          <cell r="AR591">
            <v>14865</v>
          </cell>
          <cell r="AS591" t="str">
            <v/>
          </cell>
          <cell r="AT591">
            <v>786.5</v>
          </cell>
          <cell r="AU591">
            <v>3716.25</v>
          </cell>
          <cell r="AV591" t="str">
            <v/>
          </cell>
        </row>
        <row r="592">
          <cell r="A592">
            <v>400413</v>
          </cell>
          <cell r="B592" t="str">
            <v>1021553241</v>
          </cell>
          <cell r="C592" t="str">
            <v>السيد</v>
          </cell>
          <cell r="D592" t="str">
            <v>Hazem Ahmad Dakheil Alansarei</v>
          </cell>
          <cell r="E592" t="str">
            <v>حازم احمد دخيلالله الانصاري</v>
          </cell>
          <cell r="F592" t="str">
            <v>Male</v>
          </cell>
          <cell r="G592" t="str">
            <v>متزوج</v>
          </cell>
          <cell r="H592">
            <v>26698</v>
          </cell>
          <cell r="I592">
            <v>53</v>
          </cell>
          <cell r="J592">
            <v>19492</v>
          </cell>
          <cell r="K592" t="str">
            <v>Hazim.Alansari@agriserv.sa</v>
          </cell>
          <cell r="L592" t="str">
            <v>0509142291</v>
          </cell>
          <cell r="M592" t="str">
            <v/>
          </cell>
          <cell r="N592" t="str">
            <v>المملكة العربية السعودية</v>
          </cell>
          <cell r="O592" t="str">
            <v>50001143</v>
          </cell>
          <cell r="P592" t="str">
            <v>مهندس زراعي</v>
          </cell>
          <cell r="Q592" t="str">
            <v>الدرجة 3</v>
          </cell>
          <cell r="R592" t="str">
            <v>Class A</v>
          </cell>
          <cell r="S592" t="str">
            <v>محجر ميناء جدة الاسلامي  (مكة المكرمة)</v>
          </cell>
          <cell r="T592" t="str">
            <v>خدمات المحجر</v>
          </cell>
          <cell r="U592" t="str">
            <v>الاذونات وخدمات المحاجر</v>
          </cell>
          <cell r="V592" t="str">
            <v>العمليات</v>
          </cell>
          <cell r="W592" t="str">
            <v>Makkah</v>
          </cell>
          <cell r="X592" t="str">
            <v xml:space="preserve">الفرع </v>
          </cell>
          <cell r="Y592">
            <v>45126</v>
          </cell>
          <cell r="Z592">
            <v>2.91</v>
          </cell>
          <cell r="AA592">
            <v>1064</v>
          </cell>
          <cell r="AB592" t="str">
            <v>نشط</v>
          </cell>
          <cell r="AC592" t="str">
            <v>400274</v>
          </cell>
          <cell r="AD592" t="str">
            <v>Hussain Albakmani</v>
          </cell>
          <cell r="AE592" t="str">
            <v>إعارة</v>
          </cell>
          <cell r="AF592" t="str">
            <v/>
          </cell>
          <cell r="AG592" t="str">
            <v/>
          </cell>
          <cell r="AH592" t="str">
            <v>زراعة المناطق الجافة</v>
          </cell>
          <cell r="AI592" t="str">
            <v>بكالوريوس</v>
          </cell>
          <cell r="AJ592">
            <v>3</v>
          </cell>
          <cell r="AK592">
            <v>2</v>
          </cell>
          <cell r="AL592">
            <v>1</v>
          </cell>
          <cell r="AM592">
            <v>0</v>
          </cell>
          <cell r="AN592" t="str">
            <v/>
          </cell>
          <cell r="AO592" t="str">
            <v>الاذونات وخدمات المحاجر</v>
          </cell>
          <cell r="AP592" t="str">
            <v>Saudi National Bank</v>
          </cell>
          <cell r="AQ592" t="str">
            <v>SA0410000014157214000109</v>
          </cell>
          <cell r="AR592">
            <v>13035</v>
          </cell>
          <cell r="AS592" t="str">
            <v/>
          </cell>
          <cell r="AT592">
            <v>603.5</v>
          </cell>
          <cell r="AU592">
            <v>3258.75</v>
          </cell>
          <cell r="AV592" t="str">
            <v/>
          </cell>
        </row>
        <row r="593">
          <cell r="A593">
            <v>400414</v>
          </cell>
          <cell r="B593" t="str">
            <v>1082006899</v>
          </cell>
          <cell r="C593" t="str">
            <v>السيد</v>
          </cell>
          <cell r="D593" t="str">
            <v>Saud Eidhah Aydh Althobaitei</v>
          </cell>
          <cell r="E593" t="str">
            <v>سعود عيضه عايض الثبيتي</v>
          </cell>
          <cell r="F593" t="str">
            <v>Male</v>
          </cell>
          <cell r="G593" t="str">
            <v>متزوج</v>
          </cell>
          <cell r="H593">
            <v>32074</v>
          </cell>
          <cell r="I593">
            <v>39</v>
          </cell>
          <cell r="J593">
            <v>14116</v>
          </cell>
          <cell r="K593" t="str">
            <v>Saud.AlThobaiti@agriserv.sa</v>
          </cell>
          <cell r="L593" t="str">
            <v>0556603593</v>
          </cell>
          <cell r="M593" t="str">
            <v/>
          </cell>
          <cell r="N593" t="str">
            <v>المملكة العربية السعودية</v>
          </cell>
          <cell r="O593" t="str">
            <v>50001250</v>
          </cell>
          <cell r="P593" t="str">
            <v>طبيب بيطري</v>
          </cell>
          <cell r="Q593" t="str">
            <v>الدرجة 4</v>
          </cell>
          <cell r="R593" t="str">
            <v>Class A</v>
          </cell>
          <cell r="S593" t="str">
            <v>محجر ميناء جدة الاسلامي  (مكة المكرمة)</v>
          </cell>
          <cell r="T593" t="str">
            <v>خدمات المحجر</v>
          </cell>
          <cell r="U593" t="str">
            <v>الاذونات وخدمات المحاجر</v>
          </cell>
          <cell r="V593" t="str">
            <v>العمليات</v>
          </cell>
          <cell r="W593" t="str">
            <v>Makkah</v>
          </cell>
          <cell r="X593" t="str">
            <v xml:space="preserve">الفرع </v>
          </cell>
          <cell r="Y593">
            <v>45126</v>
          </cell>
          <cell r="Z593">
            <v>2.91</v>
          </cell>
          <cell r="AA593">
            <v>1064</v>
          </cell>
          <cell r="AB593" t="str">
            <v>نشط</v>
          </cell>
          <cell r="AC593" t="str">
            <v>400274</v>
          </cell>
          <cell r="AD593" t="str">
            <v>Hussain Albakmani</v>
          </cell>
          <cell r="AE593" t="str">
            <v>إعارة</v>
          </cell>
          <cell r="AF593" t="str">
            <v/>
          </cell>
          <cell r="AG593" t="str">
            <v/>
          </cell>
          <cell r="AH593" t="str">
            <v>طب بيطري</v>
          </cell>
          <cell r="AI593" t="str">
            <v>بكالوريوس</v>
          </cell>
          <cell r="AJ593">
            <v>6</v>
          </cell>
          <cell r="AK593">
            <v>3</v>
          </cell>
          <cell r="AL593">
            <v>1</v>
          </cell>
          <cell r="AM593">
            <v>2</v>
          </cell>
          <cell r="AN593" t="str">
            <v/>
          </cell>
          <cell r="AO593" t="str">
            <v>الاذونات وخدمات المحاجر</v>
          </cell>
          <cell r="AP593" t="str">
            <v>Al Rajhi Bank</v>
          </cell>
          <cell r="AQ593" t="str">
            <v>SA5780000252608010547573</v>
          </cell>
          <cell r="AR593">
            <v>14865</v>
          </cell>
          <cell r="AS593" t="str">
            <v/>
          </cell>
          <cell r="AT593">
            <v>786.5</v>
          </cell>
          <cell r="AU593">
            <v>3716.25</v>
          </cell>
          <cell r="AV593" t="str">
            <v/>
          </cell>
        </row>
        <row r="594">
          <cell r="A594">
            <v>400415</v>
          </cell>
          <cell r="B594" t="str">
            <v>1048116899</v>
          </cell>
          <cell r="C594" t="str">
            <v>السيد</v>
          </cell>
          <cell r="D594" t="str">
            <v>Ahmad Taleb Hasan Alsaibaei</v>
          </cell>
          <cell r="E594" t="str">
            <v>احمد طالب حسن الأصيبعي</v>
          </cell>
          <cell r="F594" t="str">
            <v>Male</v>
          </cell>
          <cell r="G594" t="str">
            <v>متزوج</v>
          </cell>
          <cell r="H594">
            <v>29182</v>
          </cell>
          <cell r="I594">
            <v>47</v>
          </cell>
          <cell r="J594">
            <v>17008</v>
          </cell>
          <cell r="K594" t="str">
            <v>Ahmed.AlOsaibey@agriserv.sa</v>
          </cell>
          <cell r="L594" t="str">
            <v>0567596489</v>
          </cell>
          <cell r="M594" t="str">
            <v/>
          </cell>
          <cell r="N594" t="str">
            <v>المملكة العربية السعودية</v>
          </cell>
          <cell r="O594" t="str">
            <v>50001144</v>
          </cell>
          <cell r="P594" t="str">
            <v>مهندس زراعي</v>
          </cell>
          <cell r="Q594" t="str">
            <v>الدرجة 3</v>
          </cell>
          <cell r="R594" t="str">
            <v>Class A</v>
          </cell>
          <cell r="S594" t="str">
            <v>محجر ميناء جدة الاسلامي  (مكة المكرمة)</v>
          </cell>
          <cell r="T594" t="str">
            <v>خدمات المحجر</v>
          </cell>
          <cell r="U594" t="str">
            <v>الاذونات وخدمات المحاجر</v>
          </cell>
          <cell r="V594" t="str">
            <v>العمليات</v>
          </cell>
          <cell r="W594" t="str">
            <v>Makkah</v>
          </cell>
          <cell r="X594" t="str">
            <v xml:space="preserve">الفرع </v>
          </cell>
          <cell r="Y594">
            <v>45126</v>
          </cell>
          <cell r="Z594">
            <v>2.91</v>
          </cell>
          <cell r="AA594">
            <v>1064</v>
          </cell>
          <cell r="AB594" t="str">
            <v>نشط</v>
          </cell>
          <cell r="AC594" t="str">
            <v>400274</v>
          </cell>
          <cell r="AD594" t="str">
            <v>Hussain Albakmani</v>
          </cell>
          <cell r="AE594" t="str">
            <v>إعارة</v>
          </cell>
          <cell r="AF594" t="str">
            <v/>
          </cell>
          <cell r="AG594" t="str">
            <v/>
          </cell>
          <cell r="AH594" t="str">
            <v>اقتصاد زراعي</v>
          </cell>
          <cell r="AI594" t="str">
            <v>بكالوريوس</v>
          </cell>
          <cell r="AJ594">
            <v>4</v>
          </cell>
          <cell r="AK594">
            <v>3</v>
          </cell>
          <cell r="AL594">
            <v>1</v>
          </cell>
          <cell r="AM594">
            <v>0</v>
          </cell>
          <cell r="AN594" t="str">
            <v/>
          </cell>
          <cell r="AO594" t="str">
            <v>الاذونات وخدمات المحاجر</v>
          </cell>
          <cell r="AP594" t="str">
            <v>Saudi National Bank</v>
          </cell>
          <cell r="AQ594" t="str">
            <v>SA0510000012900000362305</v>
          </cell>
          <cell r="AR594">
            <v>13035</v>
          </cell>
          <cell r="AS594" t="str">
            <v/>
          </cell>
          <cell r="AT594">
            <v>603.5</v>
          </cell>
          <cell r="AU594">
            <v>3258.75</v>
          </cell>
          <cell r="AV594" t="str">
            <v/>
          </cell>
        </row>
        <row r="595">
          <cell r="A595">
            <v>400416</v>
          </cell>
          <cell r="B595" t="str">
            <v>1005159858</v>
          </cell>
          <cell r="C595" t="str">
            <v>السيد</v>
          </cell>
          <cell r="D595" t="str">
            <v>Ayman Haydar Musleh Alnakhli</v>
          </cell>
          <cell r="E595" t="str">
            <v>ايمن حيدر مصلح النخلي</v>
          </cell>
          <cell r="F595" t="str">
            <v>Male</v>
          </cell>
          <cell r="G595" t="str">
            <v>متزوج</v>
          </cell>
          <cell r="H595">
            <v>28509</v>
          </cell>
          <cell r="I595">
            <v>48</v>
          </cell>
          <cell r="J595">
            <v>17681</v>
          </cell>
          <cell r="K595" t="str">
            <v>Ayman.Alnakhli@agriserv.sa</v>
          </cell>
          <cell r="L595" t="str">
            <v>0504857871</v>
          </cell>
          <cell r="M595" t="str">
            <v/>
          </cell>
          <cell r="N595" t="str">
            <v>المملكة العربية السعودية</v>
          </cell>
          <cell r="O595" t="str">
            <v>50001145</v>
          </cell>
          <cell r="P595" t="str">
            <v>مهندس زراعي</v>
          </cell>
          <cell r="Q595" t="str">
            <v>الدرجة 3</v>
          </cell>
          <cell r="R595" t="str">
            <v>Class A</v>
          </cell>
          <cell r="S595" t="str">
            <v>محجر ميناء جدة الاسلامي  (مكة المكرمة)</v>
          </cell>
          <cell r="T595" t="str">
            <v>خدمات المحجر</v>
          </cell>
          <cell r="U595" t="str">
            <v>الاذونات وخدمات المحاجر</v>
          </cell>
          <cell r="V595" t="str">
            <v>العمليات</v>
          </cell>
          <cell r="W595" t="str">
            <v>Makkah</v>
          </cell>
          <cell r="X595" t="str">
            <v xml:space="preserve">الفرع </v>
          </cell>
          <cell r="Y595">
            <v>45126</v>
          </cell>
          <cell r="Z595">
            <v>2.91</v>
          </cell>
          <cell r="AA595">
            <v>1064</v>
          </cell>
          <cell r="AB595" t="str">
            <v>نشط</v>
          </cell>
          <cell r="AC595" t="str">
            <v>400274</v>
          </cell>
          <cell r="AD595" t="str">
            <v>Hussain Albakmani</v>
          </cell>
          <cell r="AE595" t="str">
            <v>إعارة</v>
          </cell>
          <cell r="AF595" t="str">
            <v/>
          </cell>
          <cell r="AG595" t="str">
            <v/>
          </cell>
          <cell r="AH595" t="str">
            <v>اقتصاد زراعي</v>
          </cell>
          <cell r="AI595" t="str">
            <v>بكالوريوس</v>
          </cell>
          <cell r="AJ595">
            <v>4</v>
          </cell>
          <cell r="AK595">
            <v>3</v>
          </cell>
          <cell r="AL595">
            <v>1</v>
          </cell>
          <cell r="AM595">
            <v>0</v>
          </cell>
          <cell r="AN595" t="str">
            <v/>
          </cell>
          <cell r="AO595" t="str">
            <v>الاذونات وخدمات المحاجر</v>
          </cell>
          <cell r="AP595" t="str">
            <v>Saudi National Bank</v>
          </cell>
          <cell r="AQ595" t="str">
            <v>SA2010000011500000029104</v>
          </cell>
          <cell r="AR595">
            <v>12565</v>
          </cell>
          <cell r="AS595" t="str">
            <v/>
          </cell>
          <cell r="AT595">
            <v>556.5</v>
          </cell>
          <cell r="AU595">
            <v>3141.25</v>
          </cell>
          <cell r="AV595" t="str">
            <v/>
          </cell>
        </row>
        <row r="596">
          <cell r="A596">
            <v>400417</v>
          </cell>
          <cell r="B596" t="str">
            <v>1066998442</v>
          </cell>
          <cell r="C596" t="str">
            <v>السيد</v>
          </cell>
          <cell r="D596" t="str">
            <v>Yousef Hussain Ali Alqadeeb</v>
          </cell>
          <cell r="E596" t="str">
            <v>يوسف حسين علي القضيب</v>
          </cell>
          <cell r="F596" t="str">
            <v>Male</v>
          </cell>
          <cell r="G596" t="str">
            <v>متزوج</v>
          </cell>
          <cell r="H596">
            <v>33089</v>
          </cell>
          <cell r="I596">
            <v>36</v>
          </cell>
          <cell r="J596">
            <v>13101</v>
          </cell>
          <cell r="K596" t="str">
            <v>Yousef.Alqadeeb@agriserv.sa</v>
          </cell>
          <cell r="L596" t="str">
            <v>0566405000</v>
          </cell>
          <cell r="M596" t="str">
            <v>3302</v>
          </cell>
          <cell r="N596" t="str">
            <v>المملكة العربية السعودية</v>
          </cell>
          <cell r="O596" t="str">
            <v>50001251</v>
          </cell>
          <cell r="P596" t="str">
            <v>طبيب بيطري</v>
          </cell>
          <cell r="Q596" t="str">
            <v>الدرجة 4</v>
          </cell>
          <cell r="R596" t="str">
            <v>Class A</v>
          </cell>
          <cell r="S596" t="str">
            <v/>
          </cell>
          <cell r="T596" t="str">
            <v>الاذونات</v>
          </cell>
          <cell r="U596" t="str">
            <v>الاذونات وخدمات المحاجر</v>
          </cell>
          <cell r="V596" t="str">
            <v>العمليات</v>
          </cell>
          <cell r="W596" t="str">
            <v>Head Quarter</v>
          </cell>
          <cell r="X596" t="str">
            <v xml:space="preserve">المقر الرئيسي </v>
          </cell>
          <cell r="Y596">
            <v>45126</v>
          </cell>
          <cell r="Z596">
            <v>2.91</v>
          </cell>
          <cell r="AA596">
            <v>1064</v>
          </cell>
          <cell r="AB596" t="str">
            <v>نشط</v>
          </cell>
          <cell r="AC596" t="str">
            <v>400096</v>
          </cell>
          <cell r="AD596" t="str">
            <v>Saleh Alkraidis</v>
          </cell>
          <cell r="AE596" t="str">
            <v>إعارة</v>
          </cell>
          <cell r="AF596" t="str">
            <v/>
          </cell>
          <cell r="AG596" t="str">
            <v/>
          </cell>
          <cell r="AH596" t="str">
            <v>طب بيطري</v>
          </cell>
          <cell r="AI596" t="str">
            <v>بكالوريوس</v>
          </cell>
          <cell r="AJ596">
            <v>4</v>
          </cell>
          <cell r="AK596">
            <v>1</v>
          </cell>
          <cell r="AL596">
            <v>1</v>
          </cell>
          <cell r="AM596">
            <v>2</v>
          </cell>
          <cell r="AN596" t="str">
            <v/>
          </cell>
          <cell r="AO596" t="str">
            <v>الاذونات وخدمات المحاجر</v>
          </cell>
          <cell r="AP596" t="str">
            <v>Saudi National Bank</v>
          </cell>
          <cell r="AQ596" t="str">
            <v>SA6910000010100008318300</v>
          </cell>
          <cell r="AR596">
            <v>13035</v>
          </cell>
          <cell r="AS596" t="str">
            <v/>
          </cell>
          <cell r="AT596">
            <v>603.5</v>
          </cell>
          <cell r="AU596">
            <v>3258.75</v>
          </cell>
          <cell r="AV596" t="str">
            <v/>
          </cell>
        </row>
        <row r="597">
          <cell r="A597">
            <v>400418</v>
          </cell>
          <cell r="B597" t="str">
            <v>1070399249</v>
          </cell>
          <cell r="C597" t="str">
            <v>السيد</v>
          </cell>
          <cell r="D597" t="str">
            <v>Murtadha Abdullah Hussin Aljurfi</v>
          </cell>
          <cell r="E597" t="str">
            <v>مرتضى عبدالله حسين الجرفي</v>
          </cell>
          <cell r="F597" t="str">
            <v>Male</v>
          </cell>
          <cell r="G597" t="str">
            <v>متزوج</v>
          </cell>
          <cell r="H597">
            <v>33217</v>
          </cell>
          <cell r="I597">
            <v>36</v>
          </cell>
          <cell r="J597">
            <v>12973</v>
          </cell>
          <cell r="K597" t="str">
            <v>Murtadha.AlJurfi@agriserv.sa</v>
          </cell>
          <cell r="L597" t="str">
            <v>0545787715</v>
          </cell>
          <cell r="M597" t="str">
            <v/>
          </cell>
          <cell r="N597" t="str">
            <v>المملكة العربية السعودية</v>
          </cell>
          <cell r="O597" t="str">
            <v>50001252</v>
          </cell>
          <cell r="P597" t="str">
            <v>طبيب بيطري</v>
          </cell>
          <cell r="Q597" t="str">
            <v>الدرجة 4</v>
          </cell>
          <cell r="R597" t="str">
            <v>Class A</v>
          </cell>
          <cell r="S597" t="str">
            <v>محجر ميناء جدة الاسلامي  (مكة المكرمة)</v>
          </cell>
          <cell r="T597" t="str">
            <v>خدمات المحجر</v>
          </cell>
          <cell r="U597" t="str">
            <v>الاذونات وخدمات المحاجر</v>
          </cell>
          <cell r="V597" t="str">
            <v>العمليات</v>
          </cell>
          <cell r="W597" t="str">
            <v>Makkah</v>
          </cell>
          <cell r="X597" t="str">
            <v xml:space="preserve">الفرع </v>
          </cell>
          <cell r="Y597">
            <v>45126</v>
          </cell>
          <cell r="Z597">
            <v>2.91</v>
          </cell>
          <cell r="AA597">
            <v>1064</v>
          </cell>
          <cell r="AB597" t="str">
            <v>نشط</v>
          </cell>
          <cell r="AC597" t="str">
            <v>400274</v>
          </cell>
          <cell r="AD597" t="str">
            <v>Hussain Albakmani</v>
          </cell>
          <cell r="AE597" t="str">
            <v>إعارة</v>
          </cell>
          <cell r="AF597" t="str">
            <v/>
          </cell>
          <cell r="AG597" t="str">
            <v/>
          </cell>
          <cell r="AH597" t="str">
            <v>ثانوية</v>
          </cell>
          <cell r="AI597" t="str">
            <v>شهادة المدرسة الثانوية</v>
          </cell>
          <cell r="AJ597">
            <v>4</v>
          </cell>
          <cell r="AK597">
            <v>0</v>
          </cell>
          <cell r="AL597">
            <v>2</v>
          </cell>
          <cell r="AM597">
            <v>2</v>
          </cell>
          <cell r="AN597" t="str">
            <v/>
          </cell>
          <cell r="AO597" t="str">
            <v>الاذونات وخدمات المحاجر</v>
          </cell>
          <cell r="AP597" t="str">
            <v>Saudi Awwal Bank</v>
          </cell>
          <cell r="AQ597" t="str">
            <v>SA5145000000031301328001</v>
          </cell>
          <cell r="AR597">
            <v>9459</v>
          </cell>
          <cell r="AS597" t="str">
            <v/>
          </cell>
          <cell r="AT597">
            <v>445.9</v>
          </cell>
          <cell r="AU597">
            <v>2364.75</v>
          </cell>
          <cell r="AV597" t="str">
            <v/>
          </cell>
        </row>
        <row r="598">
          <cell r="A598">
            <v>400419</v>
          </cell>
          <cell r="B598" t="str">
            <v>1058468784</v>
          </cell>
          <cell r="C598" t="str">
            <v>السيد</v>
          </cell>
          <cell r="D598" t="str">
            <v>Abdulrahman Mansour Abdulrahman Alsaad</v>
          </cell>
          <cell r="E598" t="str">
            <v>عبدالرحمن منصور عبدالرحمن ال سعد</v>
          </cell>
          <cell r="F598" t="str">
            <v>Male</v>
          </cell>
          <cell r="G598" t="str">
            <v>أعزب</v>
          </cell>
          <cell r="H598">
            <v>31266</v>
          </cell>
          <cell r="I598">
            <v>41</v>
          </cell>
          <cell r="J598">
            <v>14924</v>
          </cell>
          <cell r="K598" t="str">
            <v>Abdulrahman.AlSaad@agriserv.sa</v>
          </cell>
          <cell r="L598" t="str">
            <v>0569693309</v>
          </cell>
          <cell r="M598" t="str">
            <v/>
          </cell>
          <cell r="N598" t="str">
            <v>المملكة العربية السعودية</v>
          </cell>
          <cell r="O598" t="str">
            <v>50001269</v>
          </cell>
          <cell r="P598" t="str">
            <v>موظف دعم إداري</v>
          </cell>
          <cell r="Q598" t="str">
            <v>2A الدرجة</v>
          </cell>
          <cell r="R598" t="str">
            <v>Class A</v>
          </cell>
          <cell r="S598" t="str">
            <v>محجر ميناء جدة الاسلامي  (مكة المكرمة)</v>
          </cell>
          <cell r="T598" t="str">
            <v>خدمات المحجر</v>
          </cell>
          <cell r="U598" t="str">
            <v>الاذونات وخدمات المحاجر</v>
          </cell>
          <cell r="V598" t="str">
            <v>العمليات</v>
          </cell>
          <cell r="W598" t="str">
            <v>Makkah</v>
          </cell>
          <cell r="X598" t="str">
            <v xml:space="preserve">الفرع </v>
          </cell>
          <cell r="Y598">
            <v>45126</v>
          </cell>
          <cell r="Z598">
            <v>2.91</v>
          </cell>
          <cell r="AA598">
            <v>1064</v>
          </cell>
          <cell r="AB598" t="str">
            <v>نشط</v>
          </cell>
          <cell r="AC598" t="str">
            <v>400274</v>
          </cell>
          <cell r="AD598" t="str">
            <v>Hussain Albakmani</v>
          </cell>
          <cell r="AE598" t="str">
            <v>إعارة</v>
          </cell>
          <cell r="AF598" t="str">
            <v/>
          </cell>
          <cell r="AG598" t="str">
            <v/>
          </cell>
          <cell r="AH598" t="str">
            <v>تقنيه شبكات</v>
          </cell>
          <cell r="AI598" t="str">
            <v>دبلوم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 t="str">
            <v/>
          </cell>
          <cell r="AO598" t="str">
            <v>الاذونات وخدمات المحاجر</v>
          </cell>
          <cell r="AP598" t="str">
            <v>Al Rajhi Bank</v>
          </cell>
          <cell r="AQ598" t="str">
            <v>SA9480000431608010125416</v>
          </cell>
          <cell r="AR598">
            <v>11745</v>
          </cell>
          <cell r="AS598" t="str">
            <v/>
          </cell>
          <cell r="AT598">
            <v>100</v>
          </cell>
          <cell r="AU598">
            <v>2936.25</v>
          </cell>
          <cell r="AV598" t="str">
            <v/>
          </cell>
        </row>
        <row r="599">
          <cell r="A599">
            <v>400420</v>
          </cell>
          <cell r="B599" t="str">
            <v>1051172094</v>
          </cell>
          <cell r="C599" t="str">
            <v>السيد</v>
          </cell>
          <cell r="D599" t="str">
            <v>Mohammed Nasser Saad Alharthi</v>
          </cell>
          <cell r="E599" t="str">
            <v>محمد ناصر سعد الحارثى</v>
          </cell>
          <cell r="F599" t="str">
            <v>Male</v>
          </cell>
          <cell r="G599" t="str">
            <v>متزوج</v>
          </cell>
          <cell r="H599">
            <v>27230</v>
          </cell>
          <cell r="I599">
            <v>52</v>
          </cell>
          <cell r="J599">
            <v>18960</v>
          </cell>
          <cell r="K599" t="str">
            <v>Mohammed.AlHarthy@agriserv.sa</v>
          </cell>
          <cell r="L599" t="str">
            <v>0550121236</v>
          </cell>
          <cell r="M599" t="str">
            <v/>
          </cell>
          <cell r="N599" t="str">
            <v>المملكة العربية السعودية</v>
          </cell>
          <cell r="O599" t="str">
            <v>50001198</v>
          </cell>
          <cell r="P599" t="str">
            <v>طبيب بيطري مساعد</v>
          </cell>
          <cell r="Q599" t="str">
            <v>2B الدرجة</v>
          </cell>
          <cell r="R599" t="str">
            <v>Class A</v>
          </cell>
          <cell r="S599" t="str">
            <v>محجر مطار جدة  (مكة المكرمة)</v>
          </cell>
          <cell r="T599" t="str">
            <v>خدمات المحجر</v>
          </cell>
          <cell r="U599" t="str">
            <v>الاذونات وخدمات المحاجر</v>
          </cell>
          <cell r="V599" t="str">
            <v>العمليات</v>
          </cell>
          <cell r="W599" t="str">
            <v>Makkah</v>
          </cell>
          <cell r="X599" t="str">
            <v xml:space="preserve">الفرع </v>
          </cell>
          <cell r="Y599">
            <v>45126</v>
          </cell>
          <cell r="Z599">
            <v>2.91</v>
          </cell>
          <cell r="AA599">
            <v>1064</v>
          </cell>
          <cell r="AB599" t="str">
            <v>نشط</v>
          </cell>
          <cell r="AC599" t="str">
            <v>400273</v>
          </cell>
          <cell r="AD599" t="str">
            <v>Yahya Alzahrani</v>
          </cell>
          <cell r="AE599" t="str">
            <v>إعارة</v>
          </cell>
          <cell r="AF599" t="str">
            <v/>
          </cell>
          <cell r="AG599" t="str">
            <v/>
          </cell>
          <cell r="AH599" t="str">
            <v>طب بيطري</v>
          </cell>
          <cell r="AI599" t="str">
            <v>دبلوم</v>
          </cell>
          <cell r="AJ599">
            <v>9</v>
          </cell>
          <cell r="AK599">
            <v>7</v>
          </cell>
          <cell r="AL599">
            <v>1</v>
          </cell>
          <cell r="AM599">
            <v>1</v>
          </cell>
          <cell r="AN599" t="str">
            <v/>
          </cell>
          <cell r="AO599" t="str">
            <v>الاذونات وخدمات المحاجر</v>
          </cell>
          <cell r="AP599" t="str">
            <v>Saudi National Bank</v>
          </cell>
          <cell r="AQ599" t="str">
            <v>SA6910000011100505722901</v>
          </cell>
          <cell r="AR599">
            <v>13820</v>
          </cell>
          <cell r="AS599" t="str">
            <v/>
          </cell>
          <cell r="AT599">
            <v>100</v>
          </cell>
          <cell r="AU599">
            <v>3455</v>
          </cell>
          <cell r="AV599" t="str">
            <v/>
          </cell>
        </row>
        <row r="600">
          <cell r="A600">
            <v>400421</v>
          </cell>
          <cell r="B600" t="str">
            <v>1046271860</v>
          </cell>
          <cell r="C600" t="str">
            <v>السيد</v>
          </cell>
          <cell r="D600" t="str">
            <v>Ahamd Muhmmad Ibrahim Alburaidi</v>
          </cell>
          <cell r="E600" t="str">
            <v>احمد محمد ابراهيم البريدي</v>
          </cell>
          <cell r="F600" t="str">
            <v>Male</v>
          </cell>
          <cell r="G600" t="str">
            <v>متزوج</v>
          </cell>
          <cell r="H600">
            <v>26521</v>
          </cell>
          <cell r="I600">
            <v>54</v>
          </cell>
          <cell r="J600">
            <v>19669</v>
          </cell>
          <cell r="K600" t="str">
            <v>Ahmed.Albridi@agriserv.sa</v>
          </cell>
          <cell r="L600" t="str">
            <v>0595068558</v>
          </cell>
          <cell r="M600" t="str">
            <v/>
          </cell>
          <cell r="N600" t="str">
            <v>المملكة العربية السعودية</v>
          </cell>
          <cell r="O600" t="str">
            <v>50001270</v>
          </cell>
          <cell r="P600" t="str">
            <v>موظف دعم إداري</v>
          </cell>
          <cell r="Q600" t="str">
            <v>2A الدرجة</v>
          </cell>
          <cell r="R600" t="str">
            <v>Class A</v>
          </cell>
          <cell r="S600" t="str">
            <v>محجر مطار جدة  (مكة المكرمة)</v>
          </cell>
          <cell r="T600" t="str">
            <v>خدمات المحجر</v>
          </cell>
          <cell r="U600" t="str">
            <v>الاذونات وخدمات المحاجر</v>
          </cell>
          <cell r="V600" t="str">
            <v>العمليات</v>
          </cell>
          <cell r="W600" t="str">
            <v>Makkah</v>
          </cell>
          <cell r="X600" t="str">
            <v xml:space="preserve">الفرع </v>
          </cell>
          <cell r="Y600">
            <v>45126</v>
          </cell>
          <cell r="Z600">
            <v>2.91</v>
          </cell>
          <cell r="AA600">
            <v>1064</v>
          </cell>
          <cell r="AB600" t="str">
            <v>نشط</v>
          </cell>
          <cell r="AC600" t="str">
            <v>400273</v>
          </cell>
          <cell r="AD600" t="str">
            <v>Yahya Alzahrani</v>
          </cell>
          <cell r="AE600" t="str">
            <v>إعارة</v>
          </cell>
          <cell r="AF600" t="str">
            <v/>
          </cell>
          <cell r="AG600" t="str">
            <v/>
          </cell>
          <cell r="AH600" t="str">
            <v>ثانوية</v>
          </cell>
          <cell r="AI600" t="str">
            <v>شهادة المدرسة الثانوية</v>
          </cell>
          <cell r="AJ600">
            <v>11</v>
          </cell>
          <cell r="AK600">
            <v>9</v>
          </cell>
          <cell r="AL600">
            <v>2</v>
          </cell>
          <cell r="AM600">
            <v>0</v>
          </cell>
          <cell r="AN600" t="str">
            <v/>
          </cell>
          <cell r="AO600" t="str">
            <v>الاذونات وخدمات المحاجر</v>
          </cell>
          <cell r="AP600" t="str">
            <v>Al Rajhi Bank</v>
          </cell>
          <cell r="AQ600" t="str">
            <v>SA8980000374608010026506</v>
          </cell>
          <cell r="AR600">
            <v>12990</v>
          </cell>
          <cell r="AS600" t="str">
            <v/>
          </cell>
          <cell r="AT600">
            <v>100</v>
          </cell>
          <cell r="AU600">
            <v>3247.5</v>
          </cell>
          <cell r="AV600" t="str">
            <v/>
          </cell>
        </row>
        <row r="601">
          <cell r="A601">
            <v>400422</v>
          </cell>
          <cell r="B601" t="str">
            <v>1037259668</v>
          </cell>
          <cell r="C601" t="str">
            <v>السيد</v>
          </cell>
          <cell r="D601" t="str">
            <v>Saad Saeid Ahmad Alzahrani</v>
          </cell>
          <cell r="E601" t="str">
            <v>سعد سعيد احمد الزهراني</v>
          </cell>
          <cell r="F601" t="str">
            <v>Male</v>
          </cell>
          <cell r="G601" t="str">
            <v>متزوج</v>
          </cell>
          <cell r="H601">
            <v>28647</v>
          </cell>
          <cell r="I601">
            <v>48</v>
          </cell>
          <cell r="J601">
            <v>17543</v>
          </cell>
          <cell r="K601" t="str">
            <v>Saad.Alzahrani@agriserv.sa</v>
          </cell>
          <cell r="L601" t="str">
            <v>0591100134</v>
          </cell>
          <cell r="M601" t="str">
            <v/>
          </cell>
          <cell r="N601" t="str">
            <v>المملكة العربية السعودية</v>
          </cell>
          <cell r="O601" t="str">
            <v>50001199</v>
          </cell>
          <cell r="P601" t="str">
            <v>طبيب بيطري مساعد</v>
          </cell>
          <cell r="Q601" t="str">
            <v>2B الدرجة</v>
          </cell>
          <cell r="R601" t="str">
            <v>Class A</v>
          </cell>
          <cell r="S601" t="str">
            <v>محجر مطار جدة  (مكة المكرمة)</v>
          </cell>
          <cell r="T601" t="str">
            <v>خدمات المحجر</v>
          </cell>
          <cell r="U601" t="str">
            <v>الاذونات وخدمات المحاجر</v>
          </cell>
          <cell r="V601" t="str">
            <v>العمليات</v>
          </cell>
          <cell r="W601" t="str">
            <v>Makkah</v>
          </cell>
          <cell r="X601" t="str">
            <v xml:space="preserve">الفرع </v>
          </cell>
          <cell r="Y601">
            <v>45126</v>
          </cell>
          <cell r="Z601">
            <v>2.91</v>
          </cell>
          <cell r="AA601">
            <v>1064</v>
          </cell>
          <cell r="AB601" t="str">
            <v>نشط</v>
          </cell>
          <cell r="AC601" t="str">
            <v>400273</v>
          </cell>
          <cell r="AD601" t="str">
            <v>Yahya Alzahrani</v>
          </cell>
          <cell r="AE601" t="str">
            <v>إعارة</v>
          </cell>
          <cell r="AF601" t="str">
            <v/>
          </cell>
          <cell r="AG601" t="str">
            <v/>
          </cell>
          <cell r="AH601" t="str">
            <v>صيدلي</v>
          </cell>
          <cell r="AI601" t="str">
            <v>دبلوم</v>
          </cell>
          <cell r="AJ601">
            <v>6</v>
          </cell>
          <cell r="AK601">
            <v>3</v>
          </cell>
          <cell r="AL601">
            <v>1</v>
          </cell>
          <cell r="AM601">
            <v>2</v>
          </cell>
          <cell r="AN601" t="str">
            <v/>
          </cell>
          <cell r="AO601" t="str">
            <v>الاذونات وخدمات المحاجر</v>
          </cell>
          <cell r="AP601" t="str">
            <v>Bank Al Jazirah</v>
          </cell>
          <cell r="AQ601" t="str">
            <v>SA0660100011481314293001</v>
          </cell>
          <cell r="AR601">
            <v>14445</v>
          </cell>
          <cell r="AS601" t="str">
            <v/>
          </cell>
          <cell r="AT601">
            <v>100</v>
          </cell>
          <cell r="AU601">
            <v>3611.25</v>
          </cell>
          <cell r="AV601" t="str">
            <v/>
          </cell>
        </row>
        <row r="602">
          <cell r="A602">
            <v>400423</v>
          </cell>
          <cell r="B602" t="str">
            <v>1010013066</v>
          </cell>
          <cell r="C602" t="str">
            <v>السيد</v>
          </cell>
          <cell r="D602" t="str">
            <v>Faisal Wens Selham Aloutibi</v>
          </cell>
          <cell r="E602" t="str">
            <v>فيصل ونس صلهام العتيبي</v>
          </cell>
          <cell r="F602" t="str">
            <v>Male</v>
          </cell>
          <cell r="G602" t="str">
            <v>متزوج</v>
          </cell>
          <cell r="H602">
            <v>28028</v>
          </cell>
          <cell r="I602">
            <v>50</v>
          </cell>
          <cell r="J602">
            <v>18162</v>
          </cell>
          <cell r="K602" t="str">
            <v>Faisalw.Alotaibi@agriserv.sa</v>
          </cell>
          <cell r="L602" t="str">
            <v>0533977774</v>
          </cell>
          <cell r="M602" t="str">
            <v/>
          </cell>
          <cell r="N602" t="str">
            <v>المملكة العربية السعودية</v>
          </cell>
          <cell r="O602" t="str">
            <v>50001159</v>
          </cell>
          <cell r="P602" t="str">
            <v>فني زراعي</v>
          </cell>
          <cell r="Q602" t="str">
            <v>2A الدرجة</v>
          </cell>
          <cell r="R602" t="str">
            <v>Class A</v>
          </cell>
          <cell r="S602" t="str">
            <v>محجر مطار جدة  (مكة المكرمة)</v>
          </cell>
          <cell r="T602" t="str">
            <v>خدمات المحجر</v>
          </cell>
          <cell r="U602" t="str">
            <v>الاذونات وخدمات المحاجر</v>
          </cell>
          <cell r="V602" t="str">
            <v>العمليات</v>
          </cell>
          <cell r="W602" t="str">
            <v>Makkah</v>
          </cell>
          <cell r="X602" t="str">
            <v xml:space="preserve">الفرع </v>
          </cell>
          <cell r="Y602">
            <v>45126</v>
          </cell>
          <cell r="Z602">
            <v>2.91</v>
          </cell>
          <cell r="AA602">
            <v>1064</v>
          </cell>
          <cell r="AB602" t="str">
            <v>نشط</v>
          </cell>
          <cell r="AC602" t="str">
            <v>400273</v>
          </cell>
          <cell r="AD602" t="str">
            <v>Yahya Alzahrani</v>
          </cell>
          <cell r="AE602" t="str">
            <v>إعارة</v>
          </cell>
          <cell r="AF602" t="str">
            <v/>
          </cell>
          <cell r="AG602" t="str">
            <v/>
          </cell>
          <cell r="AH602" t="str">
            <v>ثانوية</v>
          </cell>
          <cell r="AI602" t="str">
            <v>شهادة المدرسة الثانوية</v>
          </cell>
          <cell r="AJ602">
            <v>5</v>
          </cell>
          <cell r="AK602">
            <v>3</v>
          </cell>
          <cell r="AL602">
            <v>1</v>
          </cell>
          <cell r="AM602">
            <v>1</v>
          </cell>
          <cell r="AN602" t="str">
            <v/>
          </cell>
          <cell r="AO602" t="str">
            <v>الاذونات وخدمات المحاجر</v>
          </cell>
          <cell r="AP602" t="str">
            <v>Al Rajhi Bank</v>
          </cell>
          <cell r="AQ602" t="str">
            <v>SA2180000477608010026072</v>
          </cell>
          <cell r="AR602">
            <v>9725</v>
          </cell>
          <cell r="AS602" t="str">
            <v/>
          </cell>
          <cell r="AT602">
            <v>100</v>
          </cell>
          <cell r="AU602">
            <v>2431.25</v>
          </cell>
          <cell r="AV602" t="str">
            <v/>
          </cell>
        </row>
        <row r="603">
          <cell r="A603">
            <v>400424</v>
          </cell>
          <cell r="B603" t="str">
            <v>1029605795</v>
          </cell>
          <cell r="C603" t="str">
            <v>السيد</v>
          </cell>
          <cell r="D603" t="str">
            <v>Saad Abduallah Saad Alsalom</v>
          </cell>
          <cell r="E603" t="str">
            <v>سعد عبدالله سعد السلوم</v>
          </cell>
          <cell r="F603" t="str">
            <v>Male</v>
          </cell>
          <cell r="G603" t="str">
            <v>متزوج</v>
          </cell>
          <cell r="H603">
            <v>27875</v>
          </cell>
          <cell r="I603">
            <v>50</v>
          </cell>
          <cell r="J603">
            <v>18315</v>
          </cell>
          <cell r="K603" t="str">
            <v>Saad.AlSoom@agriserv.sa</v>
          </cell>
          <cell r="L603" t="str">
            <v>0508345368</v>
          </cell>
          <cell r="M603" t="str">
            <v/>
          </cell>
          <cell r="N603" t="str">
            <v>المملكة العربية السعودية</v>
          </cell>
          <cell r="O603" t="str">
            <v>50001271</v>
          </cell>
          <cell r="P603" t="str">
            <v>موظف دعم إداري</v>
          </cell>
          <cell r="Q603" t="str">
            <v>2A الدرجة</v>
          </cell>
          <cell r="R603" t="str">
            <v>Class A</v>
          </cell>
          <cell r="S603" t="str">
            <v>محجر مطار جدة  (مكة المكرمة)</v>
          </cell>
          <cell r="T603" t="str">
            <v>خدمات المحجر</v>
          </cell>
          <cell r="U603" t="str">
            <v>الاذونات وخدمات المحاجر</v>
          </cell>
          <cell r="V603" t="str">
            <v>العمليات</v>
          </cell>
          <cell r="W603" t="str">
            <v>Makkah</v>
          </cell>
          <cell r="X603" t="str">
            <v xml:space="preserve">الفرع </v>
          </cell>
          <cell r="Y603">
            <v>45126</v>
          </cell>
          <cell r="Z603">
            <v>2.91</v>
          </cell>
          <cell r="AA603">
            <v>1064</v>
          </cell>
          <cell r="AB603" t="str">
            <v>نشط</v>
          </cell>
          <cell r="AC603" t="str">
            <v>400273</v>
          </cell>
          <cell r="AD603" t="str">
            <v>Yahya Alzahrani</v>
          </cell>
          <cell r="AE603" t="str">
            <v>إعارة</v>
          </cell>
          <cell r="AF603" t="str">
            <v/>
          </cell>
          <cell r="AG603" t="str">
            <v/>
          </cell>
          <cell r="AH603" t="str">
            <v>دراسات تجارية</v>
          </cell>
          <cell r="AI603" t="str">
            <v>دبلوم</v>
          </cell>
          <cell r="AJ603">
            <v>6</v>
          </cell>
          <cell r="AK603">
            <v>4</v>
          </cell>
          <cell r="AL603">
            <v>1</v>
          </cell>
          <cell r="AM603">
            <v>1</v>
          </cell>
          <cell r="AN603" t="str">
            <v/>
          </cell>
          <cell r="AO603" t="str">
            <v>الاذونات وخدمات المحاجر</v>
          </cell>
          <cell r="AP603" t="str">
            <v>Al Rajhi Bank</v>
          </cell>
          <cell r="AQ603" t="str">
            <v>SA5180000471608010030682</v>
          </cell>
          <cell r="AR603">
            <v>11390</v>
          </cell>
          <cell r="AS603" t="str">
            <v/>
          </cell>
          <cell r="AT603">
            <v>100</v>
          </cell>
          <cell r="AU603">
            <v>2847.5</v>
          </cell>
          <cell r="AV603" t="str">
            <v/>
          </cell>
        </row>
        <row r="604">
          <cell r="A604">
            <v>400425</v>
          </cell>
          <cell r="B604" t="str">
            <v>1025862119</v>
          </cell>
          <cell r="C604" t="str">
            <v>السيد</v>
          </cell>
          <cell r="D604" t="str">
            <v>Abdullah Salem Abdullateef Aljuhani</v>
          </cell>
          <cell r="E604" t="str">
            <v>عبدالله سالم عبداللطيف الجهني</v>
          </cell>
          <cell r="F604" t="str">
            <v>Male</v>
          </cell>
          <cell r="G604" t="str">
            <v>متزوج</v>
          </cell>
          <cell r="H604">
            <v>27659</v>
          </cell>
          <cell r="I604">
            <v>51</v>
          </cell>
          <cell r="J604">
            <v>18531</v>
          </cell>
          <cell r="K604" t="str">
            <v>Abdullah.Aljuhani@agriserv.sa</v>
          </cell>
          <cell r="L604" t="str">
            <v>0568970245</v>
          </cell>
          <cell r="M604" t="str">
            <v/>
          </cell>
          <cell r="N604" t="str">
            <v>المملكة العربية السعودية</v>
          </cell>
          <cell r="O604" t="str">
            <v>50001146</v>
          </cell>
          <cell r="P604" t="str">
            <v>مهندس زراعي</v>
          </cell>
          <cell r="Q604" t="str">
            <v>الدرجة 3</v>
          </cell>
          <cell r="R604" t="str">
            <v>Class A</v>
          </cell>
          <cell r="S604" t="str">
            <v>محجر مطار جدة  (مكة المكرمة)</v>
          </cell>
          <cell r="T604" t="str">
            <v>خدمات المحجر</v>
          </cell>
          <cell r="U604" t="str">
            <v>الاذونات وخدمات المحاجر</v>
          </cell>
          <cell r="V604" t="str">
            <v>العمليات</v>
          </cell>
          <cell r="W604" t="str">
            <v>Makkah</v>
          </cell>
          <cell r="X604" t="str">
            <v xml:space="preserve">الفرع </v>
          </cell>
          <cell r="Y604">
            <v>45126</v>
          </cell>
          <cell r="Z604">
            <v>2.91</v>
          </cell>
          <cell r="AA604">
            <v>1064</v>
          </cell>
          <cell r="AB604" t="str">
            <v>نشط</v>
          </cell>
          <cell r="AC604" t="str">
            <v>400273</v>
          </cell>
          <cell r="AD604" t="str">
            <v>Yahya Alzahrani</v>
          </cell>
          <cell r="AE604" t="str">
            <v>إعارة</v>
          </cell>
          <cell r="AF604" t="str">
            <v/>
          </cell>
          <cell r="AG604" t="str">
            <v/>
          </cell>
          <cell r="AH604" t="str">
            <v>علم الزراعة</v>
          </cell>
          <cell r="AI604" t="str">
            <v>ماجستير</v>
          </cell>
          <cell r="AJ604">
            <v>5</v>
          </cell>
          <cell r="AK604">
            <v>4</v>
          </cell>
          <cell r="AL604">
            <v>1</v>
          </cell>
          <cell r="AM604">
            <v>0</v>
          </cell>
          <cell r="AN604" t="str">
            <v/>
          </cell>
          <cell r="AO604" t="str">
            <v>الاذونات وخدمات المحاجر</v>
          </cell>
          <cell r="AP604" t="str">
            <v>Saudi National Bank</v>
          </cell>
          <cell r="AQ604" t="str">
            <v>SA2810000042168463000104</v>
          </cell>
          <cell r="AR604">
            <v>18705</v>
          </cell>
          <cell r="AS604" t="str">
            <v/>
          </cell>
          <cell r="AT604">
            <v>970.5</v>
          </cell>
          <cell r="AU604">
            <v>4676.25</v>
          </cell>
          <cell r="AV604" t="str">
            <v/>
          </cell>
        </row>
        <row r="605">
          <cell r="A605">
            <v>400426</v>
          </cell>
          <cell r="B605" t="str">
            <v>1064441072</v>
          </cell>
          <cell r="C605" t="str">
            <v>السيد</v>
          </cell>
          <cell r="D605" t="str">
            <v>Yazeed Redhaa Muhammed Altameemi</v>
          </cell>
          <cell r="E605" t="str">
            <v>يزيد رضاء محمد التميمي</v>
          </cell>
          <cell r="F605" t="str">
            <v>Male</v>
          </cell>
          <cell r="G605" t="str">
            <v>متزوج</v>
          </cell>
          <cell r="H605">
            <v>31981</v>
          </cell>
          <cell r="I605">
            <v>39</v>
          </cell>
          <cell r="J605">
            <v>14209</v>
          </cell>
          <cell r="K605" t="str">
            <v>Yazeed.AlTamimi@agriserv.sa</v>
          </cell>
          <cell r="L605" t="str">
            <v>0594870797</v>
          </cell>
          <cell r="M605" t="str">
            <v/>
          </cell>
          <cell r="N605" t="str">
            <v>المملكة العربية السعودية</v>
          </cell>
          <cell r="O605" t="str">
            <v>50001194</v>
          </cell>
          <cell r="P605" t="str">
            <v>طبيب بيطري مساعد</v>
          </cell>
          <cell r="Q605" t="str">
            <v>2B الدرجة</v>
          </cell>
          <cell r="R605" t="str">
            <v>Class A</v>
          </cell>
          <cell r="S605" t="str">
            <v>محجر مطار جدة  (مكة المكرمة)</v>
          </cell>
          <cell r="T605" t="str">
            <v>خدمات المحجر</v>
          </cell>
          <cell r="U605" t="str">
            <v>الاذونات وخدمات المحاجر</v>
          </cell>
          <cell r="V605" t="str">
            <v>العمليات</v>
          </cell>
          <cell r="W605" t="str">
            <v>Makkah</v>
          </cell>
          <cell r="X605" t="str">
            <v xml:space="preserve">الفرع </v>
          </cell>
          <cell r="Y605">
            <v>45126</v>
          </cell>
          <cell r="Z605">
            <v>2.91</v>
          </cell>
          <cell r="AA605">
            <v>1064</v>
          </cell>
          <cell r="AB605" t="str">
            <v>نشط</v>
          </cell>
          <cell r="AC605" t="str">
            <v>400273</v>
          </cell>
          <cell r="AD605" t="str">
            <v>Yahya Alzahrani</v>
          </cell>
          <cell r="AE605" t="str">
            <v>إعارة</v>
          </cell>
          <cell r="AF605" t="str">
            <v/>
          </cell>
          <cell r="AG605" t="str">
            <v/>
          </cell>
          <cell r="AH605" t="str">
            <v>طب بيطري</v>
          </cell>
          <cell r="AI605" t="str">
            <v>دبلوم</v>
          </cell>
          <cell r="AJ605">
            <v>5</v>
          </cell>
          <cell r="AK605">
            <v>2</v>
          </cell>
          <cell r="AL605">
            <v>1</v>
          </cell>
          <cell r="AM605">
            <v>2</v>
          </cell>
          <cell r="AN605" t="str">
            <v/>
          </cell>
          <cell r="AO605" t="str">
            <v>الاذونات وخدمات المحاجر</v>
          </cell>
          <cell r="AP605" t="str">
            <v>Al Rajhi Bank</v>
          </cell>
          <cell r="AQ605" t="str">
            <v>SA0780000333608010208609</v>
          </cell>
          <cell r="AR605">
            <v>9200</v>
          </cell>
          <cell r="AS605" t="str">
            <v/>
          </cell>
          <cell r="AT605">
            <v>100</v>
          </cell>
          <cell r="AU605">
            <v>2300</v>
          </cell>
          <cell r="AV605" t="str">
            <v/>
          </cell>
        </row>
        <row r="606">
          <cell r="A606">
            <v>400427</v>
          </cell>
          <cell r="B606" t="str">
            <v>1031349143</v>
          </cell>
          <cell r="C606" t="str">
            <v>السيد</v>
          </cell>
          <cell r="D606" t="str">
            <v>Khaled Abdullah Muhammed Alghamdi</v>
          </cell>
          <cell r="E606" t="str">
            <v>خالد عبدالله محمد الغامدي</v>
          </cell>
          <cell r="F606" t="str">
            <v>Male</v>
          </cell>
          <cell r="G606" t="str">
            <v>متزوج</v>
          </cell>
          <cell r="H606">
            <v>29356</v>
          </cell>
          <cell r="I606">
            <v>46</v>
          </cell>
          <cell r="J606">
            <v>16834</v>
          </cell>
          <cell r="K606" t="str">
            <v>Khalid.AlGhamdi@agriserv.sa</v>
          </cell>
          <cell r="L606" t="str">
            <v>0559666182</v>
          </cell>
          <cell r="M606" t="str">
            <v/>
          </cell>
          <cell r="N606" t="str">
            <v>المملكة العربية السعودية</v>
          </cell>
          <cell r="O606" t="str">
            <v>50001160</v>
          </cell>
          <cell r="P606" t="str">
            <v>فني زراعي</v>
          </cell>
          <cell r="Q606" t="str">
            <v>2A الدرجة</v>
          </cell>
          <cell r="R606" t="str">
            <v>Class A</v>
          </cell>
          <cell r="S606" t="str">
            <v>محجر مطار جدة  (مكة المكرمة)</v>
          </cell>
          <cell r="T606" t="str">
            <v>خدمات المحجر</v>
          </cell>
          <cell r="U606" t="str">
            <v>الاذونات وخدمات المحاجر</v>
          </cell>
          <cell r="V606" t="str">
            <v>العمليات</v>
          </cell>
          <cell r="W606" t="str">
            <v>Makkah</v>
          </cell>
          <cell r="X606" t="str">
            <v xml:space="preserve">الفرع </v>
          </cell>
          <cell r="Y606">
            <v>45126</v>
          </cell>
          <cell r="Z606">
            <v>2.91</v>
          </cell>
          <cell r="AA606">
            <v>1064</v>
          </cell>
          <cell r="AB606" t="str">
            <v>نشط</v>
          </cell>
          <cell r="AC606" t="str">
            <v>400273</v>
          </cell>
          <cell r="AD606" t="str">
            <v>Yahya Alzahrani</v>
          </cell>
          <cell r="AE606" t="str">
            <v>إعارة</v>
          </cell>
          <cell r="AF606" t="str">
            <v/>
          </cell>
          <cell r="AG606" t="str">
            <v/>
          </cell>
          <cell r="AH606" t="str">
            <v>وقاية النبات</v>
          </cell>
          <cell r="AI606" t="str">
            <v>بكالوريوس</v>
          </cell>
          <cell r="AJ606">
            <v>6</v>
          </cell>
          <cell r="AK606">
            <v>5</v>
          </cell>
          <cell r="AL606">
            <v>1</v>
          </cell>
          <cell r="AM606">
            <v>0</v>
          </cell>
          <cell r="AN606" t="str">
            <v/>
          </cell>
          <cell r="AO606" t="str">
            <v>الاذونات وخدمات المحاجر</v>
          </cell>
          <cell r="AP606" t="str">
            <v>Al Rajhi Bank</v>
          </cell>
          <cell r="AQ606" t="str">
            <v>SA5180000457608010024980</v>
          </cell>
          <cell r="AR606">
            <v>13975</v>
          </cell>
          <cell r="AS606" t="str">
            <v/>
          </cell>
          <cell r="AT606">
            <v>100</v>
          </cell>
          <cell r="AU606">
            <v>3493.75</v>
          </cell>
          <cell r="AV606" t="str">
            <v/>
          </cell>
        </row>
        <row r="607">
          <cell r="A607">
            <v>400428</v>
          </cell>
          <cell r="B607" t="str">
            <v>1016836015</v>
          </cell>
          <cell r="C607" t="str">
            <v>السيد</v>
          </cell>
          <cell r="D607" t="str">
            <v>Tareq Ahmad Abdullah Alamri</v>
          </cell>
          <cell r="E607" t="str">
            <v>طارق احمد عبدالله العمري</v>
          </cell>
          <cell r="F607" t="str">
            <v>Male</v>
          </cell>
          <cell r="G607" t="str">
            <v>متزوج</v>
          </cell>
          <cell r="H607">
            <v>29990</v>
          </cell>
          <cell r="I607">
            <v>44</v>
          </cell>
          <cell r="J607">
            <v>16200</v>
          </cell>
          <cell r="K607" t="str">
            <v>Tareq.Alamri@agriserv.sa</v>
          </cell>
          <cell r="L607" t="str">
            <v>0555588605</v>
          </cell>
          <cell r="M607" t="str">
            <v/>
          </cell>
          <cell r="N607" t="str">
            <v>المملكة العربية السعودية</v>
          </cell>
          <cell r="O607" t="str">
            <v>50001272</v>
          </cell>
          <cell r="P607" t="str">
            <v>موظف دعم إداري</v>
          </cell>
          <cell r="Q607" t="str">
            <v>2A الدرجة</v>
          </cell>
          <cell r="R607" t="str">
            <v>Class A</v>
          </cell>
          <cell r="S607" t="str">
            <v>محجر مطار جدة  (مكة المكرمة)</v>
          </cell>
          <cell r="T607" t="str">
            <v>خدمات المحجر</v>
          </cell>
          <cell r="U607" t="str">
            <v>الاذونات وخدمات المحاجر</v>
          </cell>
          <cell r="V607" t="str">
            <v>العمليات</v>
          </cell>
          <cell r="W607" t="str">
            <v>Makkah</v>
          </cell>
          <cell r="X607" t="str">
            <v xml:space="preserve">الفرع </v>
          </cell>
          <cell r="Y607">
            <v>45126</v>
          </cell>
          <cell r="Z607">
            <v>2.91</v>
          </cell>
          <cell r="AA607">
            <v>1064</v>
          </cell>
          <cell r="AB607" t="str">
            <v>نشط</v>
          </cell>
          <cell r="AC607" t="str">
            <v>400273</v>
          </cell>
          <cell r="AD607" t="str">
            <v>Yahya Alzahrani</v>
          </cell>
          <cell r="AE607" t="str">
            <v>إعارة</v>
          </cell>
          <cell r="AF607" t="str">
            <v/>
          </cell>
          <cell r="AG607" t="str">
            <v/>
          </cell>
          <cell r="AH607" t="str">
            <v>تقنية البرمجة</v>
          </cell>
          <cell r="AI607" t="str">
            <v>دبلوم</v>
          </cell>
          <cell r="AJ607">
            <v>4</v>
          </cell>
          <cell r="AK607">
            <v>3</v>
          </cell>
          <cell r="AL607">
            <v>1</v>
          </cell>
          <cell r="AM607">
            <v>0</v>
          </cell>
          <cell r="AN607" t="str">
            <v/>
          </cell>
          <cell r="AO607" t="str">
            <v>الاذونات وخدمات المحاجر</v>
          </cell>
          <cell r="AP607" t="str">
            <v>Al Rajhi Bank</v>
          </cell>
          <cell r="AQ607" t="str">
            <v>SA5180000445608010108515</v>
          </cell>
          <cell r="AR607">
            <v>12565</v>
          </cell>
          <cell r="AS607" t="str">
            <v/>
          </cell>
          <cell r="AT607">
            <v>100</v>
          </cell>
          <cell r="AU607">
            <v>3141.25</v>
          </cell>
          <cell r="AV607" t="str">
            <v/>
          </cell>
        </row>
        <row r="608">
          <cell r="A608">
            <v>400429</v>
          </cell>
          <cell r="B608" t="str">
            <v>1048879942</v>
          </cell>
          <cell r="C608" t="str">
            <v>السيد</v>
          </cell>
          <cell r="D608" t="str">
            <v>Kadhem Mohammad Sleman Abodauwad</v>
          </cell>
          <cell r="E608" t="str">
            <v>كاظم محمد سليمان ابوداوود</v>
          </cell>
          <cell r="F608" t="str">
            <v>Male</v>
          </cell>
          <cell r="G608" t="str">
            <v>متزوج</v>
          </cell>
          <cell r="H608">
            <v>31387</v>
          </cell>
          <cell r="I608">
            <v>41</v>
          </cell>
          <cell r="J608">
            <v>14803</v>
          </cell>
          <cell r="K608" t="str">
            <v>Kathem.AbuDawood@agriserv.sa</v>
          </cell>
          <cell r="L608" t="str">
            <v>0595528850</v>
          </cell>
          <cell r="M608" t="str">
            <v/>
          </cell>
          <cell r="N608" t="str">
            <v>المملكة العربية السعودية</v>
          </cell>
          <cell r="O608" t="str">
            <v>50001253</v>
          </cell>
          <cell r="P608" t="str">
            <v>طبيب بيطري</v>
          </cell>
          <cell r="Q608" t="str">
            <v>الدرجة 4</v>
          </cell>
          <cell r="R608" t="str">
            <v>Class A</v>
          </cell>
          <cell r="S608" t="str">
            <v>محجر مطار جدة  (مكة المكرمة)</v>
          </cell>
          <cell r="T608" t="str">
            <v>خدمات المحجر</v>
          </cell>
          <cell r="U608" t="str">
            <v>الاذونات وخدمات المحاجر</v>
          </cell>
          <cell r="V608" t="str">
            <v>العمليات</v>
          </cell>
          <cell r="W608" t="str">
            <v>Makkah</v>
          </cell>
          <cell r="X608" t="str">
            <v xml:space="preserve">الفرع </v>
          </cell>
          <cell r="Y608">
            <v>45126</v>
          </cell>
          <cell r="Z608">
            <v>2.91</v>
          </cell>
          <cell r="AA608">
            <v>1064</v>
          </cell>
          <cell r="AB608" t="str">
            <v>نشط</v>
          </cell>
          <cell r="AC608" t="str">
            <v>400273</v>
          </cell>
          <cell r="AD608" t="str">
            <v>Yahya Alzahrani</v>
          </cell>
          <cell r="AE608" t="str">
            <v>إعارة</v>
          </cell>
          <cell r="AF608" t="str">
            <v/>
          </cell>
          <cell r="AG608" t="str">
            <v/>
          </cell>
          <cell r="AH608" t="str">
            <v>طب بيطري</v>
          </cell>
          <cell r="AI608" t="str">
            <v>بكالوريوس</v>
          </cell>
          <cell r="AJ608">
            <v>3</v>
          </cell>
          <cell r="AK608">
            <v>0</v>
          </cell>
          <cell r="AL608">
            <v>1</v>
          </cell>
          <cell r="AM608">
            <v>2</v>
          </cell>
          <cell r="AN608" t="str">
            <v/>
          </cell>
          <cell r="AO608" t="str">
            <v>الاذونات وخدمات المحاجر</v>
          </cell>
          <cell r="AP608" t="str">
            <v>Al Rajhi Bank</v>
          </cell>
          <cell r="AQ608" t="str">
            <v>SA0680000493608010024960</v>
          </cell>
          <cell r="AR608">
            <v>15885</v>
          </cell>
          <cell r="AS608" t="str">
            <v/>
          </cell>
          <cell r="AT608">
            <v>888.5</v>
          </cell>
          <cell r="AU608">
            <v>3971.25</v>
          </cell>
          <cell r="AV608" t="str">
            <v/>
          </cell>
        </row>
        <row r="609">
          <cell r="A609">
            <v>400430</v>
          </cell>
          <cell r="B609" t="str">
            <v>1038896518</v>
          </cell>
          <cell r="C609" t="str">
            <v>السيد</v>
          </cell>
          <cell r="D609" t="str">
            <v>Hassan Abdulelah Jebril Hawsawi</v>
          </cell>
          <cell r="E609" t="str">
            <v>حسان عبدالاله جبريل هوساوي</v>
          </cell>
          <cell r="F609" t="str">
            <v>Male</v>
          </cell>
          <cell r="G609" t="str">
            <v>أعزب</v>
          </cell>
          <cell r="H609">
            <v>31466</v>
          </cell>
          <cell r="I609">
            <v>40</v>
          </cell>
          <cell r="J609">
            <v>14724</v>
          </cell>
          <cell r="K609" t="str">
            <v>Hassan.Hawsawi@agriserv.sa</v>
          </cell>
          <cell r="L609" t="str">
            <v>0555568322</v>
          </cell>
          <cell r="M609" t="str">
            <v/>
          </cell>
          <cell r="N609" t="str">
            <v>المملكة العربية السعودية</v>
          </cell>
          <cell r="O609" t="str">
            <v>50001254</v>
          </cell>
          <cell r="P609" t="str">
            <v>طبيب بيطري</v>
          </cell>
          <cell r="Q609" t="str">
            <v>الدرجة 4</v>
          </cell>
          <cell r="R609" t="str">
            <v>Class A</v>
          </cell>
          <cell r="S609" t="str">
            <v>محجر مطار جدة  (مكة المكرمة)</v>
          </cell>
          <cell r="T609" t="str">
            <v>خدمات المحجر</v>
          </cell>
          <cell r="U609" t="str">
            <v>الاذونات وخدمات المحاجر</v>
          </cell>
          <cell r="V609" t="str">
            <v>العمليات</v>
          </cell>
          <cell r="W609" t="str">
            <v>Makkah</v>
          </cell>
          <cell r="X609" t="str">
            <v xml:space="preserve">الفرع </v>
          </cell>
          <cell r="Y609">
            <v>45126</v>
          </cell>
          <cell r="Z609">
            <v>2.91</v>
          </cell>
          <cell r="AA609">
            <v>1064</v>
          </cell>
          <cell r="AB609" t="str">
            <v>نشط</v>
          </cell>
          <cell r="AC609" t="str">
            <v>400273</v>
          </cell>
          <cell r="AD609" t="str">
            <v>Yahya Alzahrani</v>
          </cell>
          <cell r="AE609" t="str">
            <v>إعارة</v>
          </cell>
          <cell r="AF609" t="str">
            <v/>
          </cell>
          <cell r="AG609" t="str">
            <v/>
          </cell>
          <cell r="AH609" t="str">
            <v>طب بيطري</v>
          </cell>
          <cell r="AI609" t="str">
            <v>بكالوريوس</v>
          </cell>
          <cell r="AJ609">
            <v>3</v>
          </cell>
          <cell r="AK609">
            <v>1</v>
          </cell>
          <cell r="AL609">
            <v>0</v>
          </cell>
          <cell r="AM609">
            <v>2</v>
          </cell>
          <cell r="AN609" t="str">
            <v/>
          </cell>
          <cell r="AO609" t="str">
            <v>الاذونات وخدمات المحاجر</v>
          </cell>
          <cell r="AP609" t="str">
            <v>Al Rajhi Bank</v>
          </cell>
          <cell r="AQ609" t="str">
            <v>SA9580000515608010022646</v>
          </cell>
          <cell r="AR609">
            <v>13975</v>
          </cell>
          <cell r="AS609" t="str">
            <v/>
          </cell>
          <cell r="AT609">
            <v>697.5</v>
          </cell>
          <cell r="AU609">
            <v>3493.75</v>
          </cell>
          <cell r="AV609" t="str">
            <v/>
          </cell>
        </row>
        <row r="610">
          <cell r="A610">
            <v>400431</v>
          </cell>
          <cell r="B610" t="str">
            <v>1006586869</v>
          </cell>
          <cell r="C610" t="str">
            <v>السيد</v>
          </cell>
          <cell r="D610" t="str">
            <v>Mahammad Abdullah Abdulhadi Algamdi</v>
          </cell>
          <cell r="E610" t="str">
            <v>محمد عبدالله عبدالهادى الغامدى</v>
          </cell>
          <cell r="F610" t="str">
            <v>Male</v>
          </cell>
          <cell r="G610" t="str">
            <v>متزوج</v>
          </cell>
          <cell r="H610">
            <v>24372</v>
          </cell>
          <cell r="I610">
            <v>60</v>
          </cell>
          <cell r="J610">
            <v>21818</v>
          </cell>
          <cell r="K610" t="str">
            <v>Mohammed.AlGhamdi@agriserv.sa</v>
          </cell>
          <cell r="L610" t="str">
            <v>0503637789</v>
          </cell>
          <cell r="M610" t="str">
            <v/>
          </cell>
          <cell r="N610" t="str">
            <v>المملكة العربية السعودية</v>
          </cell>
          <cell r="O610" t="str">
            <v>50001161</v>
          </cell>
          <cell r="P610" t="str">
            <v>فني زراعي</v>
          </cell>
          <cell r="Q610" t="str">
            <v>2A الدرجة</v>
          </cell>
          <cell r="R610" t="str">
            <v>Class A</v>
          </cell>
          <cell r="S610" t="str">
            <v>محجر مطار جدة  (مكة المكرمة)</v>
          </cell>
          <cell r="T610" t="str">
            <v>خدمات المحجر</v>
          </cell>
          <cell r="U610" t="str">
            <v>الاذونات وخدمات المحاجر</v>
          </cell>
          <cell r="V610" t="str">
            <v>العمليات</v>
          </cell>
          <cell r="W610" t="str">
            <v>Makkah</v>
          </cell>
          <cell r="X610" t="str">
            <v xml:space="preserve">الفرع </v>
          </cell>
          <cell r="Y610">
            <v>45126</v>
          </cell>
          <cell r="Z610">
            <v>2.91</v>
          </cell>
          <cell r="AA610">
            <v>1064</v>
          </cell>
          <cell r="AB610" t="str">
            <v>غير نشط</v>
          </cell>
          <cell r="AC610" t="str">
            <v>400273</v>
          </cell>
          <cell r="AD610" t="str">
            <v>Yahya Alzahrani</v>
          </cell>
          <cell r="AE610" t="str">
            <v>إعارة</v>
          </cell>
          <cell r="AF610">
            <v>45657</v>
          </cell>
          <cell r="AG610" t="str">
            <v/>
          </cell>
          <cell r="AH610" t="str">
            <v>علم الزراعة</v>
          </cell>
          <cell r="AI610" t="str">
            <v>دبلوم</v>
          </cell>
          <cell r="AJ610">
            <v>3</v>
          </cell>
          <cell r="AK610">
            <v>2</v>
          </cell>
          <cell r="AL610">
            <v>1</v>
          </cell>
          <cell r="AM610">
            <v>0</v>
          </cell>
          <cell r="AN610" t="str">
            <v/>
          </cell>
          <cell r="AO610" t="str">
            <v>Corp Extension &amp; Protection</v>
          </cell>
          <cell r="AP610" t="str">
            <v>Saudi National Bank</v>
          </cell>
          <cell r="AQ610" t="str">
            <v>SA2710000013512217000107</v>
          </cell>
          <cell r="AR610">
            <v>15855</v>
          </cell>
          <cell r="AS610" t="str">
            <v/>
          </cell>
          <cell r="AT610">
            <v>100</v>
          </cell>
          <cell r="AU610">
            <v>3963.75</v>
          </cell>
          <cell r="AV610" t="str">
            <v/>
          </cell>
        </row>
        <row r="611">
          <cell r="A611">
            <v>400432</v>
          </cell>
          <cell r="B611" t="str">
            <v>1069167722</v>
          </cell>
          <cell r="C611" t="str">
            <v>السيد</v>
          </cell>
          <cell r="D611" t="str">
            <v>Abdullah Ahmed Musa Alzahrani</v>
          </cell>
          <cell r="E611" t="str">
            <v>عبدالله احمد موسى الزهراني</v>
          </cell>
          <cell r="F611" t="str">
            <v>Male</v>
          </cell>
          <cell r="G611" t="str">
            <v>متزوج</v>
          </cell>
          <cell r="H611">
            <v>30065</v>
          </cell>
          <cell r="I611">
            <v>44</v>
          </cell>
          <cell r="J611">
            <v>16125</v>
          </cell>
          <cell r="K611" t="str">
            <v>Abdullah.AlZahrani@agriserv.sa</v>
          </cell>
          <cell r="L611" t="str">
            <v>0504644552</v>
          </cell>
          <cell r="M611" t="str">
            <v/>
          </cell>
          <cell r="N611" t="str">
            <v>المملكة العربية السعودية</v>
          </cell>
          <cell r="O611" t="str">
            <v>50001162</v>
          </cell>
          <cell r="P611" t="str">
            <v>فني زراعي</v>
          </cell>
          <cell r="Q611" t="str">
            <v>2A الدرجة</v>
          </cell>
          <cell r="R611" t="str">
            <v>Class A</v>
          </cell>
          <cell r="S611" t="str">
            <v>محجر مطار جدة  (مكة المكرمة)</v>
          </cell>
          <cell r="T611" t="str">
            <v>خدمات المحجر</v>
          </cell>
          <cell r="U611" t="str">
            <v>الاذونات وخدمات المحاجر</v>
          </cell>
          <cell r="V611" t="str">
            <v>العمليات</v>
          </cell>
          <cell r="W611" t="str">
            <v>Makkah</v>
          </cell>
          <cell r="X611" t="str">
            <v xml:space="preserve">الفرع </v>
          </cell>
          <cell r="Y611">
            <v>45126</v>
          </cell>
          <cell r="Z611">
            <v>2.91</v>
          </cell>
          <cell r="AA611">
            <v>1064</v>
          </cell>
          <cell r="AB611" t="str">
            <v>نشط</v>
          </cell>
          <cell r="AC611" t="str">
            <v>400273</v>
          </cell>
          <cell r="AD611" t="str">
            <v>Yahya Alzahrani</v>
          </cell>
          <cell r="AE611" t="str">
            <v>إعارة</v>
          </cell>
          <cell r="AF611" t="str">
            <v/>
          </cell>
          <cell r="AG611" t="str">
            <v/>
          </cell>
          <cell r="AH611" t="str">
            <v>ثانوية</v>
          </cell>
          <cell r="AI611" t="str">
            <v>شهادة المدرسة الثانوية</v>
          </cell>
          <cell r="AJ611">
            <v>7</v>
          </cell>
          <cell r="AK611">
            <v>5</v>
          </cell>
          <cell r="AL611">
            <v>1</v>
          </cell>
          <cell r="AM611">
            <v>1</v>
          </cell>
          <cell r="AN611" t="str">
            <v/>
          </cell>
          <cell r="AO611" t="str">
            <v>الاذونات وخدمات المحاجر</v>
          </cell>
          <cell r="AP611" t="str">
            <v>Inma Bank</v>
          </cell>
          <cell r="AQ611" t="str">
            <v>SA5405000068204543684000</v>
          </cell>
          <cell r="AR611">
            <v>9200</v>
          </cell>
          <cell r="AS611" t="str">
            <v/>
          </cell>
          <cell r="AT611">
            <v>100</v>
          </cell>
          <cell r="AU611">
            <v>2300</v>
          </cell>
          <cell r="AV611" t="str">
            <v/>
          </cell>
        </row>
        <row r="612">
          <cell r="A612">
            <v>400433</v>
          </cell>
          <cell r="B612" t="str">
            <v>1017622802</v>
          </cell>
          <cell r="C612" t="str">
            <v>السيد</v>
          </cell>
          <cell r="D612" t="str">
            <v>Adnan Sulaiman Hamed Alhzmi</v>
          </cell>
          <cell r="E612" t="str">
            <v>عدنان سليمان حامد الحازمى</v>
          </cell>
          <cell r="F612" t="str">
            <v>Male</v>
          </cell>
          <cell r="G612" t="str">
            <v>متزوج</v>
          </cell>
          <cell r="H612">
            <v>25556</v>
          </cell>
          <cell r="I612">
            <v>56</v>
          </cell>
          <cell r="J612">
            <v>20634</v>
          </cell>
          <cell r="K612" t="str">
            <v>adnan.alhazmi@agriserv.sa</v>
          </cell>
          <cell r="L612" t="str">
            <v>0540239441</v>
          </cell>
          <cell r="M612" t="str">
            <v/>
          </cell>
          <cell r="N612" t="str">
            <v>المملكة العربية السعودية</v>
          </cell>
          <cell r="O612" t="str">
            <v>50001195</v>
          </cell>
          <cell r="P612" t="str">
            <v>طبيب بيطري مساعد</v>
          </cell>
          <cell r="Q612" t="str">
            <v>2B الدرجة</v>
          </cell>
          <cell r="R612" t="str">
            <v>Class A</v>
          </cell>
          <cell r="S612" t="str">
            <v>محجر الخمرة  (مكة المكرمة)</v>
          </cell>
          <cell r="T612" t="str">
            <v>خدمات المحجر</v>
          </cell>
          <cell r="U612" t="str">
            <v>الاذونات وخدمات المحاجر</v>
          </cell>
          <cell r="V612" t="str">
            <v>العمليات</v>
          </cell>
          <cell r="W612" t="str">
            <v>Makkah</v>
          </cell>
          <cell r="X612" t="str">
            <v xml:space="preserve">الفرع </v>
          </cell>
          <cell r="Y612">
            <v>45126</v>
          </cell>
          <cell r="Z612">
            <v>2.91</v>
          </cell>
          <cell r="AA612">
            <v>1064</v>
          </cell>
          <cell r="AB612" t="str">
            <v>نشط</v>
          </cell>
          <cell r="AC612" t="str">
            <v>400435</v>
          </cell>
          <cell r="AD612" t="str">
            <v>Ali Alhajuj</v>
          </cell>
          <cell r="AE612" t="str">
            <v>إعارة</v>
          </cell>
          <cell r="AF612" t="str">
            <v/>
          </cell>
          <cell r="AG612" t="str">
            <v/>
          </cell>
          <cell r="AH612" t="str">
            <v>طب بيطري</v>
          </cell>
          <cell r="AI612" t="str">
            <v>دبلوم</v>
          </cell>
          <cell r="AJ612">
            <v>6</v>
          </cell>
          <cell r="AK612">
            <v>5</v>
          </cell>
          <cell r="AL612">
            <v>1</v>
          </cell>
          <cell r="AM612">
            <v>0</v>
          </cell>
          <cell r="AN612" t="str">
            <v/>
          </cell>
          <cell r="AO612" t="str">
            <v>الاذونات وخدمات المحاجر</v>
          </cell>
          <cell r="AP612" t="str">
            <v>Saudi National Bank</v>
          </cell>
          <cell r="AQ612" t="str">
            <v>SA3710000001148752000204</v>
          </cell>
          <cell r="AR612">
            <v>15855</v>
          </cell>
          <cell r="AS612" t="str">
            <v/>
          </cell>
          <cell r="AT612">
            <v>100</v>
          </cell>
          <cell r="AU612">
            <v>3963.75</v>
          </cell>
          <cell r="AV612">
            <v>100</v>
          </cell>
        </row>
        <row r="613">
          <cell r="A613">
            <v>400434</v>
          </cell>
          <cell r="B613" t="str">
            <v>1022014532</v>
          </cell>
          <cell r="C613" t="str">
            <v>السيد</v>
          </cell>
          <cell r="D613" t="str">
            <v>Zuhair Ahmad Abdullah Alderwish</v>
          </cell>
          <cell r="E613" t="str">
            <v>زهير احمد عبدالله آل درويش</v>
          </cell>
          <cell r="F613" t="str">
            <v>Male</v>
          </cell>
          <cell r="G613" t="str">
            <v/>
          </cell>
          <cell r="H613">
            <v>30657</v>
          </cell>
          <cell r="I613">
            <v>43</v>
          </cell>
          <cell r="J613">
            <v>15533</v>
          </cell>
          <cell r="K613" t="str">
            <v/>
          </cell>
          <cell r="L613" t="str">
            <v>0570466164</v>
          </cell>
          <cell r="M613" t="str">
            <v/>
          </cell>
          <cell r="N613" t="str">
            <v>المملكة العربية السعودية</v>
          </cell>
          <cell r="O613" t="str">
            <v>50001255</v>
          </cell>
          <cell r="P613" t="str">
            <v>طبيب بيطري</v>
          </cell>
          <cell r="Q613" t="str">
            <v>الدرجة 4</v>
          </cell>
          <cell r="R613" t="str">
            <v/>
          </cell>
          <cell r="S613" t="str">
            <v>محجر الخمرة  (مكة المكرمة)</v>
          </cell>
          <cell r="T613" t="str">
            <v>خدمات المحجر</v>
          </cell>
          <cell r="U613" t="str">
            <v>الاذونات وخدمات المحاجر</v>
          </cell>
          <cell r="V613" t="str">
            <v>العمليات</v>
          </cell>
          <cell r="W613" t="str">
            <v>Makkah</v>
          </cell>
          <cell r="X613" t="str">
            <v xml:space="preserve">الفرع </v>
          </cell>
          <cell r="Y613">
            <v>45126</v>
          </cell>
          <cell r="Z613">
            <v>2.91</v>
          </cell>
          <cell r="AA613">
            <v>1064</v>
          </cell>
          <cell r="AB613" t="str">
            <v>غير نشط</v>
          </cell>
          <cell r="AC613" t="str">
            <v>400158</v>
          </cell>
          <cell r="AD613" t="str">
            <v>Abdulrahman Alzahrani</v>
          </cell>
          <cell r="AE613" t="str">
            <v>إعارة</v>
          </cell>
          <cell r="AF613">
            <v>45322</v>
          </cell>
          <cell r="AG613" t="str">
            <v/>
          </cell>
          <cell r="AH613" t="str">
            <v/>
          </cell>
          <cell r="AI613" t="str">
            <v/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 t="str">
            <v/>
          </cell>
          <cell r="AO613" t="str">
            <v>Livestock Extension &amp; Protection</v>
          </cell>
          <cell r="AP613" t="str">
            <v>Saudi National Bank</v>
          </cell>
          <cell r="AQ613" t="str">
            <v>SA7610000044963486000104</v>
          </cell>
          <cell r="AR613">
            <v>12160</v>
          </cell>
          <cell r="AS613" t="str">
            <v/>
          </cell>
          <cell r="AT613">
            <v>516</v>
          </cell>
          <cell r="AU613">
            <v>3040</v>
          </cell>
          <cell r="AV613" t="str">
            <v/>
          </cell>
        </row>
        <row r="614">
          <cell r="A614">
            <v>400435</v>
          </cell>
          <cell r="B614" t="str">
            <v>1085728390</v>
          </cell>
          <cell r="C614" t="str">
            <v>السيد</v>
          </cell>
          <cell r="D614" t="str">
            <v>Ali Ghazi Jafar Alhajuj</v>
          </cell>
          <cell r="E614" t="str">
            <v>علي غازي جعفر الهاجوج</v>
          </cell>
          <cell r="F614" t="str">
            <v>Male</v>
          </cell>
          <cell r="G614" t="str">
            <v>متزوج</v>
          </cell>
          <cell r="H614">
            <v>34429</v>
          </cell>
          <cell r="I614">
            <v>32</v>
          </cell>
          <cell r="J614">
            <v>11761</v>
          </cell>
          <cell r="K614" t="str">
            <v>Ali.Alhajoog@agriserv.sa</v>
          </cell>
          <cell r="L614" t="str">
            <v>0591792285</v>
          </cell>
          <cell r="M614" t="str">
            <v/>
          </cell>
          <cell r="N614" t="str">
            <v>المملكة العربية السعودية</v>
          </cell>
          <cell r="O614" t="str">
            <v>50001256</v>
          </cell>
          <cell r="P614" t="str">
            <v>طبيب بيطري</v>
          </cell>
          <cell r="Q614" t="str">
            <v>الدرجة 4</v>
          </cell>
          <cell r="R614" t="str">
            <v>Class A</v>
          </cell>
          <cell r="S614" t="str">
            <v>محجر الخمرة  (مكة المكرمة)</v>
          </cell>
          <cell r="T614" t="str">
            <v>خدمات المحجر</v>
          </cell>
          <cell r="U614" t="str">
            <v>الاذونات وخدمات المحاجر</v>
          </cell>
          <cell r="V614" t="str">
            <v>العمليات</v>
          </cell>
          <cell r="W614" t="str">
            <v>Makkah</v>
          </cell>
          <cell r="X614" t="str">
            <v xml:space="preserve">الفرع </v>
          </cell>
          <cell r="Y614">
            <v>45126</v>
          </cell>
          <cell r="Z614">
            <v>2.91</v>
          </cell>
          <cell r="AA614">
            <v>1064</v>
          </cell>
          <cell r="AB614" t="str">
            <v>نشط</v>
          </cell>
          <cell r="AC614" t="str">
            <v>100135</v>
          </cell>
          <cell r="AD614" t="str">
            <v>Abdulrahman Alzahrani</v>
          </cell>
          <cell r="AE614" t="str">
            <v>إعارة</v>
          </cell>
          <cell r="AF614" t="str">
            <v/>
          </cell>
          <cell r="AG614" t="str">
            <v/>
          </cell>
          <cell r="AH614" t="str">
            <v>طب بيطري</v>
          </cell>
          <cell r="AI614" t="str">
            <v>بكالوريوس</v>
          </cell>
          <cell r="AJ614">
            <v>3</v>
          </cell>
          <cell r="AK614">
            <v>0</v>
          </cell>
          <cell r="AL614">
            <v>1</v>
          </cell>
          <cell r="AM614">
            <v>2</v>
          </cell>
          <cell r="AN614" t="str">
            <v/>
          </cell>
          <cell r="AO614" t="str">
            <v>الاذونات وخدمات المحاجر</v>
          </cell>
          <cell r="AP614" t="str">
            <v>Saudi National Bank</v>
          </cell>
          <cell r="AQ614" t="str">
            <v>SA5710000033752447000105</v>
          </cell>
          <cell r="AR614">
            <v>11155</v>
          </cell>
          <cell r="AS614" t="str">
            <v/>
          </cell>
          <cell r="AT614">
            <v>415.5</v>
          </cell>
          <cell r="AU614">
            <v>2788.75</v>
          </cell>
          <cell r="AV614">
            <v>300</v>
          </cell>
        </row>
        <row r="615">
          <cell r="A615">
            <v>400436</v>
          </cell>
          <cell r="B615" t="str">
            <v>1073287409</v>
          </cell>
          <cell r="C615" t="str">
            <v>السيد</v>
          </cell>
          <cell r="D615" t="str">
            <v>Ahmad Mohammed Ibrahim Albarih</v>
          </cell>
          <cell r="E615" t="str">
            <v>أحمد محمد ابراهيم البريه</v>
          </cell>
          <cell r="F615" t="str">
            <v>Male</v>
          </cell>
          <cell r="G615" t="str">
            <v>متزوج</v>
          </cell>
          <cell r="H615">
            <v>33855</v>
          </cell>
          <cell r="I615">
            <v>34</v>
          </cell>
          <cell r="J615">
            <v>12335</v>
          </cell>
          <cell r="K615" t="str">
            <v>Ahmad.Albaraih@agriserv.sa</v>
          </cell>
          <cell r="L615" t="str">
            <v>0553836255</v>
          </cell>
          <cell r="M615" t="str">
            <v/>
          </cell>
          <cell r="N615" t="str">
            <v>المملكة العربية السعودية</v>
          </cell>
          <cell r="O615" t="str">
            <v>50001257</v>
          </cell>
          <cell r="P615" t="str">
            <v>طبيب بيطري</v>
          </cell>
          <cell r="Q615" t="str">
            <v>الدرجة 4</v>
          </cell>
          <cell r="R615" t="str">
            <v>Class A</v>
          </cell>
          <cell r="S615" t="str">
            <v>محجر سلوى  (الشرقية)</v>
          </cell>
          <cell r="T615" t="str">
            <v>خدمات المحجر</v>
          </cell>
          <cell r="U615" t="str">
            <v>الاذونات وخدمات المحاجر</v>
          </cell>
          <cell r="V615" t="str">
            <v>العمليات</v>
          </cell>
          <cell r="W615" t="str">
            <v>Ad-Dammam</v>
          </cell>
          <cell r="X615" t="str">
            <v xml:space="preserve">الفرع </v>
          </cell>
          <cell r="Y615">
            <v>45126</v>
          </cell>
          <cell r="Z615">
            <v>2.91</v>
          </cell>
          <cell r="AA615">
            <v>1064</v>
          </cell>
          <cell r="AB615" t="str">
            <v>نشط</v>
          </cell>
          <cell r="AC615" t="str">
            <v>400314</v>
          </cell>
          <cell r="AD615" t="str">
            <v>Mohammad Albatat</v>
          </cell>
          <cell r="AE615" t="str">
            <v>إعارة</v>
          </cell>
          <cell r="AF615" t="str">
            <v/>
          </cell>
          <cell r="AG615" t="str">
            <v/>
          </cell>
          <cell r="AH615" t="str">
            <v>طب بيطري</v>
          </cell>
          <cell r="AI615" t="str">
            <v>بكالوريوس</v>
          </cell>
          <cell r="AJ615">
            <v>3</v>
          </cell>
          <cell r="AK615">
            <v>2</v>
          </cell>
          <cell r="AL615">
            <v>1</v>
          </cell>
          <cell r="AM615">
            <v>0</v>
          </cell>
          <cell r="AN615" t="str">
            <v/>
          </cell>
          <cell r="AO615" t="str">
            <v>الاذونات وخدمات المحاجر</v>
          </cell>
          <cell r="AP615" t="str">
            <v>Al Rajhi Bank</v>
          </cell>
          <cell r="AQ615" t="str">
            <v>SA3480000557608010069562</v>
          </cell>
          <cell r="AR615">
            <v>9743</v>
          </cell>
          <cell r="AS615" t="str">
            <v/>
          </cell>
          <cell r="AT615">
            <v>474.3</v>
          </cell>
          <cell r="AU615">
            <v>2435.75</v>
          </cell>
          <cell r="AV615" t="str">
            <v/>
          </cell>
        </row>
        <row r="616">
          <cell r="A616">
            <v>400437</v>
          </cell>
          <cell r="B616" t="str">
            <v>1020210660</v>
          </cell>
          <cell r="C616" t="str">
            <v>السيد</v>
          </cell>
          <cell r="D616" t="str">
            <v>Mubark Saleh Jraibah Alsuairi</v>
          </cell>
          <cell r="E616" t="str">
            <v>مبارك صالح جريبه الصيعري</v>
          </cell>
          <cell r="F616" t="str">
            <v>Male</v>
          </cell>
          <cell r="G616" t="str">
            <v>متزوج</v>
          </cell>
          <cell r="H616">
            <v>27230</v>
          </cell>
          <cell r="I616">
            <v>52</v>
          </cell>
          <cell r="J616">
            <v>18960</v>
          </cell>
          <cell r="K616" t="str">
            <v>Mubarak.AlSayari@agriserv.sa</v>
          </cell>
          <cell r="L616" t="str">
            <v>0550277144</v>
          </cell>
          <cell r="M616" t="str">
            <v/>
          </cell>
          <cell r="N616" t="str">
            <v>المملكة العربية السعودية</v>
          </cell>
          <cell r="O616" t="str">
            <v>50001163</v>
          </cell>
          <cell r="P616" t="str">
            <v>فني زراعي</v>
          </cell>
          <cell r="Q616" t="str">
            <v>2A الدرجة</v>
          </cell>
          <cell r="R616" t="str">
            <v>Class A</v>
          </cell>
          <cell r="S616" t="str">
            <v>منفذ الوديعة  (نجران)</v>
          </cell>
          <cell r="T616" t="str">
            <v>خدمات المحجر</v>
          </cell>
          <cell r="U616" t="str">
            <v>الاذونات وخدمات المحاجر</v>
          </cell>
          <cell r="V616" t="str">
            <v>العمليات</v>
          </cell>
          <cell r="W616" t="str">
            <v>Najran</v>
          </cell>
          <cell r="X616" t="str">
            <v xml:space="preserve">الفرع </v>
          </cell>
          <cell r="Y616">
            <v>45126</v>
          </cell>
          <cell r="Z616">
            <v>2.91</v>
          </cell>
          <cell r="AA616">
            <v>1064</v>
          </cell>
          <cell r="AB616" t="str">
            <v>نشط</v>
          </cell>
          <cell r="AC616" t="str">
            <v>400258</v>
          </cell>
          <cell r="AD616" t="str">
            <v>Ibrahim Zebara</v>
          </cell>
          <cell r="AE616" t="str">
            <v>إعارة</v>
          </cell>
          <cell r="AF616" t="str">
            <v/>
          </cell>
          <cell r="AG616" t="str">
            <v/>
          </cell>
          <cell r="AH616" t="str">
            <v>انتاج نباتى</v>
          </cell>
          <cell r="AI616" t="str">
            <v>دبلوم</v>
          </cell>
          <cell r="AJ616">
            <v>2</v>
          </cell>
          <cell r="AK616">
            <v>0</v>
          </cell>
          <cell r="AL616">
            <v>1</v>
          </cell>
          <cell r="AM616">
            <v>1</v>
          </cell>
          <cell r="AN616" t="str">
            <v/>
          </cell>
          <cell r="AO616" t="str">
            <v>الاذونات وخدمات المحاجر</v>
          </cell>
          <cell r="AP616" t="str">
            <v>Al Rajhi Bank</v>
          </cell>
          <cell r="AQ616" t="str">
            <v>SA7380000241608010113081</v>
          </cell>
          <cell r="AR616">
            <v>13820</v>
          </cell>
          <cell r="AS616" t="str">
            <v/>
          </cell>
          <cell r="AT616">
            <v>100</v>
          </cell>
          <cell r="AU616">
            <v>3455</v>
          </cell>
          <cell r="AV616" t="str">
            <v/>
          </cell>
        </row>
        <row r="617">
          <cell r="A617">
            <v>400438</v>
          </cell>
          <cell r="B617" t="str">
            <v>1050388113</v>
          </cell>
          <cell r="C617" t="str">
            <v>السيد</v>
          </cell>
          <cell r="D617" t="str">
            <v>Ibrahem Ali Saleh Alswar</v>
          </cell>
          <cell r="E617" t="str">
            <v>ابراهيم علي صالح ال سوار</v>
          </cell>
          <cell r="F617" t="str">
            <v>Male</v>
          </cell>
          <cell r="G617" t="str">
            <v>متزوج</v>
          </cell>
          <cell r="H617">
            <v>29454</v>
          </cell>
          <cell r="I617">
            <v>46</v>
          </cell>
          <cell r="J617">
            <v>16736</v>
          </cell>
          <cell r="K617" t="str">
            <v>ibrahim.alsewar@agriserv.sa</v>
          </cell>
          <cell r="L617" t="str">
            <v>0503246141</v>
          </cell>
          <cell r="M617" t="str">
            <v/>
          </cell>
          <cell r="N617" t="str">
            <v>المملكة العربية السعودية</v>
          </cell>
          <cell r="O617" t="str">
            <v>50001258</v>
          </cell>
          <cell r="P617" t="str">
            <v>طبيب بيطري</v>
          </cell>
          <cell r="Q617" t="str">
            <v>الدرجة 4</v>
          </cell>
          <cell r="R617" t="str">
            <v>Class A</v>
          </cell>
          <cell r="S617" t="str">
            <v>منفذ الوديعة  (نجران)</v>
          </cell>
          <cell r="T617" t="str">
            <v>خدمات المحجر</v>
          </cell>
          <cell r="U617" t="str">
            <v>الاذونات وخدمات المحاجر</v>
          </cell>
          <cell r="V617" t="str">
            <v>العمليات</v>
          </cell>
          <cell r="W617" t="str">
            <v>Najran</v>
          </cell>
          <cell r="X617" t="str">
            <v xml:space="preserve">الفرع </v>
          </cell>
          <cell r="Y617">
            <v>45126</v>
          </cell>
          <cell r="Z617">
            <v>2.91</v>
          </cell>
          <cell r="AA617">
            <v>1064</v>
          </cell>
          <cell r="AB617" t="str">
            <v>نشط</v>
          </cell>
          <cell r="AC617" t="str">
            <v>400258</v>
          </cell>
          <cell r="AD617" t="str">
            <v>Ibrahim Zebara</v>
          </cell>
          <cell r="AE617" t="str">
            <v>إعارة</v>
          </cell>
          <cell r="AF617" t="str">
            <v/>
          </cell>
          <cell r="AG617" t="str">
            <v/>
          </cell>
          <cell r="AH617" t="str">
            <v>تشخيص معملي</v>
          </cell>
          <cell r="AI617" t="str">
            <v>ماجستير</v>
          </cell>
          <cell r="AJ617">
            <v>5</v>
          </cell>
          <cell r="AK617">
            <v>3</v>
          </cell>
          <cell r="AL617">
            <v>1</v>
          </cell>
          <cell r="AM617">
            <v>1</v>
          </cell>
          <cell r="AN617" t="str">
            <v/>
          </cell>
          <cell r="AO617" t="str">
            <v>الاذونات وخدمات المحاجر</v>
          </cell>
          <cell r="AP617" t="str">
            <v>Bank Al Jazirah</v>
          </cell>
          <cell r="AQ617" t="str">
            <v>SA0860000000830611342053</v>
          </cell>
          <cell r="AR617">
            <v>18705</v>
          </cell>
          <cell r="AS617" t="str">
            <v/>
          </cell>
          <cell r="AT617">
            <v>970.5</v>
          </cell>
          <cell r="AU617">
            <v>4676.25</v>
          </cell>
          <cell r="AV617" t="str">
            <v/>
          </cell>
        </row>
        <row r="618">
          <cell r="A618">
            <v>400439</v>
          </cell>
          <cell r="B618" t="str">
            <v>1043278025</v>
          </cell>
          <cell r="C618" t="str">
            <v>السيد</v>
          </cell>
          <cell r="D618" t="str">
            <v>Zaid Mohsen Yahya Aljarah</v>
          </cell>
          <cell r="E618" t="str">
            <v>زيد محسن يحيى آل جعرة</v>
          </cell>
          <cell r="F618" t="str">
            <v>Male</v>
          </cell>
          <cell r="G618" t="str">
            <v>متزوج</v>
          </cell>
          <cell r="H618">
            <v>26521</v>
          </cell>
          <cell r="I618">
            <v>54</v>
          </cell>
          <cell r="J618">
            <v>19669</v>
          </cell>
          <cell r="K618" t="str">
            <v>Zaid.Aljarah@agriserv.sa</v>
          </cell>
          <cell r="L618" t="str">
            <v>0502250833</v>
          </cell>
          <cell r="M618" t="str">
            <v/>
          </cell>
          <cell r="N618" t="str">
            <v>المملكة العربية السعودية</v>
          </cell>
          <cell r="O618" t="str">
            <v>50001147</v>
          </cell>
          <cell r="P618" t="str">
            <v>مهندس زراعي</v>
          </cell>
          <cell r="Q618" t="str">
            <v>الدرجة 3</v>
          </cell>
          <cell r="R618" t="str">
            <v>Class A</v>
          </cell>
          <cell r="S618" t="str">
            <v>منفذ الوديعة  (نجران)</v>
          </cell>
          <cell r="T618" t="str">
            <v>خدمات المحجر</v>
          </cell>
          <cell r="U618" t="str">
            <v>الاذونات وخدمات المحاجر</v>
          </cell>
          <cell r="V618" t="str">
            <v>العمليات</v>
          </cell>
          <cell r="W618" t="str">
            <v>Najran</v>
          </cell>
          <cell r="X618" t="str">
            <v xml:space="preserve">الفرع </v>
          </cell>
          <cell r="Y618">
            <v>45126</v>
          </cell>
          <cell r="Z618">
            <v>2.91</v>
          </cell>
          <cell r="AA618">
            <v>1064</v>
          </cell>
          <cell r="AB618" t="str">
            <v>نشط</v>
          </cell>
          <cell r="AC618" t="str">
            <v>400258</v>
          </cell>
          <cell r="AD618" t="str">
            <v>Ibrahim Zebara</v>
          </cell>
          <cell r="AE618" t="str">
            <v>إعارة</v>
          </cell>
          <cell r="AF618" t="str">
            <v/>
          </cell>
          <cell r="AG618" t="str">
            <v/>
          </cell>
          <cell r="AH618" t="str">
            <v>محاصيل حقليه</v>
          </cell>
          <cell r="AI618" t="str">
            <v>بكالوريوس</v>
          </cell>
          <cell r="AJ618">
            <v>5</v>
          </cell>
          <cell r="AK618">
            <v>4</v>
          </cell>
          <cell r="AL618">
            <v>1</v>
          </cell>
          <cell r="AM618">
            <v>0</v>
          </cell>
          <cell r="AN618" t="str">
            <v/>
          </cell>
          <cell r="AO618" t="str">
            <v>الاذونات وخدمات المحاجر</v>
          </cell>
          <cell r="AP618" t="str">
            <v>Saudi National Bank</v>
          </cell>
          <cell r="AQ618" t="str">
            <v>SA8010000042153458000104</v>
          </cell>
          <cell r="AR618">
            <v>17415</v>
          </cell>
          <cell r="AS618" t="str">
            <v/>
          </cell>
          <cell r="AT618">
            <v>1041.5</v>
          </cell>
          <cell r="AU618">
            <v>4353.75</v>
          </cell>
          <cell r="AV618" t="str">
            <v/>
          </cell>
        </row>
        <row r="619">
          <cell r="A619">
            <v>400440</v>
          </cell>
          <cell r="B619" t="str">
            <v>1012823108</v>
          </cell>
          <cell r="C619" t="str">
            <v>السيد</v>
          </cell>
          <cell r="D619" t="str">
            <v>Ahmad Yousef Ahmad Aldahmoosh</v>
          </cell>
          <cell r="E619" t="str">
            <v>احمد يوسف احمد الدهموش</v>
          </cell>
          <cell r="F619" t="str">
            <v>Male</v>
          </cell>
          <cell r="G619" t="str">
            <v>متزوج</v>
          </cell>
          <cell r="H619">
            <v>30120</v>
          </cell>
          <cell r="I619">
            <v>44</v>
          </cell>
          <cell r="J619">
            <v>16070</v>
          </cell>
          <cell r="K619" t="str">
            <v>Ahmad.Aldahmoosh@agriserv.sa</v>
          </cell>
          <cell r="L619" t="str">
            <v>0503906854</v>
          </cell>
          <cell r="M619" t="str">
            <v/>
          </cell>
          <cell r="N619" t="str">
            <v>المملكة العربية السعودية</v>
          </cell>
          <cell r="O619" t="str">
            <v>50001259</v>
          </cell>
          <cell r="P619" t="str">
            <v>طبيب بيطري</v>
          </cell>
          <cell r="Q619" t="str">
            <v>الدرجة 4</v>
          </cell>
          <cell r="R619" t="str">
            <v>Class A</v>
          </cell>
          <cell r="S619" t="str">
            <v>منفذ الوديعة  (نجران)</v>
          </cell>
          <cell r="T619" t="str">
            <v>خدمات المحجر</v>
          </cell>
          <cell r="U619" t="str">
            <v>الاذونات وخدمات المحاجر</v>
          </cell>
          <cell r="V619" t="str">
            <v>العمليات</v>
          </cell>
          <cell r="W619" t="str">
            <v>Najran</v>
          </cell>
          <cell r="X619" t="str">
            <v xml:space="preserve">الفرع </v>
          </cell>
          <cell r="Y619">
            <v>45126</v>
          </cell>
          <cell r="Z619">
            <v>2.91</v>
          </cell>
          <cell r="AA619">
            <v>1064</v>
          </cell>
          <cell r="AB619" t="str">
            <v>نشط</v>
          </cell>
          <cell r="AC619" t="str">
            <v>400258</v>
          </cell>
          <cell r="AD619" t="str">
            <v>Ibrahim Zebara</v>
          </cell>
          <cell r="AE619" t="str">
            <v>إعارة</v>
          </cell>
          <cell r="AF619" t="str">
            <v/>
          </cell>
          <cell r="AG619" t="str">
            <v/>
          </cell>
          <cell r="AH619" t="str">
            <v>ادويه</v>
          </cell>
          <cell r="AI619" t="str">
            <v>ماجستير</v>
          </cell>
          <cell r="AJ619">
            <v>8</v>
          </cell>
          <cell r="AK619">
            <v>5</v>
          </cell>
          <cell r="AL619">
            <v>1</v>
          </cell>
          <cell r="AM619">
            <v>2</v>
          </cell>
          <cell r="AN619" t="str">
            <v/>
          </cell>
          <cell r="AO619" t="str">
            <v>الاذونات وخدمات المحاجر</v>
          </cell>
          <cell r="AP619" t="str">
            <v>Riyad Bank</v>
          </cell>
          <cell r="AQ619" t="str">
            <v>SA5920000003045964379940</v>
          </cell>
          <cell r="AR619">
            <v>17415</v>
          </cell>
          <cell r="AS619" t="str">
            <v/>
          </cell>
          <cell r="AT619">
            <v>1041.5</v>
          </cell>
          <cell r="AU619">
            <v>4353.75</v>
          </cell>
          <cell r="AV619" t="str">
            <v/>
          </cell>
        </row>
        <row r="620">
          <cell r="A620">
            <v>400441</v>
          </cell>
          <cell r="B620" t="str">
            <v>1025650290</v>
          </cell>
          <cell r="C620" t="str">
            <v>السيد</v>
          </cell>
          <cell r="D620" t="str">
            <v>Naser Hmad Mohammad Alajbee</v>
          </cell>
          <cell r="E620" t="str">
            <v>ناصر حمد محمد العجبي</v>
          </cell>
          <cell r="F620" t="str">
            <v>Male</v>
          </cell>
          <cell r="G620" t="str">
            <v>متزوج</v>
          </cell>
          <cell r="H620">
            <v>28882</v>
          </cell>
          <cell r="I620">
            <v>47</v>
          </cell>
          <cell r="J620">
            <v>17308</v>
          </cell>
          <cell r="K620" t="str">
            <v>Nasser.AlAjbi@agriserv.sa</v>
          </cell>
          <cell r="L620" t="str">
            <v>0505873844</v>
          </cell>
          <cell r="M620" t="str">
            <v/>
          </cell>
          <cell r="N620" t="str">
            <v>المملكة العربية السعودية</v>
          </cell>
          <cell r="O620" t="str">
            <v>50001218</v>
          </cell>
          <cell r="P620" t="str">
            <v>فني مختبرات</v>
          </cell>
          <cell r="Q620" t="str">
            <v>2A الدرجة</v>
          </cell>
          <cell r="R620" t="str">
            <v>Class A</v>
          </cell>
          <cell r="S620" t="str">
            <v>منفذ الوديعة  (نجران)</v>
          </cell>
          <cell r="T620" t="str">
            <v>خدمات المحجر</v>
          </cell>
          <cell r="U620" t="str">
            <v>الاذونات وخدمات المحاجر</v>
          </cell>
          <cell r="V620" t="str">
            <v>العمليات</v>
          </cell>
          <cell r="W620" t="str">
            <v>Najran</v>
          </cell>
          <cell r="X620" t="str">
            <v xml:space="preserve">الفرع </v>
          </cell>
          <cell r="Y620">
            <v>45126</v>
          </cell>
          <cell r="Z620">
            <v>2.91</v>
          </cell>
          <cell r="AA620">
            <v>1064</v>
          </cell>
          <cell r="AB620" t="str">
            <v>نشط</v>
          </cell>
          <cell r="AC620" t="str">
            <v>400258</v>
          </cell>
          <cell r="AD620" t="str">
            <v>Ibrahim Zebara</v>
          </cell>
          <cell r="AE620" t="str">
            <v>إعارة</v>
          </cell>
          <cell r="AF620" t="str">
            <v/>
          </cell>
          <cell r="AG620" t="str">
            <v/>
          </cell>
          <cell r="AH620" t="str">
            <v>تقنيه المختبرات</v>
          </cell>
          <cell r="AI620" t="str">
            <v>دبلوم</v>
          </cell>
          <cell r="AJ620">
            <v>6</v>
          </cell>
          <cell r="AK620">
            <v>3</v>
          </cell>
          <cell r="AL620">
            <v>1</v>
          </cell>
          <cell r="AM620">
            <v>2</v>
          </cell>
          <cell r="AN620" t="str">
            <v/>
          </cell>
          <cell r="AO620" t="str">
            <v>الاذونات وخدمات المحاجر</v>
          </cell>
          <cell r="AP620" t="str">
            <v>Al Rajhi Bank</v>
          </cell>
          <cell r="AQ620" t="str">
            <v>SA2180000467608010074587</v>
          </cell>
          <cell r="AR620">
            <v>12565</v>
          </cell>
          <cell r="AS620" t="str">
            <v/>
          </cell>
          <cell r="AT620">
            <v>100</v>
          </cell>
          <cell r="AU620">
            <v>3141.25</v>
          </cell>
          <cell r="AV620" t="str">
            <v/>
          </cell>
        </row>
        <row r="621">
          <cell r="A621">
            <v>400442</v>
          </cell>
          <cell r="B621" t="str">
            <v>1022554826</v>
          </cell>
          <cell r="C621" t="str">
            <v>السيد</v>
          </cell>
          <cell r="D621" t="str">
            <v>Saleh Abdullah Saleh Alsulaiman</v>
          </cell>
          <cell r="E621" t="str">
            <v>صالح عبدالله صالح آل سليمان</v>
          </cell>
          <cell r="F621" t="str">
            <v>Male</v>
          </cell>
          <cell r="G621" t="str">
            <v>متزوج</v>
          </cell>
          <cell r="H621">
            <v>24945</v>
          </cell>
          <cell r="I621">
            <v>58</v>
          </cell>
          <cell r="J621">
            <v>21245</v>
          </cell>
          <cell r="K621" t="str">
            <v>Saleh.AlSuleiman@agriserv.sa</v>
          </cell>
          <cell r="L621" t="str">
            <v>0504562397</v>
          </cell>
          <cell r="M621" t="str">
            <v/>
          </cell>
          <cell r="N621" t="str">
            <v>المملكة العربية السعودية</v>
          </cell>
          <cell r="O621" t="str">
            <v>50001190</v>
          </cell>
          <cell r="P621" t="str">
            <v>طبيب بيطري مساعد</v>
          </cell>
          <cell r="Q621" t="str">
            <v>2B الدرجة</v>
          </cell>
          <cell r="R621" t="str">
            <v>Class A</v>
          </cell>
          <cell r="S621" t="str">
            <v>منفذ الوديعة  (نجران)</v>
          </cell>
          <cell r="T621" t="str">
            <v>خدمات المحجر</v>
          </cell>
          <cell r="U621" t="str">
            <v>الاذونات وخدمات المحاجر</v>
          </cell>
          <cell r="V621" t="str">
            <v>العمليات</v>
          </cell>
          <cell r="W621" t="str">
            <v>Najran</v>
          </cell>
          <cell r="X621" t="str">
            <v xml:space="preserve">الفرع </v>
          </cell>
          <cell r="Y621">
            <v>45126</v>
          </cell>
          <cell r="Z621">
            <v>2.91</v>
          </cell>
          <cell r="AA621">
            <v>1064</v>
          </cell>
          <cell r="AB621" t="str">
            <v>نشط</v>
          </cell>
          <cell r="AC621" t="str">
            <v>400258</v>
          </cell>
          <cell r="AD621" t="str">
            <v>Ibrahim Zebara</v>
          </cell>
          <cell r="AE621" t="str">
            <v>إعارة</v>
          </cell>
          <cell r="AF621" t="str">
            <v/>
          </cell>
          <cell r="AG621" t="str">
            <v/>
          </cell>
          <cell r="AH621" t="str">
            <v>طب بيطري</v>
          </cell>
          <cell r="AI621" t="str">
            <v>دبلوم</v>
          </cell>
          <cell r="AJ621">
            <v>5</v>
          </cell>
          <cell r="AK621">
            <v>4</v>
          </cell>
          <cell r="AL621">
            <v>1</v>
          </cell>
          <cell r="AM621">
            <v>0</v>
          </cell>
          <cell r="AN621" t="str">
            <v/>
          </cell>
          <cell r="AO621" t="str">
            <v>الاذونات وخدمات المحاجر</v>
          </cell>
          <cell r="AP621" t="str">
            <v>Saudi National Bank</v>
          </cell>
          <cell r="AQ621" t="str">
            <v>SA0510000044049804000107</v>
          </cell>
          <cell r="AR621">
            <v>15855</v>
          </cell>
          <cell r="AS621" t="str">
            <v/>
          </cell>
          <cell r="AT621">
            <v>100</v>
          </cell>
          <cell r="AU621">
            <v>3963.75</v>
          </cell>
          <cell r="AV621" t="str">
            <v/>
          </cell>
        </row>
        <row r="622">
          <cell r="A622">
            <v>400443</v>
          </cell>
          <cell r="B622" t="str">
            <v>1018745396</v>
          </cell>
          <cell r="C622" t="str">
            <v>السيد</v>
          </cell>
          <cell r="D622" t="str">
            <v>Aqeel Abdullah Saleh Shabib</v>
          </cell>
          <cell r="E622" t="str">
            <v>عقيل عبدالله صالح شبيب</v>
          </cell>
          <cell r="F622" t="str">
            <v>Male</v>
          </cell>
          <cell r="G622" t="str">
            <v>متزوج</v>
          </cell>
          <cell r="H622">
            <v>29985</v>
          </cell>
          <cell r="I622">
            <v>44</v>
          </cell>
          <cell r="J622">
            <v>16205</v>
          </cell>
          <cell r="K622" t="str">
            <v>Aqeel.Shabib@agriserv.sa</v>
          </cell>
          <cell r="L622" t="str">
            <v>0504939194</v>
          </cell>
          <cell r="M622" t="str">
            <v>3208</v>
          </cell>
          <cell r="N622" t="str">
            <v>المملكة العربية السعودية</v>
          </cell>
          <cell r="O622" t="str">
            <v>50000574</v>
          </cell>
          <cell r="P622" t="str">
            <v>مساعد مشرف العيادات البيطرية</v>
          </cell>
          <cell r="Q622" t="str">
            <v>الدرجة 7</v>
          </cell>
          <cell r="R622" t="str">
            <v>Class A</v>
          </cell>
          <cell r="S622" t="str">
            <v/>
          </cell>
          <cell r="T622" t="str">
            <v>العيادات البيطرية</v>
          </cell>
          <cell r="U622" t="str">
            <v>الخدمات البيطرية</v>
          </cell>
          <cell r="V622" t="str">
            <v>العمليات</v>
          </cell>
          <cell r="W622" t="str">
            <v>Al Riyadh</v>
          </cell>
          <cell r="X622" t="str">
            <v xml:space="preserve">المقر الرئيسي </v>
          </cell>
          <cell r="Y622">
            <v>45404</v>
          </cell>
          <cell r="Z622">
            <v>2.15</v>
          </cell>
          <cell r="AA622">
            <v>786</v>
          </cell>
          <cell r="AB622" t="str">
            <v>نشط</v>
          </cell>
          <cell r="AC622" t="str">
            <v>100188</v>
          </cell>
          <cell r="AD622" t="str">
            <v>Abdulmalik Alrothea</v>
          </cell>
          <cell r="AE622" t="str">
            <v>إعارة</v>
          </cell>
          <cell r="AF622" t="str">
            <v/>
          </cell>
          <cell r="AG622" t="str">
            <v/>
          </cell>
          <cell r="AH622" t="str">
            <v>طب بيطري</v>
          </cell>
          <cell r="AI622" t="str">
            <v>بكالوريوس</v>
          </cell>
          <cell r="AJ622">
            <v>8</v>
          </cell>
          <cell r="AK622">
            <v>6</v>
          </cell>
          <cell r="AL622">
            <v>1</v>
          </cell>
          <cell r="AM622">
            <v>1</v>
          </cell>
          <cell r="AN622" t="str">
            <v/>
          </cell>
          <cell r="AO622" t="str">
            <v>الخدمات البيطرية</v>
          </cell>
          <cell r="AP622" t="str">
            <v>Riyad Bank</v>
          </cell>
          <cell r="AQ622" t="str">
            <v xml:space="preserve">SA8120000003050415269940
</v>
          </cell>
          <cell r="AR622">
            <v>14865</v>
          </cell>
          <cell r="AS622" t="str">
            <v/>
          </cell>
          <cell r="AT622">
            <v>786.5</v>
          </cell>
          <cell r="AU622">
            <v>3716.25</v>
          </cell>
          <cell r="AV622" t="str">
            <v/>
          </cell>
        </row>
        <row r="623">
          <cell r="A623">
            <v>400444</v>
          </cell>
          <cell r="B623" t="str">
            <v>1020007280</v>
          </cell>
          <cell r="C623" t="str">
            <v>السيد</v>
          </cell>
          <cell r="D623" t="str">
            <v>Ahmed Khalifa Abdullah Al Jaber</v>
          </cell>
          <cell r="E623" t="str">
            <v>احمد خليفة عبدالله الجابر</v>
          </cell>
          <cell r="F623" t="str">
            <v>Male</v>
          </cell>
          <cell r="G623" t="str">
            <v>متزوج</v>
          </cell>
          <cell r="H623">
            <v>30477</v>
          </cell>
          <cell r="I623">
            <v>43</v>
          </cell>
          <cell r="J623">
            <v>15713</v>
          </cell>
          <cell r="K623" t="str">
            <v>Ahmed.Aljaber@agriserv.sa</v>
          </cell>
          <cell r="L623" t="str">
            <v>0503913605</v>
          </cell>
          <cell r="M623" t="str">
            <v>3209</v>
          </cell>
          <cell r="N623" t="str">
            <v>المملكة العربية السعودية</v>
          </cell>
          <cell r="O623" t="str">
            <v>50001340</v>
          </cell>
          <cell r="P623" t="str">
            <v>طبيب بيطري</v>
          </cell>
          <cell r="Q623" t="str">
            <v>الدرجة 4</v>
          </cell>
          <cell r="R623" t="str">
            <v>Class A</v>
          </cell>
          <cell r="S623" t="str">
            <v/>
          </cell>
          <cell r="T623" t="str">
            <v>العيادات البيطرية</v>
          </cell>
          <cell r="U623" t="str">
            <v>الخدمات البيطرية</v>
          </cell>
          <cell r="V623" t="str">
            <v>العمليات</v>
          </cell>
          <cell r="W623" t="str">
            <v>Al Riyadh</v>
          </cell>
          <cell r="X623" t="str">
            <v xml:space="preserve">المقر الرئيسي </v>
          </cell>
          <cell r="Y623">
            <v>45404</v>
          </cell>
          <cell r="Z623">
            <v>2.15</v>
          </cell>
          <cell r="AA623">
            <v>786</v>
          </cell>
          <cell r="AB623" t="str">
            <v>نشط</v>
          </cell>
          <cell r="AC623" t="str">
            <v>100188</v>
          </cell>
          <cell r="AD623" t="str">
            <v>Abdulmalik Alrothea</v>
          </cell>
          <cell r="AE623" t="str">
            <v>إعارة</v>
          </cell>
          <cell r="AF623" t="str">
            <v/>
          </cell>
          <cell r="AG623" t="str">
            <v/>
          </cell>
          <cell r="AH623" t="str">
            <v>طب بيطري</v>
          </cell>
          <cell r="AI623" t="str">
            <v>بكالوريوس</v>
          </cell>
          <cell r="AJ623">
            <v>5</v>
          </cell>
          <cell r="AK623">
            <v>2</v>
          </cell>
          <cell r="AL623">
            <v>1</v>
          </cell>
          <cell r="AM623">
            <v>2</v>
          </cell>
          <cell r="AN623" t="str">
            <v/>
          </cell>
          <cell r="AO623" t="str">
            <v>الخدمات البيطرية</v>
          </cell>
          <cell r="AP623" t="str">
            <v>Riyad Bank</v>
          </cell>
          <cell r="AQ623" t="str">
            <v>SA6220000003400895079940</v>
          </cell>
          <cell r="AR623">
            <v>12565</v>
          </cell>
          <cell r="AS623" t="str">
            <v/>
          </cell>
          <cell r="AT623">
            <v>556.5</v>
          </cell>
          <cell r="AU623">
            <v>3141.25</v>
          </cell>
          <cell r="AV623" t="str">
            <v/>
          </cell>
        </row>
        <row r="624">
          <cell r="A624">
            <v>400445</v>
          </cell>
          <cell r="B624" t="str">
            <v>1046748164</v>
          </cell>
          <cell r="C624" t="str">
            <v>السيد</v>
          </cell>
          <cell r="D624" t="str">
            <v>Hamed Turki Salem Al Harbi</v>
          </cell>
          <cell r="E624" t="str">
            <v>حامد تركي سالم الحربي</v>
          </cell>
          <cell r="F624" t="str">
            <v>Male</v>
          </cell>
          <cell r="G624" t="str">
            <v/>
          </cell>
          <cell r="H624">
            <v>29467</v>
          </cell>
          <cell r="I624">
            <v>46</v>
          </cell>
          <cell r="J624">
            <v>16723</v>
          </cell>
          <cell r="K624" t="str">
            <v/>
          </cell>
          <cell r="L624" t="str">
            <v/>
          </cell>
          <cell r="M624" t="str">
            <v/>
          </cell>
          <cell r="N624" t="str">
            <v>المملكة العربية السعودية</v>
          </cell>
          <cell r="O624" t="str">
            <v>50001255</v>
          </cell>
          <cell r="P624" t="str">
            <v>طبيب بيطري</v>
          </cell>
          <cell r="Q624" t="str">
            <v>الدرجة 4</v>
          </cell>
          <cell r="R624" t="str">
            <v/>
          </cell>
          <cell r="S624" t="str">
            <v>محجر الخمرة  (مكة المكرمة)</v>
          </cell>
          <cell r="T624" t="str">
            <v>خدمات المحجر</v>
          </cell>
          <cell r="U624" t="str">
            <v>الاذونات وخدمات المحاجر</v>
          </cell>
          <cell r="V624" t="str">
            <v>العمليات</v>
          </cell>
          <cell r="W624" t="str">
            <v>Makkah</v>
          </cell>
          <cell r="X624" t="str">
            <v xml:space="preserve">الفرع </v>
          </cell>
          <cell r="Y624">
            <v>45403</v>
          </cell>
          <cell r="Z624">
            <v>2.15</v>
          </cell>
          <cell r="AA624">
            <v>787</v>
          </cell>
          <cell r="AB624" t="str">
            <v>غير نشط</v>
          </cell>
          <cell r="AC624" t="str">
            <v>400158</v>
          </cell>
          <cell r="AD624" t="str">
            <v>Abdulrahman Alzahrani</v>
          </cell>
          <cell r="AE624" t="str">
            <v>إعارة</v>
          </cell>
          <cell r="AF624">
            <v>45441</v>
          </cell>
          <cell r="AG624" t="str">
            <v/>
          </cell>
          <cell r="AH624" t="str">
            <v/>
          </cell>
          <cell r="AI624" t="str">
            <v/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 t="str">
            <v/>
          </cell>
          <cell r="AO624" t="str">
            <v>Livestock Extension &amp; Protection</v>
          </cell>
          <cell r="AP624" t="str">
            <v>Inma Bank</v>
          </cell>
          <cell r="AQ624" t="str">
            <v>SA5005000068201702343000</v>
          </cell>
          <cell r="AR624">
            <v>17645</v>
          </cell>
          <cell r="AS624" t="str">
            <v/>
          </cell>
          <cell r="AT624">
            <v>864.5</v>
          </cell>
          <cell r="AU624">
            <v>4411.25</v>
          </cell>
          <cell r="AV624" t="str">
            <v/>
          </cell>
        </row>
        <row r="625">
          <cell r="A625">
            <v>400446</v>
          </cell>
          <cell r="B625" t="str">
            <v>1055271181</v>
          </cell>
          <cell r="C625" t="str">
            <v>السيد</v>
          </cell>
          <cell r="D625" t="str">
            <v>Ibrahim Atiyah Mohammed Al Daoudi</v>
          </cell>
          <cell r="E625" t="str">
            <v>ابراهيم عطية محمد الداوادي</v>
          </cell>
          <cell r="F625" t="str">
            <v>Male</v>
          </cell>
          <cell r="G625" t="str">
            <v>متزوج</v>
          </cell>
          <cell r="H625">
            <v>32120</v>
          </cell>
          <cell r="I625">
            <v>39</v>
          </cell>
          <cell r="J625">
            <v>14070</v>
          </cell>
          <cell r="K625" t="str">
            <v>Ibrahim.Aldawudi@agriserv.sa</v>
          </cell>
          <cell r="L625" t="str">
            <v>0555300140</v>
          </cell>
          <cell r="M625" t="str">
            <v/>
          </cell>
          <cell r="N625" t="str">
            <v>المملكة العربية السعودية</v>
          </cell>
          <cell r="O625" t="str">
            <v>50001245</v>
          </cell>
          <cell r="P625" t="str">
            <v>طبيب بيطري</v>
          </cell>
          <cell r="Q625" t="str">
            <v>الدرجة 4</v>
          </cell>
          <cell r="R625" t="str">
            <v>Class A</v>
          </cell>
          <cell r="S625" t="str">
            <v>محجر الخمرة  (مكة المكرمة)</v>
          </cell>
          <cell r="T625" t="str">
            <v>خدمات المحجر</v>
          </cell>
          <cell r="U625" t="str">
            <v>الاذونات وخدمات المحاجر</v>
          </cell>
          <cell r="V625" t="str">
            <v>العمليات</v>
          </cell>
          <cell r="W625" t="str">
            <v>Makkah</v>
          </cell>
          <cell r="X625" t="str">
            <v xml:space="preserve">الفرع </v>
          </cell>
          <cell r="Y625">
            <v>45403</v>
          </cell>
          <cell r="Z625">
            <v>2.15</v>
          </cell>
          <cell r="AA625">
            <v>787</v>
          </cell>
          <cell r="AB625" t="str">
            <v>نشط</v>
          </cell>
          <cell r="AC625" t="str">
            <v>400435</v>
          </cell>
          <cell r="AD625" t="str">
            <v>Ali Alhajuj</v>
          </cell>
          <cell r="AE625" t="str">
            <v>إعارة</v>
          </cell>
          <cell r="AF625" t="str">
            <v/>
          </cell>
          <cell r="AG625" t="str">
            <v/>
          </cell>
          <cell r="AH625" t="str">
            <v>طب بيطري</v>
          </cell>
          <cell r="AI625" t="str">
            <v>بكالوريوس</v>
          </cell>
          <cell r="AJ625">
            <v>4</v>
          </cell>
          <cell r="AK625">
            <v>1</v>
          </cell>
          <cell r="AL625">
            <v>1</v>
          </cell>
          <cell r="AM625">
            <v>2</v>
          </cell>
          <cell r="AN625" t="str">
            <v/>
          </cell>
          <cell r="AO625" t="str">
            <v>الاذونات وخدمات المحاجر</v>
          </cell>
          <cell r="AP625" t="str">
            <v>Saudi National Bank</v>
          </cell>
          <cell r="AQ625" t="str">
            <v>SA9310000083500000275905</v>
          </cell>
          <cell r="AR625">
            <v>10125</v>
          </cell>
          <cell r="AS625" t="str">
            <v/>
          </cell>
          <cell r="AT625">
            <v>512.5</v>
          </cell>
          <cell r="AU625">
            <v>2531.25</v>
          </cell>
          <cell r="AV625">
            <v>300</v>
          </cell>
        </row>
        <row r="626">
          <cell r="A626">
            <v>400447</v>
          </cell>
          <cell r="B626" t="str">
            <v>1082330349</v>
          </cell>
          <cell r="C626" t="str">
            <v>السيد</v>
          </cell>
          <cell r="D626" t="str">
            <v>Ali Habib Ali Al Nakhli</v>
          </cell>
          <cell r="E626" t="str">
            <v>علي حبيب علي النخلي</v>
          </cell>
          <cell r="F626" t="str">
            <v>Male</v>
          </cell>
          <cell r="G626" t="str">
            <v>متزوج</v>
          </cell>
          <cell r="H626">
            <v>34151</v>
          </cell>
          <cell r="I626">
            <v>33</v>
          </cell>
          <cell r="J626">
            <v>12039</v>
          </cell>
          <cell r="K626" t="str">
            <v>Ali.Alnakhlei@agriserv.sa</v>
          </cell>
          <cell r="L626" t="str">
            <v>0550010155</v>
          </cell>
          <cell r="M626" t="str">
            <v/>
          </cell>
          <cell r="N626" t="str">
            <v>المملكة العربية السعودية</v>
          </cell>
          <cell r="O626" t="str">
            <v>50001310</v>
          </cell>
          <cell r="P626" t="str">
            <v>طبيب بيطري</v>
          </cell>
          <cell r="Q626" t="str">
            <v>الدرجة 4</v>
          </cell>
          <cell r="R626" t="str">
            <v>Class A</v>
          </cell>
          <cell r="S626" t="str">
            <v>محجر مطار جدة  (مكة المكرمة)</v>
          </cell>
          <cell r="T626" t="str">
            <v>خدمات المحجر</v>
          </cell>
          <cell r="U626" t="str">
            <v>الاذونات وخدمات المحاجر</v>
          </cell>
          <cell r="V626" t="str">
            <v>العمليات</v>
          </cell>
          <cell r="W626" t="str">
            <v>Makkah</v>
          </cell>
          <cell r="X626" t="str">
            <v xml:space="preserve">الفرع </v>
          </cell>
          <cell r="Y626">
            <v>45403</v>
          </cell>
          <cell r="Z626">
            <v>2.15</v>
          </cell>
          <cell r="AA626">
            <v>787</v>
          </cell>
          <cell r="AB626" t="str">
            <v>نشط</v>
          </cell>
          <cell r="AC626" t="str">
            <v>400273</v>
          </cell>
          <cell r="AD626" t="str">
            <v>Yahya Alzahrani</v>
          </cell>
          <cell r="AE626" t="str">
            <v>إعارة</v>
          </cell>
          <cell r="AF626" t="str">
            <v/>
          </cell>
          <cell r="AG626" t="str">
            <v/>
          </cell>
          <cell r="AH626" t="str">
            <v>طب بيطري</v>
          </cell>
          <cell r="AI626" t="str">
            <v>بكالوريوس</v>
          </cell>
          <cell r="AJ626">
            <v>6</v>
          </cell>
          <cell r="AK626">
            <v>3</v>
          </cell>
          <cell r="AL626">
            <v>1</v>
          </cell>
          <cell r="AM626">
            <v>2</v>
          </cell>
          <cell r="AN626" t="str">
            <v/>
          </cell>
          <cell r="AO626" t="str">
            <v>الاذونات وخدمات المحاجر</v>
          </cell>
          <cell r="AP626" t="str">
            <v>Al Rajhi Bank</v>
          </cell>
          <cell r="AQ626" t="str">
            <v>SA2380000198608010294611</v>
          </cell>
          <cell r="AR626">
            <v>9837</v>
          </cell>
          <cell r="AS626" t="str">
            <v/>
          </cell>
          <cell r="AT626">
            <v>483.7</v>
          </cell>
          <cell r="AU626">
            <v>2459.25</v>
          </cell>
          <cell r="AV626" t="str">
            <v/>
          </cell>
        </row>
        <row r="627">
          <cell r="A627">
            <v>400448</v>
          </cell>
          <cell r="B627" t="str">
            <v>1075627321</v>
          </cell>
          <cell r="C627" t="str">
            <v>السيد</v>
          </cell>
          <cell r="D627" t="str">
            <v>Tariq Abdulaziz Suliman Al Aboudi</v>
          </cell>
          <cell r="E627" t="str">
            <v>طارق عبدالعزيز سليمان العبودي</v>
          </cell>
          <cell r="F627" t="str">
            <v>Male</v>
          </cell>
          <cell r="G627" t="str">
            <v>أعزب</v>
          </cell>
          <cell r="H627">
            <v>34028</v>
          </cell>
          <cell r="I627">
            <v>33</v>
          </cell>
          <cell r="J627">
            <v>12162</v>
          </cell>
          <cell r="K627" t="str">
            <v>Tareq.Alaboodi@agriserv.sa</v>
          </cell>
          <cell r="L627" t="str">
            <v>0551237754</v>
          </cell>
          <cell r="M627" t="str">
            <v/>
          </cell>
          <cell r="N627" t="str">
            <v>المملكة العربية السعودية</v>
          </cell>
          <cell r="O627" t="str">
            <v>50001136</v>
          </cell>
          <cell r="P627" t="str">
            <v>فني زراعي</v>
          </cell>
          <cell r="Q627" t="str">
            <v>2A الدرجة</v>
          </cell>
          <cell r="R627" t="str">
            <v>Class A</v>
          </cell>
          <cell r="S627" t="str">
            <v>محجر الخمرة  (مكة المكرمة)</v>
          </cell>
          <cell r="T627" t="str">
            <v>خدمات المحجر</v>
          </cell>
          <cell r="U627" t="str">
            <v>الاذونات وخدمات المحاجر</v>
          </cell>
          <cell r="V627" t="str">
            <v>العمليات</v>
          </cell>
          <cell r="W627" t="str">
            <v>Makkah</v>
          </cell>
          <cell r="X627" t="str">
            <v xml:space="preserve">الفرع </v>
          </cell>
          <cell r="Y627">
            <v>45403</v>
          </cell>
          <cell r="Z627">
            <v>2.15</v>
          </cell>
          <cell r="AA627">
            <v>787</v>
          </cell>
          <cell r="AB627" t="str">
            <v>نشط</v>
          </cell>
          <cell r="AC627" t="str">
            <v>400435</v>
          </cell>
          <cell r="AD627" t="str">
            <v>Ali Alhajuj</v>
          </cell>
          <cell r="AE627" t="str">
            <v>إعارة</v>
          </cell>
          <cell r="AF627" t="str">
            <v/>
          </cell>
          <cell r="AG627" t="str">
            <v/>
          </cell>
          <cell r="AH627" t="str">
            <v>انتاج حيواني</v>
          </cell>
          <cell r="AI627" t="str">
            <v>بكالوريوس</v>
          </cell>
          <cell r="AJ627">
            <v>2</v>
          </cell>
          <cell r="AK627">
            <v>0</v>
          </cell>
          <cell r="AL627">
            <v>0</v>
          </cell>
          <cell r="AM627">
            <v>2</v>
          </cell>
          <cell r="AN627" t="str">
            <v/>
          </cell>
          <cell r="AO627" t="str">
            <v>الاذونات وخدمات المحاجر</v>
          </cell>
          <cell r="AP627" t="str">
            <v>Al Rajhi Bank</v>
          </cell>
          <cell r="AQ627" t="str">
            <v>SA1380000407608010454576</v>
          </cell>
          <cell r="AR627">
            <v>8440</v>
          </cell>
          <cell r="AS627" t="str">
            <v/>
          </cell>
          <cell r="AT627">
            <v>300</v>
          </cell>
          <cell r="AU627">
            <v>2110</v>
          </cell>
          <cell r="AV627">
            <v>100</v>
          </cell>
        </row>
        <row r="628">
          <cell r="A628">
            <v>400449</v>
          </cell>
          <cell r="B628" t="str">
            <v>1062394497</v>
          </cell>
          <cell r="C628" t="str">
            <v>السيد</v>
          </cell>
          <cell r="D628" t="str">
            <v>bassim Abdullah Ali Al Rakaf</v>
          </cell>
          <cell r="E628" t="str">
            <v>باسم عبدالله علي الركف</v>
          </cell>
          <cell r="F628" t="str">
            <v>Male</v>
          </cell>
          <cell r="G628" t="str">
            <v>متزوج</v>
          </cell>
          <cell r="H628">
            <v>29460</v>
          </cell>
          <cell r="I628">
            <v>46</v>
          </cell>
          <cell r="J628">
            <v>16730</v>
          </cell>
          <cell r="K628" t="str">
            <v>Bassim.Alrakaf@agriserv.sa</v>
          </cell>
          <cell r="L628" t="str">
            <v>0506396678</v>
          </cell>
          <cell r="M628" t="str">
            <v>3312</v>
          </cell>
          <cell r="N628" t="str">
            <v>المملكة العربية السعودية</v>
          </cell>
          <cell r="O628" t="str">
            <v>50000065</v>
          </cell>
          <cell r="P628" t="str">
            <v>مهندس زراعي</v>
          </cell>
          <cell r="Q628" t="str">
            <v>الدرجة 3</v>
          </cell>
          <cell r="R628" t="str">
            <v>Class A</v>
          </cell>
          <cell r="S628" t="str">
            <v/>
          </cell>
          <cell r="T628" t="str">
            <v>خدمات المحجر</v>
          </cell>
          <cell r="U628" t="str">
            <v>الاذونات وخدمات المحاجر</v>
          </cell>
          <cell r="V628" t="str">
            <v>العمليات</v>
          </cell>
          <cell r="W628" t="str">
            <v>Al Riyadh</v>
          </cell>
          <cell r="X628" t="str">
            <v xml:space="preserve">المقر الرئيسي </v>
          </cell>
          <cell r="Y628">
            <v>45403</v>
          </cell>
          <cell r="Z628">
            <v>2.15</v>
          </cell>
          <cell r="AA628">
            <v>787</v>
          </cell>
          <cell r="AB628" t="str">
            <v>نشط</v>
          </cell>
          <cell r="AC628" t="str">
            <v>100135</v>
          </cell>
          <cell r="AD628" t="str">
            <v>Abdulrahman Alzahrani</v>
          </cell>
          <cell r="AE628" t="str">
            <v>إعارة</v>
          </cell>
          <cell r="AF628" t="str">
            <v/>
          </cell>
          <cell r="AG628" t="str">
            <v/>
          </cell>
          <cell r="AH628" t="str">
            <v>وقاية مزروعات</v>
          </cell>
          <cell r="AI628" t="str">
            <v>بكالوريوس</v>
          </cell>
          <cell r="AJ628">
            <v>4</v>
          </cell>
          <cell r="AK628">
            <v>3</v>
          </cell>
          <cell r="AL628">
            <v>1</v>
          </cell>
          <cell r="AM628">
            <v>0</v>
          </cell>
          <cell r="AN628" t="str">
            <v/>
          </cell>
          <cell r="AO628" t="str">
            <v>الاذونات وخدمات المحاجر</v>
          </cell>
          <cell r="AP628" t="str">
            <v>Saudi National Bank</v>
          </cell>
          <cell r="AQ628" t="str">
            <v>SA3210000041448221000103</v>
          </cell>
          <cell r="AR628">
            <v>16395</v>
          </cell>
          <cell r="AS628" t="str">
            <v/>
          </cell>
          <cell r="AT628">
            <v>939.5</v>
          </cell>
          <cell r="AU628">
            <v>4098.75</v>
          </cell>
          <cell r="AV628" t="str">
            <v/>
          </cell>
        </row>
        <row r="629">
          <cell r="A629">
            <v>400450</v>
          </cell>
          <cell r="B629" t="str">
            <v>1040439737</v>
          </cell>
          <cell r="C629" t="str">
            <v>السيد</v>
          </cell>
          <cell r="D629" t="str">
            <v>Abdulrahman Jasser Naif Al Dosari</v>
          </cell>
          <cell r="E629" t="str">
            <v>عبدالرحمن جاسر نايف الدوسري</v>
          </cell>
          <cell r="F629" t="str">
            <v>Male</v>
          </cell>
          <cell r="G629" t="str">
            <v>متزوج</v>
          </cell>
          <cell r="H629">
            <v>28809</v>
          </cell>
          <cell r="I629">
            <v>48</v>
          </cell>
          <cell r="J629">
            <v>17381</v>
          </cell>
          <cell r="K629" t="str">
            <v>Abdulrahman.Aldossari@agriserv.sa</v>
          </cell>
          <cell r="L629" t="str">
            <v>0551112269</v>
          </cell>
          <cell r="M629" t="str">
            <v/>
          </cell>
          <cell r="N629" t="str">
            <v>المملكة العربية السعودية</v>
          </cell>
          <cell r="O629" t="str">
            <v>50000480</v>
          </cell>
          <cell r="P629" t="str">
            <v>موظف دعم إداري</v>
          </cell>
          <cell r="Q629" t="str">
            <v>2A الدرجة</v>
          </cell>
          <cell r="R629" t="str">
            <v>Class A</v>
          </cell>
          <cell r="S629" t="str">
            <v>محجر الرقعي  (الشرقية)</v>
          </cell>
          <cell r="T629" t="str">
            <v>خدمات المحجر</v>
          </cell>
          <cell r="U629" t="str">
            <v>الاذونات وخدمات المحاجر</v>
          </cell>
          <cell r="V629" t="str">
            <v>العمليات</v>
          </cell>
          <cell r="W629" t="str">
            <v>Ad-Dammam</v>
          </cell>
          <cell r="X629" t="str">
            <v xml:space="preserve">الفرع </v>
          </cell>
          <cell r="Y629">
            <v>45403</v>
          </cell>
          <cell r="Z629">
            <v>2.15</v>
          </cell>
          <cell r="AA629">
            <v>787</v>
          </cell>
          <cell r="AB629" t="str">
            <v>نشط</v>
          </cell>
          <cell r="AC629" t="str">
            <v>400266</v>
          </cell>
          <cell r="AD629" t="str">
            <v>Faisel Almutairii</v>
          </cell>
          <cell r="AE629" t="str">
            <v>إعارة</v>
          </cell>
          <cell r="AF629" t="str">
            <v/>
          </cell>
          <cell r="AG629" t="str">
            <v/>
          </cell>
          <cell r="AH629" t="str">
            <v>إدارة الأعمال</v>
          </cell>
          <cell r="AI629" t="str">
            <v>دبلوم</v>
          </cell>
          <cell r="AJ629">
            <v>6</v>
          </cell>
          <cell r="AK629">
            <v>5</v>
          </cell>
          <cell r="AL629">
            <v>1</v>
          </cell>
          <cell r="AM629">
            <v>0</v>
          </cell>
          <cell r="AN629" t="str">
            <v/>
          </cell>
          <cell r="AO629" t="str">
            <v>الاذونات وخدمات المحاجر</v>
          </cell>
          <cell r="AP629" t="str">
            <v>Al Rajhi Bank</v>
          </cell>
          <cell r="AQ629" t="str">
            <v>SA2980000406608010094662</v>
          </cell>
          <cell r="AR629">
            <v>11330</v>
          </cell>
          <cell r="AS629" t="str">
            <v/>
          </cell>
          <cell r="AT629">
            <v>100</v>
          </cell>
          <cell r="AU629">
            <v>2832.5</v>
          </cell>
          <cell r="AV629" t="str">
            <v/>
          </cell>
        </row>
        <row r="630">
          <cell r="A630">
            <v>400451</v>
          </cell>
          <cell r="B630" t="str">
            <v>1048335507</v>
          </cell>
          <cell r="C630" t="str">
            <v>السيد</v>
          </cell>
          <cell r="D630" t="str">
            <v>Sulaiman Yahya Ali Adawi</v>
          </cell>
          <cell r="E630" t="str">
            <v>سليمان يحي علي عداوي</v>
          </cell>
          <cell r="F630" t="str">
            <v>Male</v>
          </cell>
          <cell r="G630" t="str">
            <v>أعزب</v>
          </cell>
          <cell r="H630">
            <v>31433</v>
          </cell>
          <cell r="I630">
            <v>40</v>
          </cell>
          <cell r="J630">
            <v>14757</v>
          </cell>
          <cell r="K630" t="str">
            <v>Sulaiman.Adawi@agriserv.sa</v>
          </cell>
          <cell r="L630" t="str">
            <v>0508077739</v>
          </cell>
          <cell r="M630" t="str">
            <v/>
          </cell>
          <cell r="N630" t="str">
            <v>المملكة العربية السعودية</v>
          </cell>
          <cell r="O630" t="str">
            <v>50001007</v>
          </cell>
          <cell r="P630" t="str">
            <v>موظف دعم إداري</v>
          </cell>
          <cell r="Q630" t="str">
            <v>2A الدرجة</v>
          </cell>
          <cell r="R630" t="str">
            <v>Class A</v>
          </cell>
          <cell r="S630" t="str">
            <v/>
          </cell>
          <cell r="T630" t="str">
            <v/>
          </cell>
          <cell r="U630" t="str">
            <v>الاسواق و المسالخ</v>
          </cell>
          <cell r="V630" t="str">
            <v>الفروع</v>
          </cell>
          <cell r="W630" t="str">
            <v>Makkah</v>
          </cell>
          <cell r="X630" t="str">
            <v xml:space="preserve">الفرع </v>
          </cell>
          <cell r="Y630">
            <v>45669</v>
          </cell>
          <cell r="Z630">
            <v>1.43</v>
          </cell>
          <cell r="AA630">
            <v>521</v>
          </cell>
          <cell r="AB630" t="str">
            <v>نشط</v>
          </cell>
          <cell r="AC630" t="str">
            <v>100174</v>
          </cell>
          <cell r="AD630" t="str">
            <v>Adil Alshaikh</v>
          </cell>
          <cell r="AE630" t="str">
            <v>إعارة</v>
          </cell>
          <cell r="AF630" t="str">
            <v/>
          </cell>
          <cell r="AG630" t="str">
            <v/>
          </cell>
          <cell r="AH630" t="str">
            <v>أصول الدين</v>
          </cell>
          <cell r="AI630" t="str">
            <v>شهادة المدرسة الثانوية</v>
          </cell>
          <cell r="AJ630">
            <v>2</v>
          </cell>
          <cell r="AK630">
            <v>0</v>
          </cell>
          <cell r="AL630">
            <v>0</v>
          </cell>
          <cell r="AM630">
            <v>2</v>
          </cell>
          <cell r="AN630" t="str">
            <v/>
          </cell>
          <cell r="AO630" t="str">
            <v>الأسواق والمسالخ</v>
          </cell>
          <cell r="AP630" t="str">
            <v>Al Rajhi Bank</v>
          </cell>
          <cell r="AQ630" t="str">
            <v>SA1780000378608010288920</v>
          </cell>
          <cell r="AR630">
            <v>12095</v>
          </cell>
          <cell r="AS630" t="str">
            <v/>
          </cell>
          <cell r="AT630">
            <v>100</v>
          </cell>
          <cell r="AU630">
            <v>3023.75</v>
          </cell>
          <cell r="AV630" t="str">
            <v/>
          </cell>
        </row>
        <row r="631">
          <cell r="A631">
            <v>400452</v>
          </cell>
          <cell r="B631" t="str">
            <v>1023625922</v>
          </cell>
          <cell r="C631" t="str">
            <v>السيد</v>
          </cell>
          <cell r="D631" t="str">
            <v>Nader Mohammed Ebrahim Alhusainan</v>
          </cell>
          <cell r="E631" t="str">
            <v>نادر محمد براهيم الحسينان</v>
          </cell>
          <cell r="F631" t="str">
            <v>Male</v>
          </cell>
          <cell r="G631" t="str">
            <v/>
          </cell>
          <cell r="H631">
            <v>27806</v>
          </cell>
          <cell r="I631">
            <v>50</v>
          </cell>
          <cell r="J631">
            <v>18384</v>
          </cell>
          <cell r="K631" t="str">
            <v>Nader.Alhusainan@agriserv.sa</v>
          </cell>
          <cell r="L631" t="str">
            <v>0555121119</v>
          </cell>
          <cell r="M631" t="str">
            <v/>
          </cell>
          <cell r="N631" t="str">
            <v>المملكة العربية السعودية</v>
          </cell>
          <cell r="O631" t="str">
            <v>50001348</v>
          </cell>
          <cell r="P631" t="str">
            <v>أخصائي, التسويق الزراعي</v>
          </cell>
          <cell r="Q631" t="str">
            <v>الدرجة 4</v>
          </cell>
          <cell r="R631" t="str">
            <v/>
          </cell>
          <cell r="S631" t="str">
            <v/>
          </cell>
          <cell r="T631" t="str">
            <v/>
          </cell>
          <cell r="U631" t="str">
            <v>تسويق</v>
          </cell>
          <cell r="V631" t="str">
            <v>الخدمات التجارية</v>
          </cell>
          <cell r="W631" t="str">
            <v>Al Riyadh</v>
          </cell>
          <cell r="X631" t="str">
            <v xml:space="preserve">المقر الرئيسي </v>
          </cell>
          <cell r="Y631">
            <v>45753</v>
          </cell>
          <cell r="Z631">
            <v>1.2</v>
          </cell>
          <cell r="AA631">
            <v>437</v>
          </cell>
          <cell r="AB631" t="str">
            <v>غير نشط</v>
          </cell>
          <cell r="AC631" t="str">
            <v>100148</v>
          </cell>
          <cell r="AD631" t="str">
            <v>Abdulrahman Alswilim</v>
          </cell>
          <cell r="AE631" t="str">
            <v>إعارة</v>
          </cell>
          <cell r="AF631">
            <v>45898</v>
          </cell>
          <cell r="AG631" t="str">
            <v/>
          </cell>
          <cell r="AH631" t="str">
            <v>إدارة الأعمال</v>
          </cell>
          <cell r="AI631" t="str">
            <v>بكالوريوس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 t="str">
            <v/>
          </cell>
          <cell r="AO631" t="str">
            <v>Business Development &amp; Commercial Invest</v>
          </cell>
          <cell r="AP631" t="str">
            <v>Saudi Awwal Bank</v>
          </cell>
          <cell r="AQ631" t="str">
            <v>SA0945000000825045602001</v>
          </cell>
          <cell r="AR631">
            <v>11755</v>
          </cell>
          <cell r="AS631" t="str">
            <v/>
          </cell>
          <cell r="AT631">
            <v>475.5</v>
          </cell>
          <cell r="AU631">
            <v>2938.75</v>
          </cell>
          <cell r="AV631" t="str">
            <v/>
          </cell>
        </row>
        <row r="632">
          <cell r="A632">
            <v>400453</v>
          </cell>
          <cell r="B632" t="str">
            <v>1048356511</v>
          </cell>
          <cell r="C632" t="str">
            <v>السيد</v>
          </cell>
          <cell r="D632" t="str">
            <v>Ahmad Mohammad Ibrahim Alghamdi</v>
          </cell>
          <cell r="E632" t="str">
            <v>احمد محمد ابراهيم الغامدي</v>
          </cell>
          <cell r="F632" t="str">
            <v>Male</v>
          </cell>
          <cell r="G632" t="str">
            <v/>
          </cell>
          <cell r="H632">
            <v>31779</v>
          </cell>
          <cell r="I632">
            <v>39</v>
          </cell>
          <cell r="J632">
            <v>14411</v>
          </cell>
          <cell r="K632" t="str">
            <v>Ahmad.Alghamdi@agriserv.sa</v>
          </cell>
          <cell r="L632" t="str">
            <v>546662061</v>
          </cell>
          <cell r="M632" t="str">
            <v/>
          </cell>
          <cell r="N632" t="str">
            <v>المملكة العربية السعودية</v>
          </cell>
          <cell r="O632" t="str">
            <v>50000448</v>
          </cell>
          <cell r="P632" t="str">
            <v>طبيب بيطري</v>
          </cell>
          <cell r="Q632" t="str">
            <v>الدرجة 4</v>
          </cell>
          <cell r="R632" t="str">
            <v>Class A</v>
          </cell>
          <cell r="S632" t="str">
            <v/>
          </cell>
          <cell r="T632" t="str">
            <v/>
          </cell>
          <cell r="U632" t="str">
            <v>الاسواق و المسالخ</v>
          </cell>
          <cell r="V632" t="str">
            <v>الفروع</v>
          </cell>
          <cell r="W632" t="str">
            <v>Makkah</v>
          </cell>
          <cell r="X632" t="str">
            <v xml:space="preserve">الفرع </v>
          </cell>
          <cell r="Y632">
            <v>45782</v>
          </cell>
          <cell r="Z632">
            <v>1.1200000000000001</v>
          </cell>
          <cell r="AA632">
            <v>408</v>
          </cell>
          <cell r="AB632" t="str">
            <v>نشط</v>
          </cell>
          <cell r="AC632" t="str">
            <v>100174</v>
          </cell>
          <cell r="AD632" t="str">
            <v>Adil Alshaikh</v>
          </cell>
          <cell r="AE632" t="str">
            <v>إعارة</v>
          </cell>
          <cell r="AF632" t="str">
            <v/>
          </cell>
          <cell r="AG632" t="str">
            <v/>
          </cell>
          <cell r="AH632" t="str">
            <v>علوم حيوان</v>
          </cell>
          <cell r="AI632" t="str">
            <v>ماجستير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 t="str">
            <v/>
          </cell>
          <cell r="AO632" t="str">
            <v>الأسواق والمسالخ</v>
          </cell>
          <cell r="AP632" t="str">
            <v>Bank Al Jazirah</v>
          </cell>
          <cell r="AQ632" t="str">
            <v>SA4560100010480229184001</v>
          </cell>
          <cell r="AR632">
            <v>9738</v>
          </cell>
          <cell r="AS632" t="str">
            <v/>
          </cell>
          <cell r="AT632">
            <v>473.8</v>
          </cell>
          <cell r="AU632">
            <v>2434.5</v>
          </cell>
          <cell r="AV632" t="str">
            <v/>
          </cell>
        </row>
        <row r="633">
          <cell r="A633">
            <v>400454</v>
          </cell>
          <cell r="B633" t="str">
            <v>1038858435</v>
          </cell>
          <cell r="C633" t="str">
            <v>السيد</v>
          </cell>
          <cell r="D633" t="str">
            <v>Hussain Abdullah Wahidi Alzahrani</v>
          </cell>
          <cell r="E633" t="str">
            <v>حسين عبدالله وحيدي الزهراني</v>
          </cell>
          <cell r="F633" t="str">
            <v>Male</v>
          </cell>
          <cell r="G633" t="str">
            <v/>
          </cell>
          <cell r="H633">
            <v>29711</v>
          </cell>
          <cell r="I633">
            <v>45</v>
          </cell>
          <cell r="J633">
            <v>16479</v>
          </cell>
          <cell r="K633" t="str">
            <v>Hussain.Alzahrani@agriserv.sa</v>
          </cell>
          <cell r="L633" t="str">
            <v>566321115</v>
          </cell>
          <cell r="M633" t="str">
            <v/>
          </cell>
          <cell r="N633" t="str">
            <v>المملكة العربية السعودية</v>
          </cell>
          <cell r="O633" t="str">
            <v>50000523</v>
          </cell>
          <cell r="P633" t="str">
            <v>فني مختبرات</v>
          </cell>
          <cell r="Q633" t="str">
            <v>2A الدرجة</v>
          </cell>
          <cell r="R633" t="str">
            <v>Class A</v>
          </cell>
          <cell r="S633" t="str">
            <v/>
          </cell>
          <cell r="T633" t="str">
            <v/>
          </cell>
          <cell r="U633" t="str">
            <v>الاسواق و المسالخ</v>
          </cell>
          <cell r="V633" t="str">
            <v>الفروع</v>
          </cell>
          <cell r="W633" t="str">
            <v>Makkah</v>
          </cell>
          <cell r="X633" t="str">
            <v xml:space="preserve">الفرع </v>
          </cell>
          <cell r="Y633">
            <v>45782</v>
          </cell>
          <cell r="Z633">
            <v>1.1200000000000001</v>
          </cell>
          <cell r="AA633">
            <v>408</v>
          </cell>
          <cell r="AB633" t="str">
            <v>نشط</v>
          </cell>
          <cell r="AC633" t="str">
            <v>100174</v>
          </cell>
          <cell r="AD633" t="str">
            <v>Adil Alshaikh</v>
          </cell>
          <cell r="AE633" t="str">
            <v>إعارة</v>
          </cell>
          <cell r="AF633" t="str">
            <v/>
          </cell>
          <cell r="AG633" t="str">
            <v/>
          </cell>
          <cell r="AH633" t="str">
            <v>تقنيه المختبرات</v>
          </cell>
          <cell r="AI633" t="str">
            <v>دبلوم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 t="str">
            <v/>
          </cell>
          <cell r="AO633" t="str">
            <v>الأسواق والمسالخ</v>
          </cell>
          <cell r="AP633" t="str">
            <v>Al Rajhi Bank</v>
          </cell>
          <cell r="AQ633" t="str">
            <v>SA6780000262608010107483</v>
          </cell>
          <cell r="AR633">
            <v>13975</v>
          </cell>
          <cell r="AS633" t="str">
            <v/>
          </cell>
          <cell r="AT633">
            <v>100</v>
          </cell>
          <cell r="AU633">
            <v>3493.75</v>
          </cell>
          <cell r="AV633" t="str">
            <v/>
          </cell>
        </row>
        <row r="634">
          <cell r="A634">
            <v>400455</v>
          </cell>
          <cell r="B634" t="str">
            <v>1026647857</v>
          </cell>
          <cell r="C634" t="str">
            <v>السيد</v>
          </cell>
          <cell r="D634" t="str">
            <v>Marie Hadi ALI Sufyani</v>
          </cell>
          <cell r="E634" t="str">
            <v>مرعي هادي علي سفياني</v>
          </cell>
          <cell r="F634" t="str">
            <v>Male</v>
          </cell>
          <cell r="G634" t="str">
            <v/>
          </cell>
          <cell r="H634">
            <v>31606</v>
          </cell>
          <cell r="I634">
            <v>40</v>
          </cell>
          <cell r="J634">
            <v>14584</v>
          </cell>
          <cell r="K634" t="str">
            <v>Marie.Sufyani@agriserv.sa</v>
          </cell>
          <cell r="L634" t="str">
            <v>504899953</v>
          </cell>
          <cell r="M634" t="str">
            <v/>
          </cell>
          <cell r="N634" t="str">
            <v>المملكة العربية السعودية</v>
          </cell>
          <cell r="O634" t="str">
            <v>50001009</v>
          </cell>
          <cell r="P634" t="str">
            <v>فني مختبرات</v>
          </cell>
          <cell r="Q634" t="str">
            <v>2A الدرجة</v>
          </cell>
          <cell r="R634" t="str">
            <v>Class A</v>
          </cell>
          <cell r="S634" t="str">
            <v/>
          </cell>
          <cell r="T634" t="str">
            <v/>
          </cell>
          <cell r="U634" t="str">
            <v>الاسواق و المسالخ</v>
          </cell>
          <cell r="V634" t="str">
            <v>الفروع</v>
          </cell>
          <cell r="W634" t="str">
            <v>Makkah</v>
          </cell>
          <cell r="X634" t="str">
            <v xml:space="preserve">الفرع </v>
          </cell>
          <cell r="Y634">
            <v>45782</v>
          </cell>
          <cell r="Z634">
            <v>1.1200000000000001</v>
          </cell>
          <cell r="AA634">
            <v>408</v>
          </cell>
          <cell r="AB634" t="str">
            <v>نشط</v>
          </cell>
          <cell r="AC634" t="str">
            <v>100174</v>
          </cell>
          <cell r="AD634" t="str">
            <v>Adil Alshaikh</v>
          </cell>
          <cell r="AE634" t="str">
            <v>إعارة</v>
          </cell>
          <cell r="AF634" t="str">
            <v/>
          </cell>
          <cell r="AG634" t="str">
            <v/>
          </cell>
          <cell r="AH634" t="str">
            <v>علوم بيئية</v>
          </cell>
          <cell r="AI634" t="str">
            <v>دبلوم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 t="str">
            <v/>
          </cell>
          <cell r="AO634" t="str">
            <v>الأسواق والمسالخ</v>
          </cell>
          <cell r="AP634" t="str">
            <v>Al Rajhi Bank</v>
          </cell>
          <cell r="AQ634" t="str">
            <v>SA9780000246608010145088</v>
          </cell>
          <cell r="AR634">
            <v>12575</v>
          </cell>
          <cell r="AS634" t="str">
            <v/>
          </cell>
          <cell r="AT634">
            <v>100</v>
          </cell>
          <cell r="AU634">
            <v>3143.75</v>
          </cell>
          <cell r="AV634" t="str">
            <v/>
          </cell>
        </row>
        <row r="635">
          <cell r="A635">
            <v>400456</v>
          </cell>
          <cell r="B635" t="str">
            <v>1049921198</v>
          </cell>
          <cell r="C635" t="str">
            <v>السيد</v>
          </cell>
          <cell r="D635" t="str">
            <v>Awadh Obaid Abdullah Alhusayni</v>
          </cell>
          <cell r="E635" t="str">
            <v>عوض عبيد عبدالله الحصيني</v>
          </cell>
          <cell r="F635" t="str">
            <v>Male</v>
          </cell>
          <cell r="G635" t="str">
            <v/>
          </cell>
          <cell r="H635">
            <v>32148</v>
          </cell>
          <cell r="I635">
            <v>38</v>
          </cell>
          <cell r="J635">
            <v>14042</v>
          </cell>
          <cell r="K635" t="str">
            <v>Awadh.Alhusayni@agriserv.sa</v>
          </cell>
          <cell r="L635" t="str">
            <v>533535438</v>
          </cell>
          <cell r="M635" t="str">
            <v/>
          </cell>
          <cell r="N635" t="str">
            <v>المملكة العربية السعودية</v>
          </cell>
          <cell r="O635" t="str">
            <v>50000485</v>
          </cell>
          <cell r="P635" t="str">
            <v>فني مختبرات</v>
          </cell>
          <cell r="Q635" t="str">
            <v>2A الدرجة</v>
          </cell>
          <cell r="R635" t="str">
            <v>Class A</v>
          </cell>
          <cell r="S635" t="str">
            <v/>
          </cell>
          <cell r="T635" t="str">
            <v/>
          </cell>
          <cell r="U635" t="str">
            <v>الاسواق و المسالخ</v>
          </cell>
          <cell r="V635" t="str">
            <v>الفروع</v>
          </cell>
          <cell r="W635" t="str">
            <v>Makkah</v>
          </cell>
          <cell r="X635" t="str">
            <v xml:space="preserve">الفرع </v>
          </cell>
          <cell r="Y635">
            <v>45782</v>
          </cell>
          <cell r="Z635">
            <v>1.1200000000000001</v>
          </cell>
          <cell r="AA635">
            <v>408</v>
          </cell>
          <cell r="AB635" t="str">
            <v>نشط</v>
          </cell>
          <cell r="AC635" t="str">
            <v>100174</v>
          </cell>
          <cell r="AD635" t="str">
            <v>Adil Alshaikh</v>
          </cell>
          <cell r="AE635" t="str">
            <v>إعارة</v>
          </cell>
          <cell r="AF635" t="str">
            <v/>
          </cell>
          <cell r="AG635" t="str">
            <v/>
          </cell>
          <cell r="AH635" t="str">
            <v>التقنية الحيوية</v>
          </cell>
          <cell r="AI635" t="str">
            <v>بكالوريوس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 t="str">
            <v/>
          </cell>
          <cell r="AO635" t="str">
            <v>الأسواق والمسالخ</v>
          </cell>
          <cell r="AP635" t="str">
            <v>Al Rajhi Bank</v>
          </cell>
          <cell r="AQ635" t="str">
            <v>SA8880000199608010299114</v>
          </cell>
          <cell r="AR635">
            <v>14355</v>
          </cell>
          <cell r="AS635" t="str">
            <v/>
          </cell>
          <cell r="AT635">
            <v>100</v>
          </cell>
          <cell r="AU635">
            <v>3588.75</v>
          </cell>
          <cell r="AV635" t="str">
            <v/>
          </cell>
        </row>
        <row r="636">
          <cell r="A636">
            <v>400457</v>
          </cell>
          <cell r="B636" t="str">
            <v>1050245941</v>
          </cell>
          <cell r="C636" t="str">
            <v>السيد</v>
          </cell>
          <cell r="D636" t="str">
            <v>Naif Hussain Nasser Alotaibi</v>
          </cell>
          <cell r="E636" t="str">
            <v>نايف حسين ناصر العتيبي</v>
          </cell>
          <cell r="F636" t="str">
            <v>Male</v>
          </cell>
          <cell r="G636" t="str">
            <v/>
          </cell>
          <cell r="H636">
            <v>32003</v>
          </cell>
          <cell r="I636">
            <v>39</v>
          </cell>
          <cell r="J636">
            <v>14187</v>
          </cell>
          <cell r="K636" t="str">
            <v>Naif.Alotaibi@agriserv.sa</v>
          </cell>
          <cell r="L636" t="str">
            <v>535999025</v>
          </cell>
          <cell r="M636" t="str">
            <v/>
          </cell>
          <cell r="N636" t="str">
            <v>المملكة العربية السعودية</v>
          </cell>
          <cell r="O636" t="str">
            <v>50000453</v>
          </cell>
          <cell r="P636" t="str">
            <v>طبيب بيطري</v>
          </cell>
          <cell r="Q636" t="str">
            <v>الدرجة 4</v>
          </cell>
          <cell r="R636" t="str">
            <v>Class A</v>
          </cell>
          <cell r="S636" t="str">
            <v/>
          </cell>
          <cell r="T636" t="str">
            <v/>
          </cell>
          <cell r="U636" t="str">
            <v>الاسواق و المسالخ</v>
          </cell>
          <cell r="V636" t="str">
            <v>الفروع</v>
          </cell>
          <cell r="W636" t="str">
            <v>Makkah</v>
          </cell>
          <cell r="X636" t="str">
            <v xml:space="preserve">الفرع </v>
          </cell>
          <cell r="Y636">
            <v>45782</v>
          </cell>
          <cell r="Z636">
            <v>1.1200000000000001</v>
          </cell>
          <cell r="AA636">
            <v>408</v>
          </cell>
          <cell r="AB636" t="str">
            <v>نشط</v>
          </cell>
          <cell r="AC636" t="str">
            <v>100174</v>
          </cell>
          <cell r="AD636" t="str">
            <v>Adil Alshaikh</v>
          </cell>
          <cell r="AE636" t="str">
            <v>إعارة</v>
          </cell>
          <cell r="AF636" t="str">
            <v/>
          </cell>
          <cell r="AG636" t="str">
            <v/>
          </cell>
          <cell r="AH636" t="str">
            <v>طب بيطري</v>
          </cell>
          <cell r="AI636" t="str">
            <v>بكالوريوس</v>
          </cell>
          <cell r="AJ636">
            <v>1</v>
          </cell>
          <cell r="AK636">
            <v>1</v>
          </cell>
          <cell r="AL636">
            <v>0</v>
          </cell>
          <cell r="AM636">
            <v>0</v>
          </cell>
          <cell r="AN636" t="str">
            <v/>
          </cell>
          <cell r="AO636" t="str">
            <v>الأسواق والمسالخ</v>
          </cell>
          <cell r="AP636" t="str">
            <v>Al Rajhi Bank</v>
          </cell>
          <cell r="AQ636" t="str">
            <v>SA9180000325608010074704</v>
          </cell>
          <cell r="AR636">
            <v>12565</v>
          </cell>
          <cell r="AS636" t="str">
            <v/>
          </cell>
          <cell r="AT636">
            <v>556.5</v>
          </cell>
          <cell r="AU636">
            <v>3141.25</v>
          </cell>
          <cell r="AV636" t="str">
            <v/>
          </cell>
        </row>
        <row r="637">
          <cell r="A637">
            <v>400458</v>
          </cell>
          <cell r="B637" t="str">
            <v>1030757049</v>
          </cell>
          <cell r="C637" t="str">
            <v>السيد</v>
          </cell>
          <cell r="D637" t="str">
            <v>Abdalealim Sanad Hamaad Alshaykh</v>
          </cell>
          <cell r="E637" t="str">
            <v>عبدالعليم سند حماد الشيخ</v>
          </cell>
          <cell r="F637" t="str">
            <v>Male</v>
          </cell>
          <cell r="G637" t="str">
            <v/>
          </cell>
          <cell r="H637">
            <v>30980</v>
          </cell>
          <cell r="I637">
            <v>42</v>
          </cell>
          <cell r="J637">
            <v>15210</v>
          </cell>
          <cell r="K637" t="str">
            <v>Abdalealim.Alshaykh@agriserv.sa</v>
          </cell>
          <cell r="L637" t="str">
            <v>560530034</v>
          </cell>
          <cell r="M637" t="str">
            <v/>
          </cell>
          <cell r="N637" t="str">
            <v>المملكة العربية السعودية</v>
          </cell>
          <cell r="O637" t="str">
            <v>50000493</v>
          </cell>
          <cell r="P637" t="str">
            <v>فني زراعي</v>
          </cell>
          <cell r="Q637" t="str">
            <v>2A الدرجة</v>
          </cell>
          <cell r="R637" t="str">
            <v>Class A</v>
          </cell>
          <cell r="S637" t="str">
            <v/>
          </cell>
          <cell r="T637" t="str">
            <v/>
          </cell>
          <cell r="U637" t="str">
            <v>الاسواق و المسالخ</v>
          </cell>
          <cell r="V637" t="str">
            <v>الفروع</v>
          </cell>
          <cell r="W637" t="str">
            <v>Makkah</v>
          </cell>
          <cell r="X637" t="str">
            <v xml:space="preserve">الفرع </v>
          </cell>
          <cell r="Y637">
            <v>45782</v>
          </cell>
          <cell r="Z637">
            <v>1.1200000000000001</v>
          </cell>
          <cell r="AA637">
            <v>408</v>
          </cell>
          <cell r="AB637" t="str">
            <v>نشط</v>
          </cell>
          <cell r="AC637" t="str">
            <v>100174</v>
          </cell>
          <cell r="AD637" t="str">
            <v>Adil Alshaikh</v>
          </cell>
          <cell r="AE637" t="str">
            <v>إعارة</v>
          </cell>
          <cell r="AF637" t="str">
            <v/>
          </cell>
          <cell r="AG637" t="str">
            <v/>
          </cell>
          <cell r="AH637" t="str">
            <v>الرعاية الصحية</v>
          </cell>
          <cell r="AI637" t="str">
            <v>دبلوم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 t="str">
            <v/>
          </cell>
          <cell r="AO637" t="str">
            <v>الأسواق والمسالخ</v>
          </cell>
          <cell r="AP637" t="str">
            <v>Saudi National Bank</v>
          </cell>
          <cell r="AQ637" t="str">
            <v>SA1010000013353303000102</v>
          </cell>
          <cell r="AR637">
            <v>11745</v>
          </cell>
          <cell r="AS637" t="str">
            <v/>
          </cell>
          <cell r="AT637">
            <v>100</v>
          </cell>
          <cell r="AU637">
            <v>2936.25</v>
          </cell>
          <cell r="AV637" t="str">
            <v/>
          </cell>
        </row>
        <row r="638">
          <cell r="A638">
            <v>400459</v>
          </cell>
          <cell r="B638" t="str">
            <v>1029819347</v>
          </cell>
          <cell r="C638" t="str">
            <v>السيد</v>
          </cell>
          <cell r="D638" t="str">
            <v>Nawaf Obaid Ali Alobaidi</v>
          </cell>
          <cell r="E638" t="str">
            <v>نواف عبيد علي العبيدي</v>
          </cell>
          <cell r="F638" t="str">
            <v>Male</v>
          </cell>
          <cell r="G638" t="str">
            <v>متزوج</v>
          </cell>
          <cell r="H638">
            <v>28722</v>
          </cell>
          <cell r="I638">
            <v>48</v>
          </cell>
          <cell r="J638">
            <v>17468</v>
          </cell>
          <cell r="K638" t="str">
            <v>Nawaf.Alobaidi@agriserv.sa</v>
          </cell>
          <cell r="L638" t="str">
            <v>506601841</v>
          </cell>
          <cell r="M638" t="str">
            <v/>
          </cell>
          <cell r="N638" t="str">
            <v>المملكة العربية السعودية</v>
          </cell>
          <cell r="O638" t="str">
            <v>50000454</v>
          </cell>
          <cell r="P638" t="str">
            <v>طبيب بيطري مساعد</v>
          </cell>
          <cell r="Q638" t="str">
            <v>2B الدرجة</v>
          </cell>
          <cell r="R638" t="str">
            <v>Class A</v>
          </cell>
          <cell r="S638" t="str">
            <v/>
          </cell>
          <cell r="T638" t="str">
            <v/>
          </cell>
          <cell r="U638" t="str">
            <v>الاسواق و المسالخ</v>
          </cell>
          <cell r="V638" t="str">
            <v>الفروع</v>
          </cell>
          <cell r="W638" t="str">
            <v>Makkah</v>
          </cell>
          <cell r="X638" t="str">
            <v xml:space="preserve">الفرع </v>
          </cell>
          <cell r="Y638">
            <v>45782</v>
          </cell>
          <cell r="Z638">
            <v>1.1200000000000001</v>
          </cell>
          <cell r="AA638">
            <v>408</v>
          </cell>
          <cell r="AB638" t="str">
            <v>نشط</v>
          </cell>
          <cell r="AC638" t="str">
            <v>100174</v>
          </cell>
          <cell r="AD638" t="str">
            <v>Adil Alshaikh</v>
          </cell>
          <cell r="AE638" t="str">
            <v>إعارة</v>
          </cell>
          <cell r="AF638" t="str">
            <v/>
          </cell>
          <cell r="AG638" t="str">
            <v/>
          </cell>
          <cell r="AH638" t="str">
            <v>Veterinary Medicine &amp; Animal R</v>
          </cell>
          <cell r="AI638" t="str">
            <v>دبلوم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 t="str">
            <v/>
          </cell>
          <cell r="AO638" t="str">
            <v>الأسواق والمسالخ</v>
          </cell>
          <cell r="AP638" t="str">
            <v>Saudi National Bank</v>
          </cell>
          <cell r="AQ638" t="str">
            <v>SA7810000079700000766700</v>
          </cell>
          <cell r="AR638">
            <v>11330</v>
          </cell>
          <cell r="AS638" t="str">
            <v/>
          </cell>
          <cell r="AT638">
            <v>100</v>
          </cell>
          <cell r="AU638">
            <v>2832.5</v>
          </cell>
          <cell r="AV638" t="str">
            <v/>
          </cell>
        </row>
        <row r="639">
          <cell r="A639">
            <v>400460</v>
          </cell>
          <cell r="B639" t="str">
            <v>1057113985</v>
          </cell>
          <cell r="C639" t="str">
            <v>السيد</v>
          </cell>
          <cell r="D639" t="str">
            <v>Abdulrahman Saeed Saad Alroogi</v>
          </cell>
          <cell r="E639" t="str">
            <v>عبدالرحمن سعيد سعد الروقي</v>
          </cell>
          <cell r="F639" t="str">
            <v>Male</v>
          </cell>
          <cell r="G639" t="str">
            <v/>
          </cell>
          <cell r="H639">
            <v>32191</v>
          </cell>
          <cell r="I639">
            <v>38</v>
          </cell>
          <cell r="J639">
            <v>13999</v>
          </cell>
          <cell r="K639" t="str">
            <v>Abdulrahman.Alroogi@agriserv.sa</v>
          </cell>
          <cell r="L639" t="str">
            <v>569209951</v>
          </cell>
          <cell r="M639" t="str">
            <v/>
          </cell>
          <cell r="N639" t="str">
            <v>المملكة العربية السعودية</v>
          </cell>
          <cell r="O639" t="str">
            <v>50000933</v>
          </cell>
          <cell r="P639" t="str">
            <v>أخصائي اختبار البذور والتربة</v>
          </cell>
          <cell r="Q639" t="str">
            <v>الدرجة ٥</v>
          </cell>
          <cell r="R639" t="str">
            <v>Class A</v>
          </cell>
          <cell r="S639" t="str">
            <v/>
          </cell>
          <cell r="T639" t="str">
            <v/>
          </cell>
          <cell r="U639" t="str">
            <v>الاسواق و المسالخ</v>
          </cell>
          <cell r="V639" t="str">
            <v>الفروع</v>
          </cell>
          <cell r="W639" t="str">
            <v>Makkah</v>
          </cell>
          <cell r="X639" t="str">
            <v xml:space="preserve">الفرع </v>
          </cell>
          <cell r="Y639">
            <v>45782</v>
          </cell>
          <cell r="Z639">
            <v>1.1200000000000001</v>
          </cell>
          <cell r="AA639">
            <v>408</v>
          </cell>
          <cell r="AB639" t="str">
            <v>نشط</v>
          </cell>
          <cell r="AC639" t="str">
            <v>100174</v>
          </cell>
          <cell r="AD639" t="str">
            <v>Adil Alshaikh</v>
          </cell>
          <cell r="AE639" t="str">
            <v>إعارة</v>
          </cell>
          <cell r="AF639" t="str">
            <v/>
          </cell>
          <cell r="AG639" t="str">
            <v/>
          </cell>
          <cell r="AH639" t="str">
            <v>هندسة عامة</v>
          </cell>
          <cell r="AI639" t="str">
            <v>بكالوريوس</v>
          </cell>
          <cell r="AJ639">
            <v>1</v>
          </cell>
          <cell r="AK639">
            <v>1</v>
          </cell>
          <cell r="AL639">
            <v>0</v>
          </cell>
          <cell r="AM639">
            <v>0</v>
          </cell>
          <cell r="AN639" t="str">
            <v/>
          </cell>
          <cell r="AO639" t="str">
            <v>الأسواق والمسالخ</v>
          </cell>
          <cell r="AP639" t="str">
            <v>Arab National Bank</v>
          </cell>
          <cell r="AQ639" t="str">
            <v>SA9430400108057571790039</v>
          </cell>
          <cell r="AR639">
            <v>11900</v>
          </cell>
          <cell r="AS639" t="str">
            <v/>
          </cell>
          <cell r="AT639">
            <v>490</v>
          </cell>
          <cell r="AU639">
            <v>2975</v>
          </cell>
          <cell r="AV639" t="str">
            <v/>
          </cell>
        </row>
        <row r="640">
          <cell r="A640">
            <v>400461</v>
          </cell>
          <cell r="B640" t="str">
            <v>1003982160</v>
          </cell>
          <cell r="C640" t="str">
            <v>السيد</v>
          </cell>
          <cell r="D640" t="str">
            <v>Louaiy Jamal Ahmed Faden</v>
          </cell>
          <cell r="E640" t="str">
            <v>لؤي جمال احمد فادن</v>
          </cell>
          <cell r="F640" t="str">
            <v>Male</v>
          </cell>
          <cell r="G640" t="str">
            <v/>
          </cell>
          <cell r="H640">
            <v>30981</v>
          </cell>
          <cell r="I640">
            <v>42</v>
          </cell>
          <cell r="J640">
            <v>15209</v>
          </cell>
          <cell r="K640" t="str">
            <v>Louaiy.Faden@agriserv.sa</v>
          </cell>
          <cell r="L640" t="str">
            <v>557722898</v>
          </cell>
          <cell r="M640" t="str">
            <v/>
          </cell>
          <cell r="N640" t="str">
            <v>المملكة العربية السعودية</v>
          </cell>
          <cell r="O640" t="str">
            <v>50001261</v>
          </cell>
          <cell r="P640" t="str">
            <v>موظف دعم إداري</v>
          </cell>
          <cell r="Q640" t="str">
            <v>2A الدرجة</v>
          </cell>
          <cell r="R640" t="str">
            <v>Class A</v>
          </cell>
          <cell r="S640" t="str">
            <v/>
          </cell>
          <cell r="T640" t="str">
            <v/>
          </cell>
          <cell r="U640" t="str">
            <v>الاسواق و المسالخ</v>
          </cell>
          <cell r="V640" t="str">
            <v>الفروع</v>
          </cell>
          <cell r="W640" t="str">
            <v>Makkah</v>
          </cell>
          <cell r="X640" t="str">
            <v xml:space="preserve">الفرع </v>
          </cell>
          <cell r="Y640">
            <v>45782</v>
          </cell>
          <cell r="Z640">
            <v>1.1200000000000001</v>
          </cell>
          <cell r="AA640">
            <v>408</v>
          </cell>
          <cell r="AB640" t="str">
            <v>نشط</v>
          </cell>
          <cell r="AC640" t="str">
            <v>100174</v>
          </cell>
          <cell r="AD640" t="str">
            <v>Adil Alshaikh</v>
          </cell>
          <cell r="AE640" t="str">
            <v>إعارة</v>
          </cell>
          <cell r="AF640" t="str">
            <v/>
          </cell>
          <cell r="AG640" t="str">
            <v/>
          </cell>
          <cell r="AH640" t="str">
            <v>نظم المعلومات الإدارية</v>
          </cell>
          <cell r="AI640" t="str">
            <v>بكالوريوس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 t="str">
            <v/>
          </cell>
          <cell r="AO640" t="str">
            <v>الأسواق والمسالخ</v>
          </cell>
          <cell r="AP640" t="str">
            <v>Al Rajhi Bank</v>
          </cell>
          <cell r="AQ640" t="str">
            <v>SA1180000533608010048672</v>
          </cell>
          <cell r="AR640">
            <v>13035</v>
          </cell>
          <cell r="AS640" t="str">
            <v/>
          </cell>
          <cell r="AT640">
            <v>100</v>
          </cell>
          <cell r="AU640">
            <v>3258.75</v>
          </cell>
          <cell r="AV640" t="str">
            <v/>
          </cell>
        </row>
        <row r="641">
          <cell r="A641">
            <v>400462</v>
          </cell>
          <cell r="B641" t="str">
            <v>1089292823</v>
          </cell>
          <cell r="C641" t="str">
            <v>السيد</v>
          </cell>
          <cell r="D641" t="str">
            <v>Mofareh Hassan Mofareh Ghazwani</v>
          </cell>
          <cell r="E641" t="str">
            <v>مفرح حسن مفرح غزواني</v>
          </cell>
          <cell r="F641" t="str">
            <v>Male</v>
          </cell>
          <cell r="G641" t="str">
            <v/>
          </cell>
          <cell r="H641">
            <v>29907</v>
          </cell>
          <cell r="I641">
            <v>45</v>
          </cell>
          <cell r="J641">
            <v>16283</v>
          </cell>
          <cell r="K641" t="str">
            <v>Mofareh.Ghazwani@agriserv.sa</v>
          </cell>
          <cell r="L641" t="str">
            <v>530019479</v>
          </cell>
          <cell r="M641" t="str">
            <v/>
          </cell>
          <cell r="N641" t="str">
            <v>المملكة العربية السعودية</v>
          </cell>
          <cell r="O641" t="str">
            <v>50001349</v>
          </cell>
          <cell r="P641" t="str">
            <v>عامل</v>
          </cell>
          <cell r="Q641" t="str">
            <v>1A الدرجة</v>
          </cell>
          <cell r="R641" t="str">
            <v>Class A</v>
          </cell>
          <cell r="S641" t="str">
            <v/>
          </cell>
          <cell r="T641" t="str">
            <v/>
          </cell>
          <cell r="U641" t="str">
            <v>الاسواق و المسالخ</v>
          </cell>
          <cell r="V641" t="str">
            <v>الفروع</v>
          </cell>
          <cell r="W641" t="str">
            <v>Makkah</v>
          </cell>
          <cell r="X641" t="str">
            <v xml:space="preserve">الفرع </v>
          </cell>
          <cell r="Y641">
            <v>45782</v>
          </cell>
          <cell r="Z641">
            <v>1.1200000000000001</v>
          </cell>
          <cell r="AA641">
            <v>408</v>
          </cell>
          <cell r="AB641" t="str">
            <v>نشط</v>
          </cell>
          <cell r="AC641" t="str">
            <v>100174</v>
          </cell>
          <cell r="AD641" t="str">
            <v>Adil Alshaikh</v>
          </cell>
          <cell r="AE641" t="str">
            <v>إعارة</v>
          </cell>
          <cell r="AF641" t="str">
            <v/>
          </cell>
          <cell r="AG641" t="str">
            <v/>
          </cell>
          <cell r="AH641" t="str">
            <v>ثانوية</v>
          </cell>
          <cell r="AI641" t="str">
            <v>شهادة المدرسة الثانوية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 t="str">
            <v/>
          </cell>
          <cell r="AO641" t="str">
            <v>الأسواق والمسالخ</v>
          </cell>
          <cell r="AP641" t="str">
            <v>Al Rajhi Bank</v>
          </cell>
          <cell r="AQ641" t="str">
            <v>SA7580000189608010317017</v>
          </cell>
          <cell r="AR641">
            <v>6795</v>
          </cell>
          <cell r="AS641" t="str">
            <v/>
          </cell>
          <cell r="AT641">
            <v>179.5</v>
          </cell>
          <cell r="AU641">
            <v>1698.75</v>
          </cell>
          <cell r="AV641" t="str">
            <v/>
          </cell>
        </row>
        <row r="642">
          <cell r="A642">
            <v>400463</v>
          </cell>
          <cell r="B642" t="str">
            <v>1095999999</v>
          </cell>
          <cell r="C642" t="str">
            <v>السيد</v>
          </cell>
          <cell r="D642" t="str">
            <v>Abdullah Hassan Mohammed Alamoudi</v>
          </cell>
          <cell r="E642" t="str">
            <v>عبدالله حسن محمد العمودي</v>
          </cell>
          <cell r="F642" t="str">
            <v>Male</v>
          </cell>
          <cell r="G642" t="str">
            <v/>
          </cell>
          <cell r="H642">
            <v>35286</v>
          </cell>
          <cell r="I642">
            <v>30</v>
          </cell>
          <cell r="J642">
            <v>10904</v>
          </cell>
          <cell r="K642" t="str">
            <v>Abdullah.Alamoudi@agriserv.sa</v>
          </cell>
          <cell r="L642" t="str">
            <v>540521837</v>
          </cell>
          <cell r="M642" t="str">
            <v/>
          </cell>
          <cell r="N642" t="str">
            <v>المملكة العربية السعودية</v>
          </cell>
          <cell r="O642" t="str">
            <v>50001260</v>
          </cell>
          <cell r="P642" t="str">
            <v>موظف دعم إداري</v>
          </cell>
          <cell r="Q642" t="str">
            <v>2A الدرجة</v>
          </cell>
          <cell r="R642" t="str">
            <v>Class A</v>
          </cell>
          <cell r="S642" t="str">
            <v/>
          </cell>
          <cell r="T642" t="str">
            <v/>
          </cell>
          <cell r="U642" t="str">
            <v>الاسواق و المسالخ</v>
          </cell>
          <cell r="V642" t="str">
            <v>الفروع</v>
          </cell>
          <cell r="W642" t="str">
            <v>Makkah</v>
          </cell>
          <cell r="X642" t="str">
            <v xml:space="preserve">الفرع </v>
          </cell>
          <cell r="Y642">
            <v>45782</v>
          </cell>
          <cell r="Z642">
            <v>1.1200000000000001</v>
          </cell>
          <cell r="AA642">
            <v>408</v>
          </cell>
          <cell r="AB642" t="str">
            <v>نشط</v>
          </cell>
          <cell r="AC642" t="str">
            <v>100174</v>
          </cell>
          <cell r="AD642" t="str">
            <v>Adil Alshaikh</v>
          </cell>
          <cell r="AE642" t="str">
            <v>إعارة</v>
          </cell>
          <cell r="AF642" t="str">
            <v/>
          </cell>
          <cell r="AG642" t="str">
            <v/>
          </cell>
          <cell r="AH642" t="str">
            <v>علوم بيئية</v>
          </cell>
          <cell r="AI642" t="str">
            <v>بكالوريوس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 t="str">
            <v/>
          </cell>
          <cell r="AO642" t="str">
            <v>الأسواق والمسالخ</v>
          </cell>
          <cell r="AP642" t="str">
            <v>Inma Bank</v>
          </cell>
          <cell r="AQ642" t="str">
            <v>SA9005000068200792944000</v>
          </cell>
          <cell r="AR642">
            <v>10085</v>
          </cell>
          <cell r="AS642" t="str">
            <v/>
          </cell>
          <cell r="AT642">
            <v>100</v>
          </cell>
          <cell r="AU642">
            <v>2521.25</v>
          </cell>
          <cell r="AV642" t="str">
            <v/>
          </cell>
        </row>
        <row r="643">
          <cell r="A643">
            <v>400464</v>
          </cell>
          <cell r="B643" t="str">
            <v>1022990202</v>
          </cell>
          <cell r="C643" t="str">
            <v>السيد</v>
          </cell>
          <cell r="D643" t="str">
            <v>Mahmoud Abdul Alwahed Alkhames</v>
          </cell>
          <cell r="E643" t="str">
            <v>محمود عبدالواحد  الخميس</v>
          </cell>
          <cell r="F643" t="str">
            <v>Male</v>
          </cell>
          <cell r="G643" t="str">
            <v/>
          </cell>
          <cell r="H643">
            <v>28473</v>
          </cell>
          <cell r="I643">
            <v>49</v>
          </cell>
          <cell r="J643">
            <v>17717</v>
          </cell>
          <cell r="K643" t="str">
            <v>Mahmoud.Alkhames@agriserv.sa</v>
          </cell>
          <cell r="L643" t="str">
            <v>0504803802</v>
          </cell>
          <cell r="M643" t="str">
            <v/>
          </cell>
          <cell r="N643" t="str">
            <v>المملكة العربية السعودية</v>
          </cell>
          <cell r="O643" t="str">
            <v>50001360</v>
          </cell>
          <cell r="P643" t="str">
            <v>طبيب بيطري</v>
          </cell>
          <cell r="Q643" t="str">
            <v>الدرجة 4</v>
          </cell>
          <cell r="R643" t="str">
            <v>Class A</v>
          </cell>
          <cell r="S643" t="str">
            <v/>
          </cell>
          <cell r="T643" t="str">
            <v>عمليات الفروع الدمام</v>
          </cell>
          <cell r="U643" t="str">
            <v>عمليات الفروع</v>
          </cell>
          <cell r="V643" t="str">
            <v>الفروع</v>
          </cell>
          <cell r="W643" t="str">
            <v>Ad-Dammam</v>
          </cell>
          <cell r="X643" t="str">
            <v xml:space="preserve">الفرع </v>
          </cell>
          <cell r="Y643">
            <v>45851</v>
          </cell>
          <cell r="Z643">
            <v>0.93</v>
          </cell>
          <cell r="AA643">
            <v>339</v>
          </cell>
          <cell r="AB643" t="str">
            <v>نشط</v>
          </cell>
          <cell r="AC643" t="str">
            <v>100063</v>
          </cell>
          <cell r="AD643" t="str">
            <v>Hazza Alruwaili</v>
          </cell>
          <cell r="AE643" t="str">
            <v>إعارة</v>
          </cell>
          <cell r="AF643" t="str">
            <v/>
          </cell>
          <cell r="AG643" t="str">
            <v/>
          </cell>
          <cell r="AH643" t="str">
            <v/>
          </cell>
          <cell r="AI643" t="str">
            <v/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 t="str">
            <v/>
          </cell>
          <cell r="AO643" t="str">
            <v>عمليات الفروع</v>
          </cell>
          <cell r="AP643" t="str">
            <v>Banque Saudi Fransi</v>
          </cell>
          <cell r="AQ643" t="str">
            <v>SA5655000000059298700570</v>
          </cell>
          <cell r="AR643">
            <v>18705</v>
          </cell>
          <cell r="AS643" t="str">
            <v/>
          </cell>
          <cell r="AT643">
            <v>970.5</v>
          </cell>
          <cell r="AU643">
            <v>4676.25</v>
          </cell>
          <cell r="AV643" t="str">
            <v/>
          </cell>
        </row>
        <row r="644">
          <cell r="A644">
            <v>400465</v>
          </cell>
          <cell r="B644" t="str">
            <v>1022835811</v>
          </cell>
          <cell r="C644" t="str">
            <v>السيد</v>
          </cell>
          <cell r="D644" t="str">
            <v>Mustafa Mohammed Saeid Almarhoon</v>
          </cell>
          <cell r="E644" t="str">
            <v>مصطفى  محمد المرهون</v>
          </cell>
          <cell r="F644" t="str">
            <v>Male</v>
          </cell>
          <cell r="G644" t="str">
            <v/>
          </cell>
          <cell r="H644">
            <v>27915</v>
          </cell>
          <cell r="I644">
            <v>50</v>
          </cell>
          <cell r="J644">
            <v>18275</v>
          </cell>
          <cell r="K644" t="str">
            <v>Mustafa.Almarhoon@agriserv.sa</v>
          </cell>
          <cell r="L644" t="str">
            <v>0503808321</v>
          </cell>
          <cell r="M644" t="str">
            <v/>
          </cell>
          <cell r="N644" t="str">
            <v>المملكة العربية السعودية</v>
          </cell>
          <cell r="O644" t="str">
            <v>50001361</v>
          </cell>
          <cell r="P644" t="str">
            <v>طبيب بيطري</v>
          </cell>
          <cell r="Q644" t="str">
            <v>الدرجة 4</v>
          </cell>
          <cell r="R644" t="str">
            <v>Class A</v>
          </cell>
          <cell r="S644" t="str">
            <v/>
          </cell>
          <cell r="T644" t="str">
            <v>عمليات الفروع الدمام</v>
          </cell>
          <cell r="U644" t="str">
            <v>عمليات الفروع</v>
          </cell>
          <cell r="V644" t="str">
            <v>الفروع</v>
          </cell>
          <cell r="W644" t="str">
            <v>Ad-Dammam</v>
          </cell>
          <cell r="X644" t="str">
            <v xml:space="preserve">الفرع </v>
          </cell>
          <cell r="Y644">
            <v>45851</v>
          </cell>
          <cell r="Z644">
            <v>0.93</v>
          </cell>
          <cell r="AA644">
            <v>339</v>
          </cell>
          <cell r="AB644" t="str">
            <v>نشط</v>
          </cell>
          <cell r="AC644" t="str">
            <v>400464</v>
          </cell>
          <cell r="AD644" t="str">
            <v>Mahmoud Alkhames</v>
          </cell>
          <cell r="AE644" t="str">
            <v>إعارة</v>
          </cell>
          <cell r="AF644" t="str">
            <v/>
          </cell>
          <cell r="AG644" t="str">
            <v/>
          </cell>
          <cell r="AH644" t="str">
            <v/>
          </cell>
          <cell r="AI644" t="str">
            <v/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 t="str">
            <v/>
          </cell>
          <cell r="AO644" t="str">
            <v>عمليات الفروع</v>
          </cell>
          <cell r="AP644" t="str">
            <v>Arab National Bank</v>
          </cell>
          <cell r="AQ644" t="str">
            <v>SA0630400108021527510019</v>
          </cell>
          <cell r="AR644">
            <v>18705</v>
          </cell>
          <cell r="AS644" t="str">
            <v/>
          </cell>
          <cell r="AT644">
            <v>970.5</v>
          </cell>
          <cell r="AU644">
            <v>4676.25</v>
          </cell>
          <cell r="AV644" t="str">
            <v/>
          </cell>
        </row>
        <row r="645">
          <cell r="A645">
            <v>400466</v>
          </cell>
          <cell r="B645" t="str">
            <v>1008328948</v>
          </cell>
          <cell r="C645" t="str">
            <v>السيد</v>
          </cell>
          <cell r="D645" t="str">
            <v>Mohsen Mahfoodh Hasan Almuqbel</v>
          </cell>
          <cell r="E645" t="str">
            <v>محسن  محفوظ المقبل</v>
          </cell>
          <cell r="F645" t="str">
            <v>Male</v>
          </cell>
          <cell r="G645" t="str">
            <v/>
          </cell>
          <cell r="H645">
            <v>28476</v>
          </cell>
          <cell r="I645">
            <v>48</v>
          </cell>
          <cell r="J645">
            <v>17714</v>
          </cell>
          <cell r="K645" t="str">
            <v>Mohsen.Almuqbel@agriserv.sa</v>
          </cell>
          <cell r="L645" t="str">
            <v>0555688248</v>
          </cell>
          <cell r="M645" t="str">
            <v/>
          </cell>
          <cell r="N645" t="str">
            <v>المملكة العربية السعودية</v>
          </cell>
          <cell r="O645" t="str">
            <v>50001362</v>
          </cell>
          <cell r="P645" t="str">
            <v>طبيب بيطري</v>
          </cell>
          <cell r="Q645" t="str">
            <v>الدرجة 4</v>
          </cell>
          <cell r="R645" t="str">
            <v>Class A</v>
          </cell>
          <cell r="S645" t="str">
            <v/>
          </cell>
          <cell r="T645" t="str">
            <v>عمليات الفروع الدمام</v>
          </cell>
          <cell r="U645" t="str">
            <v>عمليات الفروع</v>
          </cell>
          <cell r="V645" t="str">
            <v>الفروع</v>
          </cell>
          <cell r="W645" t="str">
            <v>Ad-Dammam</v>
          </cell>
          <cell r="X645" t="str">
            <v xml:space="preserve">الفرع </v>
          </cell>
          <cell r="Y645">
            <v>45851</v>
          </cell>
          <cell r="Z645">
            <v>0.93</v>
          </cell>
          <cell r="AA645">
            <v>339</v>
          </cell>
          <cell r="AB645" t="str">
            <v>نشط</v>
          </cell>
          <cell r="AC645" t="str">
            <v>400464</v>
          </cell>
          <cell r="AD645" t="str">
            <v>Mahmoud Alkhames</v>
          </cell>
          <cell r="AE645" t="str">
            <v>إعارة</v>
          </cell>
          <cell r="AF645" t="str">
            <v/>
          </cell>
          <cell r="AG645" t="str">
            <v/>
          </cell>
          <cell r="AH645" t="str">
            <v/>
          </cell>
          <cell r="AI645" t="str">
            <v/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 t="str">
            <v/>
          </cell>
          <cell r="AO645" t="str">
            <v>عمليات الفروع</v>
          </cell>
          <cell r="AP645" t="str">
            <v>Al Rajhi Bank</v>
          </cell>
          <cell r="AQ645" t="str">
            <v>SA6180000172608010119172</v>
          </cell>
          <cell r="AR645">
            <v>14915</v>
          </cell>
          <cell r="AS645" t="str">
            <v/>
          </cell>
          <cell r="AT645">
            <v>791.5</v>
          </cell>
          <cell r="AU645">
            <v>3728.75</v>
          </cell>
          <cell r="AV645" t="str">
            <v/>
          </cell>
        </row>
        <row r="646">
          <cell r="A646">
            <v>400467</v>
          </cell>
          <cell r="B646" t="str">
            <v>1071632044</v>
          </cell>
          <cell r="C646" t="str">
            <v>السيد</v>
          </cell>
          <cell r="D646" t="str">
            <v>Firas Kamel Salman AlHabeeb</v>
          </cell>
          <cell r="E646" t="str">
            <v>فراس  كامل حبيب</v>
          </cell>
          <cell r="F646" t="str">
            <v>Male</v>
          </cell>
          <cell r="G646" t="str">
            <v/>
          </cell>
          <cell r="H646">
            <v>28404</v>
          </cell>
          <cell r="I646">
            <v>49</v>
          </cell>
          <cell r="J646">
            <v>17786</v>
          </cell>
          <cell r="K646" t="str">
            <v>Firas.Alhabeeb@agriserv.sa</v>
          </cell>
          <cell r="L646" t="str">
            <v>0565829996</v>
          </cell>
          <cell r="M646" t="str">
            <v/>
          </cell>
          <cell r="N646" t="str">
            <v>المملكة العربية السعودية</v>
          </cell>
          <cell r="O646" t="str">
            <v>50001363</v>
          </cell>
          <cell r="P646" t="str">
            <v>طبيب بيطري</v>
          </cell>
          <cell r="Q646" t="str">
            <v>الدرجة 4</v>
          </cell>
          <cell r="R646" t="str">
            <v>Class A</v>
          </cell>
          <cell r="S646" t="str">
            <v/>
          </cell>
          <cell r="T646" t="str">
            <v>عمليات الفروع الدمام</v>
          </cell>
          <cell r="U646" t="str">
            <v>عمليات الفروع</v>
          </cell>
          <cell r="V646" t="str">
            <v>الفروع</v>
          </cell>
          <cell r="W646" t="str">
            <v>Ad-Dammam</v>
          </cell>
          <cell r="X646" t="str">
            <v xml:space="preserve">الفرع </v>
          </cell>
          <cell r="Y646">
            <v>45851</v>
          </cell>
          <cell r="Z646">
            <v>0.93</v>
          </cell>
          <cell r="AA646">
            <v>339</v>
          </cell>
          <cell r="AB646" t="str">
            <v>نشط</v>
          </cell>
          <cell r="AC646" t="str">
            <v>400464</v>
          </cell>
          <cell r="AD646" t="str">
            <v>Mahmoud Alkhames</v>
          </cell>
          <cell r="AE646" t="str">
            <v>إعارة</v>
          </cell>
          <cell r="AF646" t="str">
            <v/>
          </cell>
          <cell r="AG646" t="str">
            <v/>
          </cell>
          <cell r="AH646" t="str">
            <v/>
          </cell>
          <cell r="AI646" t="str">
            <v/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 t="str">
            <v/>
          </cell>
          <cell r="AO646" t="str">
            <v>عمليات الفروع</v>
          </cell>
          <cell r="AP646" t="str">
            <v>Arab National Bank</v>
          </cell>
          <cell r="AQ646" t="str">
            <v>SA4330400108070112030012</v>
          </cell>
          <cell r="AR646">
            <v>16905</v>
          </cell>
          <cell r="AS646" t="str">
            <v/>
          </cell>
          <cell r="AT646">
            <v>990.5</v>
          </cell>
          <cell r="AU646">
            <v>4226.25</v>
          </cell>
          <cell r="AV646" t="str">
            <v/>
          </cell>
        </row>
        <row r="647">
          <cell r="A647">
            <v>400469</v>
          </cell>
          <cell r="B647" t="str">
            <v>1087073464</v>
          </cell>
          <cell r="C647" t="str">
            <v>السيد</v>
          </cell>
          <cell r="D647" t="str">
            <v>Omar Ibrahim Sulaiman Altami</v>
          </cell>
          <cell r="E647" t="str">
            <v>عمر  ابراهيم الطامي</v>
          </cell>
          <cell r="F647" t="str">
            <v>Male</v>
          </cell>
          <cell r="G647" t="str">
            <v/>
          </cell>
          <cell r="H647">
            <v>30518</v>
          </cell>
          <cell r="I647">
            <v>43</v>
          </cell>
          <cell r="J647">
            <v>15672</v>
          </cell>
          <cell r="K647" t="str">
            <v>Omar.Altami@agriserv.sa</v>
          </cell>
          <cell r="L647" t="str">
            <v>0504953234</v>
          </cell>
          <cell r="M647" t="str">
            <v/>
          </cell>
          <cell r="N647" t="str">
            <v>المملكة العربية السعودية</v>
          </cell>
          <cell r="O647" t="str">
            <v>50001371</v>
          </cell>
          <cell r="P647" t="str">
            <v>طبيب بيطري</v>
          </cell>
          <cell r="Q647" t="str">
            <v>الدرجة 4</v>
          </cell>
          <cell r="R647" t="str">
            <v>Class A</v>
          </cell>
          <cell r="S647" t="str">
            <v/>
          </cell>
          <cell r="T647" t="str">
            <v>عمليات الفروع  بريدة</v>
          </cell>
          <cell r="U647" t="str">
            <v>عمليات الفروع</v>
          </cell>
          <cell r="V647" t="str">
            <v>الفروع</v>
          </cell>
          <cell r="W647" t="str">
            <v>Buraydah</v>
          </cell>
          <cell r="X647" t="str">
            <v xml:space="preserve">الفرع </v>
          </cell>
          <cell r="Y647">
            <v>45851</v>
          </cell>
          <cell r="Z647">
            <v>0.93</v>
          </cell>
          <cell r="AA647">
            <v>339</v>
          </cell>
          <cell r="AB647" t="str">
            <v>نشط</v>
          </cell>
          <cell r="AC647" t="str">
            <v>400236</v>
          </cell>
          <cell r="AD647" t="str">
            <v>Jehad Aldhubayi</v>
          </cell>
          <cell r="AE647" t="str">
            <v>إعارة</v>
          </cell>
          <cell r="AF647" t="str">
            <v/>
          </cell>
          <cell r="AG647" t="str">
            <v/>
          </cell>
          <cell r="AH647" t="str">
            <v/>
          </cell>
          <cell r="AI647" t="str">
            <v/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 t="str">
            <v/>
          </cell>
          <cell r="AO647" t="str">
            <v>عمليات الفروع</v>
          </cell>
          <cell r="AP647" t="str">
            <v>Al Rajhi Bank</v>
          </cell>
          <cell r="AQ647" t="str">
            <v>SA3980000212608010171209</v>
          </cell>
          <cell r="AR647">
            <v>12565</v>
          </cell>
          <cell r="AS647" t="str">
            <v/>
          </cell>
          <cell r="AT647">
            <v>556.5</v>
          </cell>
          <cell r="AU647">
            <v>3141.25</v>
          </cell>
          <cell r="AV647" t="str">
            <v/>
          </cell>
        </row>
        <row r="648">
          <cell r="A648">
            <v>400471</v>
          </cell>
          <cell r="B648" t="str">
            <v>1069627584</v>
          </cell>
          <cell r="C648" t="str">
            <v>السيد</v>
          </cell>
          <cell r="D648" t="str">
            <v>Hasan Eabaas Shahaad Alnukhli</v>
          </cell>
          <cell r="E648" t="str">
            <v>حسن  عباس النخلي</v>
          </cell>
          <cell r="F648" t="str">
            <v>Male</v>
          </cell>
          <cell r="G648" t="str">
            <v/>
          </cell>
          <cell r="H648">
            <v>32388</v>
          </cell>
          <cell r="I648">
            <v>38</v>
          </cell>
          <cell r="J648">
            <v>13802</v>
          </cell>
          <cell r="K648" t="str">
            <v>Hasan.Alnukhli@agriserv.sa</v>
          </cell>
          <cell r="L648" t="str">
            <v>0561062884</v>
          </cell>
          <cell r="M648" t="str">
            <v/>
          </cell>
          <cell r="N648" t="str">
            <v>المملكة العربية السعودية</v>
          </cell>
          <cell r="O648" t="str">
            <v>50001364</v>
          </cell>
          <cell r="P648" t="str">
            <v>طبيب بيطري</v>
          </cell>
          <cell r="Q648" t="str">
            <v>الدرجة 4</v>
          </cell>
          <cell r="R648" t="str">
            <v>Class A</v>
          </cell>
          <cell r="S648" t="str">
            <v/>
          </cell>
          <cell r="T648" t="str">
            <v>عمليات الفروع  الطائف</v>
          </cell>
          <cell r="U648" t="str">
            <v>عمليات الفروع</v>
          </cell>
          <cell r="V648" t="str">
            <v>الفروع</v>
          </cell>
          <cell r="W648" t="str">
            <v>AT-Taif</v>
          </cell>
          <cell r="X648" t="str">
            <v xml:space="preserve">الفرع </v>
          </cell>
          <cell r="Y648">
            <v>45851</v>
          </cell>
          <cell r="Z648">
            <v>0.93</v>
          </cell>
          <cell r="AA648">
            <v>339</v>
          </cell>
          <cell r="AB648" t="str">
            <v>نشط</v>
          </cell>
          <cell r="AC648" t="str">
            <v>400474</v>
          </cell>
          <cell r="AD648" t="str">
            <v>Abdulrahman Alziyadi</v>
          </cell>
          <cell r="AE648" t="str">
            <v>إعارة</v>
          </cell>
          <cell r="AF648" t="str">
            <v/>
          </cell>
          <cell r="AG648" t="str">
            <v/>
          </cell>
          <cell r="AH648" t="str">
            <v/>
          </cell>
          <cell r="AI648" t="str">
            <v/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 t="str">
            <v/>
          </cell>
          <cell r="AO648" t="str">
            <v>عمليات الفروع</v>
          </cell>
          <cell r="AP648" t="str">
            <v>Al Rajhi Bank</v>
          </cell>
          <cell r="AQ648" t="str">
            <v>SA5180000493608010051989</v>
          </cell>
          <cell r="AR648">
            <v>13845</v>
          </cell>
          <cell r="AS648" t="str">
            <v/>
          </cell>
          <cell r="AT648">
            <v>684.5</v>
          </cell>
          <cell r="AU648">
            <v>3461.25</v>
          </cell>
          <cell r="AV648" t="str">
            <v/>
          </cell>
        </row>
        <row r="649">
          <cell r="A649">
            <v>400472</v>
          </cell>
          <cell r="B649" t="str">
            <v>1111918999</v>
          </cell>
          <cell r="C649" t="str">
            <v>السيد</v>
          </cell>
          <cell r="D649" t="str">
            <v>Sultan Mohammed K Aloufi</v>
          </cell>
          <cell r="E649" t="str">
            <v>سلطان  محمد العوفي</v>
          </cell>
          <cell r="F649" t="str">
            <v>Male</v>
          </cell>
          <cell r="G649" t="str">
            <v/>
          </cell>
          <cell r="H649">
            <v>35395</v>
          </cell>
          <cell r="I649">
            <v>30</v>
          </cell>
          <cell r="J649">
            <v>10795</v>
          </cell>
          <cell r="K649" t="str">
            <v>Sultan.Aloufi@agriserv.sa</v>
          </cell>
          <cell r="L649" t="str">
            <v>0552586776</v>
          </cell>
          <cell r="M649" t="str">
            <v/>
          </cell>
          <cell r="N649" t="str">
            <v>المملكة العربية السعودية</v>
          </cell>
          <cell r="O649" t="str">
            <v>50001365</v>
          </cell>
          <cell r="P649" t="str">
            <v>طبيب بيطري</v>
          </cell>
          <cell r="Q649" t="str">
            <v>الدرجة 4</v>
          </cell>
          <cell r="R649" t="str">
            <v>Class A</v>
          </cell>
          <cell r="S649" t="str">
            <v/>
          </cell>
          <cell r="T649" t="str">
            <v>عمليات الفروع  الطائف</v>
          </cell>
          <cell r="U649" t="str">
            <v>عمليات الفروع</v>
          </cell>
          <cell r="V649" t="str">
            <v>الفروع</v>
          </cell>
          <cell r="W649" t="str">
            <v>AT-Taif</v>
          </cell>
          <cell r="X649" t="str">
            <v xml:space="preserve">الفرع </v>
          </cell>
          <cell r="Y649">
            <v>45851</v>
          </cell>
          <cell r="Z649">
            <v>0.93</v>
          </cell>
          <cell r="AA649">
            <v>339</v>
          </cell>
          <cell r="AB649" t="str">
            <v>نشط</v>
          </cell>
          <cell r="AC649" t="str">
            <v>400474</v>
          </cell>
          <cell r="AD649" t="str">
            <v>Abdulrahman Alziyadi</v>
          </cell>
          <cell r="AE649" t="str">
            <v>إعارة</v>
          </cell>
          <cell r="AF649" t="str">
            <v/>
          </cell>
          <cell r="AG649" t="str">
            <v/>
          </cell>
          <cell r="AH649" t="str">
            <v/>
          </cell>
          <cell r="AI649" t="str">
            <v/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 t="str">
            <v/>
          </cell>
          <cell r="AO649" t="str">
            <v>عمليات الفروع</v>
          </cell>
          <cell r="AP649" t="str">
            <v>Al Rajhi Bank</v>
          </cell>
          <cell r="AQ649" t="str">
            <v>SA5480000401608010100282</v>
          </cell>
          <cell r="AR649">
            <v>9461</v>
          </cell>
          <cell r="AS649" t="str">
            <v/>
          </cell>
          <cell r="AT649">
            <v>446.1</v>
          </cell>
          <cell r="AU649">
            <v>2365.25</v>
          </cell>
          <cell r="AV649" t="str">
            <v/>
          </cell>
        </row>
        <row r="650">
          <cell r="A650">
            <v>400473</v>
          </cell>
          <cell r="B650" t="str">
            <v>1062170574</v>
          </cell>
          <cell r="C650" t="str">
            <v>السيد</v>
          </cell>
          <cell r="D650" t="str">
            <v>Ali Husain Ali Aljizani</v>
          </cell>
          <cell r="E650" t="str">
            <v>علي  حسين الجيزاني</v>
          </cell>
          <cell r="F650" t="str">
            <v>Male</v>
          </cell>
          <cell r="G650" t="str">
            <v/>
          </cell>
          <cell r="H650">
            <v>30958</v>
          </cell>
          <cell r="I650">
            <v>42</v>
          </cell>
          <cell r="J650">
            <v>15232</v>
          </cell>
          <cell r="K650" t="str">
            <v>Ali.Aljizani@agriserv.sa</v>
          </cell>
          <cell r="L650" t="str">
            <v>0509983365</v>
          </cell>
          <cell r="M650" t="str">
            <v/>
          </cell>
          <cell r="N650" t="str">
            <v>المملكة العربية السعودية</v>
          </cell>
          <cell r="O650" t="str">
            <v>50001382</v>
          </cell>
          <cell r="P650" t="str">
            <v>مساعد طبيب بيطرى</v>
          </cell>
          <cell r="Q650" t="str">
            <v>2B الدرجة</v>
          </cell>
          <cell r="R650" t="str">
            <v>Class A</v>
          </cell>
          <cell r="S650" t="str">
            <v/>
          </cell>
          <cell r="T650" t="str">
            <v>عمليات الفروع  الطائف</v>
          </cell>
          <cell r="U650" t="str">
            <v>عمليات الفروع</v>
          </cell>
          <cell r="V650" t="str">
            <v>الفروع</v>
          </cell>
          <cell r="W650" t="str">
            <v>AT-Taif</v>
          </cell>
          <cell r="X650" t="str">
            <v xml:space="preserve">الفرع </v>
          </cell>
          <cell r="Y650">
            <v>45851</v>
          </cell>
          <cell r="Z650">
            <v>0.93</v>
          </cell>
          <cell r="AA650">
            <v>339</v>
          </cell>
          <cell r="AB650" t="str">
            <v>نشط</v>
          </cell>
          <cell r="AC650" t="str">
            <v>400474</v>
          </cell>
          <cell r="AD650" t="str">
            <v>Abdulrahman Alziyadi</v>
          </cell>
          <cell r="AE650" t="str">
            <v>إعارة</v>
          </cell>
          <cell r="AF650" t="str">
            <v/>
          </cell>
          <cell r="AG650" t="str">
            <v/>
          </cell>
          <cell r="AH650" t="str">
            <v/>
          </cell>
          <cell r="AI650" t="str">
            <v/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 t="str">
            <v/>
          </cell>
          <cell r="AO650" t="str">
            <v>عمليات الفروع</v>
          </cell>
          <cell r="AP650" t="str">
            <v>Al Rajhi Bank</v>
          </cell>
          <cell r="AQ650" t="str">
            <v>SA2680000112608010394984</v>
          </cell>
          <cell r="AR650">
            <v>9565</v>
          </cell>
          <cell r="AS650" t="str">
            <v/>
          </cell>
          <cell r="AT650">
            <v>100</v>
          </cell>
          <cell r="AU650">
            <v>2391.25</v>
          </cell>
          <cell r="AV650" t="str">
            <v/>
          </cell>
        </row>
        <row r="651">
          <cell r="A651">
            <v>400474</v>
          </cell>
          <cell r="B651" t="str">
            <v>1073418285</v>
          </cell>
          <cell r="C651" t="str">
            <v>السيد</v>
          </cell>
          <cell r="D651" t="str">
            <v>Abdulrahman Talal Mohammed Alziyadi</v>
          </cell>
          <cell r="E651" t="str">
            <v>عبد  الرحمن الزيادي</v>
          </cell>
          <cell r="F651" t="str">
            <v>Male</v>
          </cell>
          <cell r="G651" t="str">
            <v/>
          </cell>
          <cell r="H651">
            <v>33427</v>
          </cell>
          <cell r="I651">
            <v>35</v>
          </cell>
          <cell r="J651">
            <v>12763</v>
          </cell>
          <cell r="K651" t="str">
            <v>Abdulrahman.Alziyadi@agriserv.sa</v>
          </cell>
          <cell r="L651" t="str">
            <v>0500323249</v>
          </cell>
          <cell r="M651" t="str">
            <v/>
          </cell>
          <cell r="N651" t="str">
            <v>المملكة العربية السعودية</v>
          </cell>
          <cell r="O651" t="str">
            <v>50001383</v>
          </cell>
          <cell r="P651" t="str">
            <v>مساعد طبيب بيطرى</v>
          </cell>
          <cell r="Q651" t="str">
            <v>2B الدرجة</v>
          </cell>
          <cell r="R651" t="str">
            <v>Class A</v>
          </cell>
          <cell r="S651" t="str">
            <v/>
          </cell>
          <cell r="T651" t="str">
            <v>عمليات الفروع  الطائف</v>
          </cell>
          <cell r="U651" t="str">
            <v>عمليات الفروع</v>
          </cell>
          <cell r="V651" t="str">
            <v>الفروع</v>
          </cell>
          <cell r="W651" t="str">
            <v>AT-Taif</v>
          </cell>
          <cell r="X651" t="str">
            <v xml:space="preserve">الفرع </v>
          </cell>
          <cell r="Y651">
            <v>45851</v>
          </cell>
          <cell r="Z651">
            <v>0.93</v>
          </cell>
          <cell r="AA651">
            <v>339</v>
          </cell>
          <cell r="AB651" t="str">
            <v>نشط</v>
          </cell>
          <cell r="AC651" t="str">
            <v>100174</v>
          </cell>
          <cell r="AD651" t="str">
            <v>Adil Alshaikh</v>
          </cell>
          <cell r="AE651" t="str">
            <v>إعارة</v>
          </cell>
          <cell r="AF651" t="str">
            <v/>
          </cell>
          <cell r="AG651" t="str">
            <v/>
          </cell>
          <cell r="AH651" t="str">
            <v/>
          </cell>
          <cell r="AI651" t="str">
            <v/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 t="str">
            <v/>
          </cell>
          <cell r="AO651" t="str">
            <v>عمليات الفروع</v>
          </cell>
          <cell r="AP651" t="str">
            <v>Al Rajhi Bank</v>
          </cell>
          <cell r="AQ651" t="str">
            <v>SA0280000428608010141772</v>
          </cell>
          <cell r="AR651">
            <v>9565</v>
          </cell>
          <cell r="AS651" t="str">
            <v/>
          </cell>
          <cell r="AT651">
            <v>100</v>
          </cell>
          <cell r="AU651">
            <v>2391.25</v>
          </cell>
          <cell r="AV651" t="str">
            <v/>
          </cell>
        </row>
        <row r="652">
          <cell r="A652">
            <v>400475</v>
          </cell>
          <cell r="B652" t="str">
            <v>1038997431</v>
          </cell>
          <cell r="C652" t="str">
            <v>السيد</v>
          </cell>
          <cell r="D652" t="str">
            <v>Abdullah Aabd Abdullah Aldosree</v>
          </cell>
          <cell r="E652" t="str">
            <v>عبدالله  عابد الدوسري</v>
          </cell>
          <cell r="F652" t="str">
            <v>Male</v>
          </cell>
          <cell r="G652" t="str">
            <v/>
          </cell>
          <cell r="H652">
            <v>30808</v>
          </cell>
          <cell r="I652">
            <v>42</v>
          </cell>
          <cell r="J652">
            <v>15382</v>
          </cell>
          <cell r="K652" t="str">
            <v>Abdullah.Aldosree@agriserv.sa</v>
          </cell>
          <cell r="L652" t="str">
            <v>0540085414</v>
          </cell>
          <cell r="M652" t="str">
            <v/>
          </cell>
          <cell r="N652" t="str">
            <v>المملكة العربية السعودية</v>
          </cell>
          <cell r="O652" t="str">
            <v>50001366</v>
          </cell>
          <cell r="P652" t="str">
            <v>طبيب بيطري</v>
          </cell>
          <cell r="Q652" t="str">
            <v>الدرجة 4</v>
          </cell>
          <cell r="R652" t="str">
            <v>Class A</v>
          </cell>
          <cell r="S652" t="str">
            <v/>
          </cell>
          <cell r="T652" t="str">
            <v>عمليات الفروع  المدينة</v>
          </cell>
          <cell r="U652" t="str">
            <v>عمليات الفروع</v>
          </cell>
          <cell r="V652" t="str">
            <v>الفروع</v>
          </cell>
          <cell r="W652" t="str">
            <v>Al-Madinah</v>
          </cell>
          <cell r="X652" t="str">
            <v xml:space="preserve">الفرع </v>
          </cell>
          <cell r="Y652">
            <v>45851</v>
          </cell>
          <cell r="Z652">
            <v>0.93</v>
          </cell>
          <cell r="AA652">
            <v>339</v>
          </cell>
          <cell r="AB652" t="str">
            <v>نشط</v>
          </cell>
          <cell r="AC652" t="str">
            <v>400574</v>
          </cell>
          <cell r="AD652" t="str">
            <v>Mohammed Qasem</v>
          </cell>
          <cell r="AE652" t="str">
            <v>إعارة</v>
          </cell>
          <cell r="AF652" t="str">
            <v/>
          </cell>
          <cell r="AG652" t="str">
            <v/>
          </cell>
          <cell r="AH652" t="str">
            <v/>
          </cell>
          <cell r="AI652" t="str">
            <v/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 t="str">
            <v/>
          </cell>
          <cell r="AO652" t="str">
            <v>عمليات الفروع</v>
          </cell>
          <cell r="AP652" t="str">
            <v>Saudi National Bank</v>
          </cell>
          <cell r="AQ652" t="str">
            <v>SA8910000032800000572907</v>
          </cell>
          <cell r="AR652">
            <v>13405</v>
          </cell>
          <cell r="AS652" t="str">
            <v/>
          </cell>
          <cell r="AT652">
            <v>640.5</v>
          </cell>
          <cell r="AU652">
            <v>3351.25</v>
          </cell>
          <cell r="AV652" t="str">
            <v/>
          </cell>
        </row>
        <row r="653">
          <cell r="A653">
            <v>400476</v>
          </cell>
          <cell r="B653" t="str">
            <v>1043430766</v>
          </cell>
          <cell r="C653" t="str">
            <v>السيد</v>
          </cell>
          <cell r="D653" t="str">
            <v>Mohammad Abdulrazaq Ahmad Ashari</v>
          </cell>
          <cell r="E653" t="str">
            <v>محمد عبد الرزاق احمد عشري</v>
          </cell>
          <cell r="F653" t="str">
            <v>Male</v>
          </cell>
          <cell r="G653" t="str">
            <v/>
          </cell>
          <cell r="H653">
            <v>31741</v>
          </cell>
          <cell r="I653">
            <v>40</v>
          </cell>
          <cell r="J653">
            <v>14449</v>
          </cell>
          <cell r="K653" t="str">
            <v>Muhamad.Eashari@agriserv.sa</v>
          </cell>
          <cell r="L653" t="str">
            <v>0500858619</v>
          </cell>
          <cell r="M653" t="str">
            <v/>
          </cell>
          <cell r="N653" t="str">
            <v>المملكة العربية السعودية</v>
          </cell>
          <cell r="O653" t="str">
            <v>50001367</v>
          </cell>
          <cell r="P653" t="str">
            <v>طبيب بيطري</v>
          </cell>
          <cell r="Q653" t="str">
            <v>الدرجة 4</v>
          </cell>
          <cell r="R653" t="str">
            <v>Class A</v>
          </cell>
          <cell r="S653" t="str">
            <v/>
          </cell>
          <cell r="T653" t="str">
            <v>عمليات الفروع  المدينة</v>
          </cell>
          <cell r="U653" t="str">
            <v>عمليات الفروع</v>
          </cell>
          <cell r="V653" t="str">
            <v>الفروع</v>
          </cell>
          <cell r="W653" t="str">
            <v>Al-Madinah</v>
          </cell>
          <cell r="X653" t="str">
            <v xml:space="preserve">الفرع </v>
          </cell>
          <cell r="Y653">
            <v>45851</v>
          </cell>
          <cell r="Z653">
            <v>0.93</v>
          </cell>
          <cell r="AA653">
            <v>339</v>
          </cell>
          <cell r="AB653" t="str">
            <v>نشط</v>
          </cell>
          <cell r="AC653" t="str">
            <v>400574</v>
          </cell>
          <cell r="AD653" t="str">
            <v>Mohammed Qasem</v>
          </cell>
          <cell r="AE653" t="str">
            <v>إعارة</v>
          </cell>
          <cell r="AF653" t="str">
            <v/>
          </cell>
          <cell r="AG653" t="str">
            <v/>
          </cell>
          <cell r="AH653" t="str">
            <v/>
          </cell>
          <cell r="AI653" t="str">
            <v/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 t="str">
            <v/>
          </cell>
          <cell r="AO653" t="str">
            <v>عمليات الفروع</v>
          </cell>
          <cell r="AP653" t="str">
            <v>Saudi Investment Bank</v>
          </cell>
          <cell r="AQ653" t="str">
            <v>SA8165000000243060722001</v>
          </cell>
          <cell r="AR653">
            <v>13505</v>
          </cell>
          <cell r="AS653" t="str">
            <v/>
          </cell>
          <cell r="AT653">
            <v>650.5</v>
          </cell>
          <cell r="AU653">
            <v>3376.25</v>
          </cell>
          <cell r="AV653" t="str">
            <v/>
          </cell>
        </row>
        <row r="654">
          <cell r="A654">
            <v>400477</v>
          </cell>
          <cell r="B654" t="str">
            <v>1062765555</v>
          </cell>
          <cell r="C654" t="str">
            <v>السيد</v>
          </cell>
          <cell r="D654" t="str">
            <v>Hashem Ahmad Abaas Alnqeer</v>
          </cell>
          <cell r="E654" t="str">
            <v>هاشم  احمد النغير</v>
          </cell>
          <cell r="F654" t="str">
            <v>Male</v>
          </cell>
          <cell r="G654" t="str">
            <v/>
          </cell>
          <cell r="H654">
            <v>28908</v>
          </cell>
          <cell r="I654">
            <v>47</v>
          </cell>
          <cell r="J654">
            <v>17282</v>
          </cell>
          <cell r="K654" t="str">
            <v>Hashem.Alnqeer@agriserv.sa</v>
          </cell>
          <cell r="L654" t="str">
            <v>0554525523</v>
          </cell>
          <cell r="M654" t="str">
            <v/>
          </cell>
          <cell r="N654" t="str">
            <v>المملكة العربية السعودية</v>
          </cell>
          <cell r="O654" t="str">
            <v>50001368</v>
          </cell>
          <cell r="P654" t="str">
            <v>طبيب بيطري</v>
          </cell>
          <cell r="Q654" t="str">
            <v>الدرجة 4</v>
          </cell>
          <cell r="R654" t="str">
            <v>Class A</v>
          </cell>
          <cell r="S654" t="str">
            <v/>
          </cell>
          <cell r="T654" t="str">
            <v>عمليات الفروع  المدينة</v>
          </cell>
          <cell r="U654" t="str">
            <v>عمليات الفروع</v>
          </cell>
          <cell r="V654" t="str">
            <v>الفروع</v>
          </cell>
          <cell r="W654" t="str">
            <v>Al-Madinah</v>
          </cell>
          <cell r="X654" t="str">
            <v xml:space="preserve">الفرع </v>
          </cell>
          <cell r="Y654">
            <v>45851</v>
          </cell>
          <cell r="Z654">
            <v>0.93</v>
          </cell>
          <cell r="AA654">
            <v>339</v>
          </cell>
          <cell r="AB654" t="str">
            <v>غير نشط</v>
          </cell>
          <cell r="AC654" t="str">
            <v>100036</v>
          </cell>
          <cell r="AD654" t="str">
            <v>Ibrahim Alkhuzam</v>
          </cell>
          <cell r="AE654" t="str">
            <v>إعارة</v>
          </cell>
          <cell r="AF654">
            <v>45990</v>
          </cell>
          <cell r="AG654" t="str">
            <v/>
          </cell>
          <cell r="AH654" t="str">
            <v/>
          </cell>
          <cell r="AI654" t="str">
            <v/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 t="str">
            <v/>
          </cell>
          <cell r="AO654" t="str">
            <v>Operation Department</v>
          </cell>
          <cell r="AP654" t="str">
            <v>Arab National Bank</v>
          </cell>
          <cell r="AQ654" t="str">
            <v>SA4930400108062317850014</v>
          </cell>
          <cell r="AR654">
            <v>14445</v>
          </cell>
          <cell r="AS654" t="str">
            <v/>
          </cell>
          <cell r="AT654">
            <v>744.5</v>
          </cell>
          <cell r="AU654">
            <v>3611.25</v>
          </cell>
          <cell r="AV654" t="str">
            <v/>
          </cell>
        </row>
        <row r="655">
          <cell r="A655">
            <v>400478</v>
          </cell>
          <cell r="B655" t="str">
            <v>1060296959</v>
          </cell>
          <cell r="C655" t="str">
            <v>السيد</v>
          </cell>
          <cell r="D655" t="str">
            <v>Hamzaah Mosleh Ali Alhajwj</v>
          </cell>
          <cell r="E655" t="str">
            <v>حمزه  مصلح الهاجوج</v>
          </cell>
          <cell r="F655" t="str">
            <v>Male</v>
          </cell>
          <cell r="G655" t="str">
            <v/>
          </cell>
          <cell r="H655">
            <v>31372</v>
          </cell>
          <cell r="I655">
            <v>41</v>
          </cell>
          <cell r="J655">
            <v>14818</v>
          </cell>
          <cell r="K655" t="str">
            <v>Hamzaah.Alhajwj@agriserv.sa</v>
          </cell>
          <cell r="L655" t="str">
            <v>0568041212</v>
          </cell>
          <cell r="M655" t="str">
            <v/>
          </cell>
          <cell r="N655" t="str">
            <v>المملكة العربية السعودية</v>
          </cell>
          <cell r="O655" t="str">
            <v>50001369</v>
          </cell>
          <cell r="P655" t="str">
            <v>طبيب بيطري</v>
          </cell>
          <cell r="Q655" t="str">
            <v>الدرجة 4</v>
          </cell>
          <cell r="R655" t="str">
            <v>Class A</v>
          </cell>
          <cell r="S655" t="str">
            <v/>
          </cell>
          <cell r="T655" t="str">
            <v>عمليات الفروع  المدينة</v>
          </cell>
          <cell r="U655" t="str">
            <v>عمليات الفروع</v>
          </cell>
          <cell r="V655" t="str">
            <v>الفروع</v>
          </cell>
          <cell r="W655" t="str">
            <v>Al-Madinah</v>
          </cell>
          <cell r="X655" t="str">
            <v xml:space="preserve">الفرع </v>
          </cell>
          <cell r="Y655">
            <v>45851</v>
          </cell>
          <cell r="Z655">
            <v>0.93</v>
          </cell>
          <cell r="AA655">
            <v>339</v>
          </cell>
          <cell r="AB655" t="str">
            <v>نشط</v>
          </cell>
          <cell r="AC655" t="str">
            <v>400574</v>
          </cell>
          <cell r="AD655" t="str">
            <v>Mohammed Qasem</v>
          </cell>
          <cell r="AE655" t="str">
            <v>إعارة</v>
          </cell>
          <cell r="AF655" t="str">
            <v/>
          </cell>
          <cell r="AG655" t="str">
            <v/>
          </cell>
          <cell r="AH655" t="str">
            <v/>
          </cell>
          <cell r="AI655" t="str">
            <v/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 t="str">
            <v/>
          </cell>
          <cell r="AO655" t="str">
            <v>عمليات الفروع</v>
          </cell>
          <cell r="AP655" t="str">
            <v>Saudi National Bank</v>
          </cell>
          <cell r="AQ655" t="str">
            <v>SA4810000033700000757803</v>
          </cell>
          <cell r="AR655">
            <v>13975</v>
          </cell>
          <cell r="AS655" t="str">
            <v/>
          </cell>
          <cell r="AT655">
            <v>697.5</v>
          </cell>
          <cell r="AU655">
            <v>3493.75</v>
          </cell>
          <cell r="AV655" t="str">
            <v/>
          </cell>
        </row>
        <row r="656">
          <cell r="A656">
            <v>400479</v>
          </cell>
          <cell r="B656" t="str">
            <v>1055050171</v>
          </cell>
          <cell r="C656" t="str">
            <v>السيد</v>
          </cell>
          <cell r="D656" t="str">
            <v>Ali Saleh Ali Alghamdi</v>
          </cell>
          <cell r="E656" t="str">
            <v>علي  صالح الغامدي</v>
          </cell>
          <cell r="F656" t="str">
            <v>Male</v>
          </cell>
          <cell r="G656" t="str">
            <v/>
          </cell>
          <cell r="H656">
            <v>30265</v>
          </cell>
          <cell r="I656">
            <v>44</v>
          </cell>
          <cell r="J656">
            <v>15925</v>
          </cell>
          <cell r="K656" t="str">
            <v>Alisaleh.Alghamdi@agriserv.sa</v>
          </cell>
          <cell r="L656" t="str">
            <v>0560991691</v>
          </cell>
          <cell r="M656" t="str">
            <v/>
          </cell>
          <cell r="N656" t="str">
            <v>المملكة العربية السعودية</v>
          </cell>
          <cell r="O656" t="str">
            <v>50001359</v>
          </cell>
          <cell r="P656" t="str">
            <v>طبيب بيطري</v>
          </cell>
          <cell r="Q656" t="str">
            <v>الدرجة 4</v>
          </cell>
          <cell r="R656" t="str">
            <v>Class A</v>
          </cell>
          <cell r="S656" t="str">
            <v/>
          </cell>
          <cell r="T656" t="str">
            <v>عمليات الفروع الباحة</v>
          </cell>
          <cell r="U656" t="str">
            <v>عمليات الفروع</v>
          </cell>
          <cell r="V656" t="str">
            <v>الفروع</v>
          </cell>
          <cell r="W656" t="str">
            <v>Al-Bahah</v>
          </cell>
          <cell r="X656" t="str">
            <v xml:space="preserve">الفرع </v>
          </cell>
          <cell r="Y656">
            <v>45851</v>
          </cell>
          <cell r="Z656">
            <v>0.93</v>
          </cell>
          <cell r="AA656">
            <v>339</v>
          </cell>
          <cell r="AB656" t="str">
            <v>نشط</v>
          </cell>
          <cell r="AC656" t="str">
            <v>100063</v>
          </cell>
          <cell r="AD656" t="str">
            <v>Hazza Alruwaili</v>
          </cell>
          <cell r="AE656" t="str">
            <v>إعارة</v>
          </cell>
          <cell r="AF656" t="str">
            <v/>
          </cell>
          <cell r="AG656" t="str">
            <v/>
          </cell>
          <cell r="AH656" t="str">
            <v/>
          </cell>
          <cell r="AI656" t="str">
            <v/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 t="str">
            <v/>
          </cell>
          <cell r="AO656" t="str">
            <v>عمليات الفروع</v>
          </cell>
          <cell r="AP656" t="str">
            <v>Saudi National Bank</v>
          </cell>
          <cell r="AQ656" t="str">
            <v>SA6310000030166928000100</v>
          </cell>
          <cell r="AR656">
            <v>14915</v>
          </cell>
          <cell r="AS656" t="str">
            <v/>
          </cell>
          <cell r="AT656">
            <v>791.5</v>
          </cell>
          <cell r="AU656">
            <v>3728.75</v>
          </cell>
          <cell r="AV656" t="str">
            <v/>
          </cell>
        </row>
        <row r="657">
          <cell r="A657">
            <v>400480</v>
          </cell>
          <cell r="B657" t="str">
            <v>1059820884</v>
          </cell>
          <cell r="C657" t="str">
            <v>السيد</v>
          </cell>
          <cell r="D657" t="str">
            <v>Rashid Saleh Mohammad Abofeeh</v>
          </cell>
          <cell r="E657" t="str">
            <v>راشد  صالح فيه</v>
          </cell>
          <cell r="F657" t="str">
            <v>Male</v>
          </cell>
          <cell r="G657" t="str">
            <v/>
          </cell>
          <cell r="H657">
            <v>32620</v>
          </cell>
          <cell r="I657">
            <v>37</v>
          </cell>
          <cell r="J657">
            <v>13570</v>
          </cell>
          <cell r="K657" t="str">
            <v>Rashid.Abofeeh@agriserv.sa</v>
          </cell>
          <cell r="L657" t="str">
            <v>0533623527</v>
          </cell>
          <cell r="M657" t="str">
            <v/>
          </cell>
          <cell r="N657" t="str">
            <v>المملكة العربية السعودية</v>
          </cell>
          <cell r="O657" t="str">
            <v>50001381</v>
          </cell>
          <cell r="P657" t="str">
            <v>مساعد طبيب بيطرى</v>
          </cell>
          <cell r="Q657" t="str">
            <v>2B الدرجة</v>
          </cell>
          <cell r="R657" t="str">
            <v>Class A</v>
          </cell>
          <cell r="S657" t="str">
            <v/>
          </cell>
          <cell r="T657" t="str">
            <v>عمليات الفروع الباحة</v>
          </cell>
          <cell r="U657" t="str">
            <v>عمليات الفروع</v>
          </cell>
          <cell r="V657" t="str">
            <v>الفروع</v>
          </cell>
          <cell r="W657" t="str">
            <v>Al-Bahah</v>
          </cell>
          <cell r="X657" t="str">
            <v xml:space="preserve">الفرع </v>
          </cell>
          <cell r="Y657">
            <v>45851</v>
          </cell>
          <cell r="Z657">
            <v>0.93</v>
          </cell>
          <cell r="AA657">
            <v>339</v>
          </cell>
          <cell r="AB657" t="str">
            <v>نشط</v>
          </cell>
          <cell r="AC657" t="str">
            <v>400479</v>
          </cell>
          <cell r="AD657" t="str">
            <v>Ali Alghamdi</v>
          </cell>
          <cell r="AE657" t="str">
            <v>إعارة</v>
          </cell>
          <cell r="AF657" t="str">
            <v/>
          </cell>
          <cell r="AG657" t="str">
            <v/>
          </cell>
          <cell r="AH657" t="str">
            <v/>
          </cell>
          <cell r="AI657" t="str">
            <v/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 t="str">
            <v/>
          </cell>
          <cell r="AO657" t="str">
            <v>عمليات الفروع</v>
          </cell>
          <cell r="AP657" t="str">
            <v>Arab National Bank</v>
          </cell>
          <cell r="AQ657" t="str">
            <v>SA5830400108058026600019</v>
          </cell>
          <cell r="AR657">
            <v>11745</v>
          </cell>
          <cell r="AS657" t="str">
            <v/>
          </cell>
          <cell r="AT657">
            <v>100</v>
          </cell>
          <cell r="AU657">
            <v>2936.25</v>
          </cell>
          <cell r="AV657" t="str">
            <v/>
          </cell>
        </row>
        <row r="658">
          <cell r="A658">
            <v>400481</v>
          </cell>
          <cell r="B658" t="str">
            <v>1020461180</v>
          </cell>
          <cell r="C658" t="str">
            <v>السيد</v>
          </cell>
          <cell r="D658" t="str">
            <v>Mustafa Hassan Taher Alhadad</v>
          </cell>
          <cell r="E658" t="str">
            <v>مصطفى  حسن الحداد</v>
          </cell>
          <cell r="F658" t="str">
            <v>Male</v>
          </cell>
          <cell r="G658" t="str">
            <v/>
          </cell>
          <cell r="H658">
            <v>27359</v>
          </cell>
          <cell r="I658">
            <v>52</v>
          </cell>
          <cell r="J658">
            <v>18831</v>
          </cell>
          <cell r="K658" t="str">
            <v>Mustafa.Alhadad@agriserv.sa</v>
          </cell>
          <cell r="L658" t="str">
            <v>0503928064</v>
          </cell>
          <cell r="M658" t="str">
            <v/>
          </cell>
          <cell r="N658" t="str">
            <v>المملكة العربية السعودية</v>
          </cell>
          <cell r="O658" t="str">
            <v>50001375</v>
          </cell>
          <cell r="P658" t="str">
            <v>طبيب بيطري</v>
          </cell>
          <cell r="Q658" t="str">
            <v>الدرجة 4</v>
          </cell>
          <cell r="R658" t="str">
            <v>Class A</v>
          </cell>
          <cell r="S658" t="str">
            <v/>
          </cell>
          <cell r="T658" t="str">
            <v>عمليات الفروع  حائل</v>
          </cell>
          <cell r="U658" t="str">
            <v>عمليات الفروع</v>
          </cell>
          <cell r="V658" t="str">
            <v>الفروع</v>
          </cell>
          <cell r="W658" t="str">
            <v>Hail</v>
          </cell>
          <cell r="X658" t="str">
            <v xml:space="preserve">الفرع </v>
          </cell>
          <cell r="Y658">
            <v>45851</v>
          </cell>
          <cell r="Z658">
            <v>0.93</v>
          </cell>
          <cell r="AA658">
            <v>339</v>
          </cell>
          <cell r="AB658" t="str">
            <v>نشط</v>
          </cell>
          <cell r="AC658" t="str">
            <v>400482</v>
          </cell>
          <cell r="AD658" t="str">
            <v>Muath Alhrbi</v>
          </cell>
          <cell r="AE658" t="str">
            <v>إعارة</v>
          </cell>
          <cell r="AF658" t="str">
            <v/>
          </cell>
          <cell r="AG658" t="str">
            <v/>
          </cell>
          <cell r="AH658" t="str">
            <v/>
          </cell>
          <cell r="AI658" t="str">
            <v/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 t="str">
            <v/>
          </cell>
          <cell r="AO658" t="str">
            <v>عمليات الفروع</v>
          </cell>
          <cell r="AP658" t="str">
            <v>Riyad Bank</v>
          </cell>
          <cell r="AQ658" t="str">
            <v>SA2520000006130459329940</v>
          </cell>
          <cell r="AR658">
            <v>17415</v>
          </cell>
          <cell r="AS658" t="str">
            <v/>
          </cell>
          <cell r="AT658">
            <v>1041.5</v>
          </cell>
          <cell r="AU658">
            <v>4353.75</v>
          </cell>
          <cell r="AV658" t="str">
            <v/>
          </cell>
        </row>
        <row r="659">
          <cell r="A659">
            <v>400482</v>
          </cell>
          <cell r="B659" t="str">
            <v>1108088749</v>
          </cell>
          <cell r="C659" t="str">
            <v>السيد</v>
          </cell>
          <cell r="D659" t="str">
            <v>Muath Abdullah Mobarak Alhrbi</v>
          </cell>
          <cell r="E659" t="str">
            <v>معاذ  عبدالله الحربي</v>
          </cell>
          <cell r="F659" t="str">
            <v>Male</v>
          </cell>
          <cell r="G659" t="str">
            <v/>
          </cell>
          <cell r="H659">
            <v>36049</v>
          </cell>
          <cell r="I659">
            <v>28</v>
          </cell>
          <cell r="J659">
            <v>10141</v>
          </cell>
          <cell r="K659" t="str">
            <v>Muath.Alhrbi@agriserv.sa</v>
          </cell>
          <cell r="L659" t="str">
            <v>0559708293</v>
          </cell>
          <cell r="M659" t="str">
            <v/>
          </cell>
          <cell r="N659" t="str">
            <v>المملكة العربية السعودية</v>
          </cell>
          <cell r="O659" t="str">
            <v>50001376</v>
          </cell>
          <cell r="P659" t="str">
            <v>طبيب بيطري</v>
          </cell>
          <cell r="Q659" t="str">
            <v>الدرجة 4</v>
          </cell>
          <cell r="R659" t="str">
            <v>Class A</v>
          </cell>
          <cell r="S659" t="str">
            <v/>
          </cell>
          <cell r="T659" t="str">
            <v>عمليات الفروع  حائل</v>
          </cell>
          <cell r="U659" t="str">
            <v>عمليات الفروع</v>
          </cell>
          <cell r="V659" t="str">
            <v>الفروع</v>
          </cell>
          <cell r="W659" t="str">
            <v>Hail</v>
          </cell>
          <cell r="X659" t="str">
            <v xml:space="preserve">الفرع </v>
          </cell>
          <cell r="Y659">
            <v>45851</v>
          </cell>
          <cell r="Z659">
            <v>0.93</v>
          </cell>
          <cell r="AA659">
            <v>339</v>
          </cell>
          <cell r="AB659" t="str">
            <v>نشط</v>
          </cell>
          <cell r="AC659" t="str">
            <v>100063</v>
          </cell>
          <cell r="AD659" t="str">
            <v>Hazza Alruwaili</v>
          </cell>
          <cell r="AE659" t="str">
            <v>إعارة</v>
          </cell>
          <cell r="AF659" t="str">
            <v/>
          </cell>
          <cell r="AG659" t="str">
            <v/>
          </cell>
          <cell r="AH659" t="str">
            <v/>
          </cell>
          <cell r="AI659" t="str">
            <v/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 t="str">
            <v/>
          </cell>
          <cell r="AO659" t="str">
            <v>عمليات الفروع</v>
          </cell>
          <cell r="AP659" t="str">
            <v>Al Rajhi Bank</v>
          </cell>
          <cell r="AQ659" t="str">
            <v>SA9880000599608010045455</v>
          </cell>
          <cell r="AR659">
            <v>9280</v>
          </cell>
          <cell r="AS659" t="str">
            <v/>
          </cell>
          <cell r="AT659">
            <v>428</v>
          </cell>
          <cell r="AU659">
            <v>2320</v>
          </cell>
          <cell r="AV659" t="str">
            <v/>
          </cell>
        </row>
        <row r="660">
          <cell r="A660">
            <v>400483</v>
          </cell>
          <cell r="B660" t="str">
            <v>1007849068</v>
          </cell>
          <cell r="C660" t="str">
            <v>السيد</v>
          </cell>
          <cell r="D660" t="str">
            <v>Abdullh Fraih Abdulazeez Alradayan</v>
          </cell>
          <cell r="E660" t="str">
            <v>عبدالله  فريح الرديعان</v>
          </cell>
          <cell r="F660" t="str">
            <v>Male</v>
          </cell>
          <cell r="G660" t="str">
            <v/>
          </cell>
          <cell r="H660">
            <v>30192</v>
          </cell>
          <cell r="I660">
            <v>44</v>
          </cell>
          <cell r="J660">
            <v>15998</v>
          </cell>
          <cell r="K660" t="str">
            <v>Abdullh.Alradayan@agriserv.sa</v>
          </cell>
          <cell r="L660" t="str">
            <v>0505336063</v>
          </cell>
          <cell r="M660" t="str">
            <v/>
          </cell>
          <cell r="N660" t="str">
            <v>المملكة العربية السعودية</v>
          </cell>
          <cell r="O660" t="str">
            <v>50001388</v>
          </cell>
          <cell r="P660" t="str">
            <v>مساعد طبيب بيطرى</v>
          </cell>
          <cell r="Q660" t="str">
            <v>2B الدرجة</v>
          </cell>
          <cell r="R660" t="str">
            <v>Class A</v>
          </cell>
          <cell r="S660" t="str">
            <v/>
          </cell>
          <cell r="T660" t="str">
            <v>عمليات الفروع  حائل</v>
          </cell>
          <cell r="U660" t="str">
            <v>عمليات الفروع</v>
          </cell>
          <cell r="V660" t="str">
            <v>الفروع</v>
          </cell>
          <cell r="W660" t="str">
            <v>Hail</v>
          </cell>
          <cell r="X660" t="str">
            <v xml:space="preserve">الفرع </v>
          </cell>
          <cell r="Y660">
            <v>45851</v>
          </cell>
          <cell r="Z660">
            <v>0.93</v>
          </cell>
          <cell r="AA660">
            <v>339</v>
          </cell>
          <cell r="AB660" t="str">
            <v>غير نشط</v>
          </cell>
          <cell r="AC660" t="str">
            <v>100036</v>
          </cell>
          <cell r="AD660" t="str">
            <v>Ibrahim Alkhuzam</v>
          </cell>
          <cell r="AE660" t="str">
            <v>إعارة</v>
          </cell>
          <cell r="AF660">
            <v>46027</v>
          </cell>
          <cell r="AG660" t="str">
            <v/>
          </cell>
          <cell r="AH660" t="str">
            <v/>
          </cell>
          <cell r="AI660" t="str">
            <v/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 t="str">
            <v/>
          </cell>
          <cell r="AO660" t="str">
            <v>Operation Department</v>
          </cell>
          <cell r="AP660" t="str">
            <v>Al Rajhi Bank</v>
          </cell>
          <cell r="AQ660" t="str">
            <v>SA2780000210608010204408</v>
          </cell>
          <cell r="AR660">
            <v>11390</v>
          </cell>
          <cell r="AS660" t="str">
            <v/>
          </cell>
          <cell r="AT660">
            <v>100</v>
          </cell>
          <cell r="AU660">
            <v>2847.5</v>
          </cell>
          <cell r="AV660" t="str">
            <v/>
          </cell>
        </row>
        <row r="661">
          <cell r="A661">
            <v>400484</v>
          </cell>
          <cell r="B661" t="str">
            <v>1104735723</v>
          </cell>
          <cell r="C661" t="str">
            <v>السيد</v>
          </cell>
          <cell r="D661" t="str">
            <v>Eabdalmuneam Sueud Mansur Alnuwmasiu</v>
          </cell>
          <cell r="E661" t="str">
            <v>عبدالمنعم  سعود النومسي</v>
          </cell>
          <cell r="F661" t="str">
            <v>Male</v>
          </cell>
          <cell r="G661" t="str">
            <v/>
          </cell>
          <cell r="H661">
            <v>33818</v>
          </cell>
          <cell r="I661">
            <v>34</v>
          </cell>
          <cell r="J661">
            <v>12372</v>
          </cell>
          <cell r="K661" t="str">
            <v>Eabdalmuneam.Alnuwmasiu@agriserv.sa</v>
          </cell>
          <cell r="L661" t="str">
            <v>0502516321</v>
          </cell>
          <cell r="M661" t="str">
            <v/>
          </cell>
          <cell r="N661" t="str">
            <v>المملكة العربية السعودية</v>
          </cell>
          <cell r="O661" t="str">
            <v>50001377</v>
          </cell>
          <cell r="P661" t="str">
            <v>طبيب بيطري</v>
          </cell>
          <cell r="Q661" t="str">
            <v>الدرجة 4</v>
          </cell>
          <cell r="R661" t="str">
            <v>Class A</v>
          </cell>
          <cell r="S661" t="str">
            <v/>
          </cell>
          <cell r="T661" t="str">
            <v>عمليات الفروع  حائل</v>
          </cell>
          <cell r="U661" t="str">
            <v>عمليات الفروع</v>
          </cell>
          <cell r="V661" t="str">
            <v>الفروع</v>
          </cell>
          <cell r="W661" t="str">
            <v>Ash-Shanan</v>
          </cell>
          <cell r="X661" t="str">
            <v xml:space="preserve">الفرع </v>
          </cell>
          <cell r="Y661">
            <v>45851</v>
          </cell>
          <cell r="Z661">
            <v>0.93</v>
          </cell>
          <cell r="AA661">
            <v>339</v>
          </cell>
          <cell r="AB661" t="str">
            <v>نشط</v>
          </cell>
          <cell r="AC661" t="str">
            <v>400482</v>
          </cell>
          <cell r="AD661" t="str">
            <v>Muath Alhrbi</v>
          </cell>
          <cell r="AE661" t="str">
            <v>إعارة</v>
          </cell>
          <cell r="AF661" t="str">
            <v/>
          </cell>
          <cell r="AG661" t="str">
            <v/>
          </cell>
          <cell r="AH661" t="str">
            <v/>
          </cell>
          <cell r="AI661" t="str">
            <v/>
          </cell>
          <cell r="AJ661">
            <v>1</v>
          </cell>
          <cell r="AK661">
            <v>0</v>
          </cell>
          <cell r="AL661">
            <v>1</v>
          </cell>
          <cell r="AM661">
            <v>0</v>
          </cell>
          <cell r="AN661" t="str">
            <v/>
          </cell>
          <cell r="AO661" t="str">
            <v>عمليات الفروع</v>
          </cell>
          <cell r="AP661" t="str">
            <v>Al Rajhi Bank</v>
          </cell>
          <cell r="AQ661" t="str">
            <v>SA1980000288608010189788</v>
          </cell>
          <cell r="AR661">
            <v>9651</v>
          </cell>
          <cell r="AS661" t="str">
            <v/>
          </cell>
          <cell r="AT661">
            <v>465.1</v>
          </cell>
          <cell r="AU661">
            <v>2412.75</v>
          </cell>
          <cell r="AV661" t="str">
            <v/>
          </cell>
        </row>
        <row r="662">
          <cell r="A662">
            <v>400485</v>
          </cell>
          <cell r="B662" t="str">
            <v>1074273648</v>
          </cell>
          <cell r="C662" t="str">
            <v>السيد</v>
          </cell>
          <cell r="D662" t="str">
            <v>Mustafa Ahmed Nasser Alnahwi</v>
          </cell>
          <cell r="E662" t="str">
            <v>مصطفى  أحمد النحوي</v>
          </cell>
          <cell r="F662" t="str">
            <v>Male</v>
          </cell>
          <cell r="G662" t="str">
            <v/>
          </cell>
          <cell r="H662">
            <v>33278</v>
          </cell>
          <cell r="I662">
            <v>35</v>
          </cell>
          <cell r="J662">
            <v>12912</v>
          </cell>
          <cell r="K662" t="str">
            <v>Mustafa.Alnahwi@agriserv.sa</v>
          </cell>
          <cell r="L662" t="str">
            <v>0555977686</v>
          </cell>
          <cell r="M662" t="str">
            <v/>
          </cell>
          <cell r="N662" t="str">
            <v>المملكة العربية السعودية</v>
          </cell>
          <cell r="O662" t="str">
            <v>50001357</v>
          </cell>
          <cell r="P662" t="str">
            <v>طبيب بيطري</v>
          </cell>
          <cell r="Q662" t="str">
            <v>الدرجة 4</v>
          </cell>
          <cell r="R662" t="str">
            <v>Class A</v>
          </cell>
          <cell r="S662" t="str">
            <v/>
          </cell>
          <cell r="T662" t="str">
            <v>عمليات الفروع أبها</v>
          </cell>
          <cell r="U662" t="str">
            <v>عمليات الفروع</v>
          </cell>
          <cell r="V662" t="str">
            <v>الفروع</v>
          </cell>
          <cell r="W662" t="str">
            <v>Abha</v>
          </cell>
          <cell r="X662" t="str">
            <v xml:space="preserve">الفرع </v>
          </cell>
          <cell r="Y662">
            <v>45851</v>
          </cell>
          <cell r="Z662">
            <v>0.93</v>
          </cell>
          <cell r="AA662">
            <v>339</v>
          </cell>
          <cell r="AB662" t="str">
            <v>نشط</v>
          </cell>
          <cell r="AC662" t="str">
            <v>400548</v>
          </cell>
          <cell r="AD662" t="str">
            <v>Abdullah Alshahrani</v>
          </cell>
          <cell r="AE662" t="str">
            <v>إعارة</v>
          </cell>
          <cell r="AF662" t="str">
            <v/>
          </cell>
          <cell r="AG662" t="str">
            <v/>
          </cell>
          <cell r="AH662" t="str">
            <v/>
          </cell>
          <cell r="AI662" t="str">
            <v/>
          </cell>
          <cell r="AJ662">
            <v>1</v>
          </cell>
          <cell r="AK662">
            <v>0</v>
          </cell>
          <cell r="AL662">
            <v>1</v>
          </cell>
          <cell r="AM662">
            <v>0</v>
          </cell>
          <cell r="AN662" t="str">
            <v/>
          </cell>
          <cell r="AO662" t="str">
            <v>عمليات الفروع</v>
          </cell>
          <cell r="AP662" t="str">
            <v>Saudi National Bank</v>
          </cell>
          <cell r="AQ662" t="str">
            <v>SA7010000002447129000104</v>
          </cell>
          <cell r="AR662">
            <v>12565</v>
          </cell>
          <cell r="AS662" t="str">
            <v/>
          </cell>
          <cell r="AT662">
            <v>556.5</v>
          </cell>
          <cell r="AU662">
            <v>3141.25</v>
          </cell>
          <cell r="AV662" t="str">
            <v/>
          </cell>
        </row>
        <row r="663">
          <cell r="A663">
            <v>400486</v>
          </cell>
          <cell r="B663" t="str">
            <v>1081816355</v>
          </cell>
          <cell r="C663" t="str">
            <v>السيد</v>
          </cell>
          <cell r="D663" t="str">
            <v>Fadel Ibrahim Mohammed Alhamad</v>
          </cell>
          <cell r="E663" t="str">
            <v>فاضل  ابراهيم الحمد</v>
          </cell>
          <cell r="F663" t="str">
            <v>Male</v>
          </cell>
          <cell r="G663" t="str">
            <v/>
          </cell>
          <cell r="H663">
            <v>34459</v>
          </cell>
          <cell r="I663">
            <v>32</v>
          </cell>
          <cell r="J663">
            <v>11731</v>
          </cell>
          <cell r="K663" t="str">
            <v>Fadel.Alhamad@agriserv.sa</v>
          </cell>
          <cell r="L663" t="str">
            <v>0568825001</v>
          </cell>
          <cell r="M663" t="str">
            <v/>
          </cell>
          <cell r="N663" t="str">
            <v>المملكة العربية السعودية</v>
          </cell>
          <cell r="O663" t="str">
            <v>50001380</v>
          </cell>
          <cell r="P663" t="str">
            <v>مساعد طبيب بيطرى</v>
          </cell>
          <cell r="Q663" t="str">
            <v>2B الدرجة</v>
          </cell>
          <cell r="R663" t="str">
            <v>Class A</v>
          </cell>
          <cell r="S663" t="str">
            <v/>
          </cell>
          <cell r="T663" t="str">
            <v>عمليات الفروع أبها</v>
          </cell>
          <cell r="U663" t="str">
            <v>عمليات الفروع</v>
          </cell>
          <cell r="V663" t="str">
            <v>الفروع</v>
          </cell>
          <cell r="W663" t="str">
            <v>Abha</v>
          </cell>
          <cell r="X663" t="str">
            <v xml:space="preserve">الفرع </v>
          </cell>
          <cell r="Y663">
            <v>45851</v>
          </cell>
          <cell r="Z663">
            <v>0.93</v>
          </cell>
          <cell r="AA663">
            <v>339</v>
          </cell>
          <cell r="AB663" t="str">
            <v>نشط</v>
          </cell>
          <cell r="AC663" t="str">
            <v>400548</v>
          </cell>
          <cell r="AD663" t="str">
            <v>Abdullah Alshahrani</v>
          </cell>
          <cell r="AE663" t="str">
            <v>إعارة</v>
          </cell>
          <cell r="AF663" t="str">
            <v/>
          </cell>
          <cell r="AG663" t="str">
            <v/>
          </cell>
          <cell r="AH663" t="str">
            <v/>
          </cell>
          <cell r="AI663" t="str">
            <v/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 t="str">
            <v/>
          </cell>
          <cell r="AO663" t="str">
            <v>عمليات الفروع</v>
          </cell>
          <cell r="AP663" t="str">
            <v>Saudi National Bank</v>
          </cell>
          <cell r="AQ663" t="str">
            <v>SA1610000011100067650806</v>
          </cell>
          <cell r="AR663">
            <v>6014</v>
          </cell>
          <cell r="AS663" t="str">
            <v/>
          </cell>
          <cell r="AT663">
            <v>101.4</v>
          </cell>
          <cell r="AU663">
            <v>1503.5</v>
          </cell>
          <cell r="AV663" t="str">
            <v/>
          </cell>
        </row>
        <row r="664">
          <cell r="A664">
            <v>400487</v>
          </cell>
          <cell r="B664" t="str">
            <v>1086350517</v>
          </cell>
          <cell r="C664" t="str">
            <v>السيد</v>
          </cell>
          <cell r="D664" t="str">
            <v>Tariq Mohammed A Alhabub</v>
          </cell>
          <cell r="E664" t="str">
            <v>طارق  محمد الهبوب</v>
          </cell>
          <cell r="F664" t="str">
            <v>Male</v>
          </cell>
          <cell r="G664" t="str">
            <v/>
          </cell>
          <cell r="H664">
            <v>34264</v>
          </cell>
          <cell r="I664">
            <v>33</v>
          </cell>
          <cell r="J664">
            <v>11926</v>
          </cell>
          <cell r="K664" t="str">
            <v>Tariq.Alhabub@agriserv.sa</v>
          </cell>
          <cell r="L664" t="str">
            <v>0551725941</v>
          </cell>
          <cell r="M664" t="str">
            <v/>
          </cell>
          <cell r="N664" t="str">
            <v>المملكة العربية السعودية</v>
          </cell>
          <cell r="O664" t="str">
            <v>50001358</v>
          </cell>
          <cell r="P664" t="str">
            <v>طبيب بيطري</v>
          </cell>
          <cell r="Q664" t="str">
            <v>الدرجة 4</v>
          </cell>
          <cell r="R664" t="str">
            <v>Class A</v>
          </cell>
          <cell r="S664" t="str">
            <v/>
          </cell>
          <cell r="T664" t="str">
            <v>عمليات الفروع أبها</v>
          </cell>
          <cell r="U664" t="str">
            <v>عمليات الفروع</v>
          </cell>
          <cell r="V664" t="str">
            <v>الفروع</v>
          </cell>
          <cell r="W664" t="str">
            <v>Abha</v>
          </cell>
          <cell r="X664" t="str">
            <v xml:space="preserve">الفرع </v>
          </cell>
          <cell r="Y664">
            <v>45851</v>
          </cell>
          <cell r="Z664">
            <v>0.93</v>
          </cell>
          <cell r="AA664">
            <v>339</v>
          </cell>
          <cell r="AB664" t="str">
            <v>نشط</v>
          </cell>
          <cell r="AC664" t="str">
            <v>400548</v>
          </cell>
          <cell r="AD664" t="str">
            <v>Abdullah Alshahrani</v>
          </cell>
          <cell r="AE664" t="str">
            <v>إعارة</v>
          </cell>
          <cell r="AF664" t="str">
            <v/>
          </cell>
          <cell r="AG664" t="str">
            <v/>
          </cell>
          <cell r="AH664" t="str">
            <v/>
          </cell>
          <cell r="AI664" t="str">
            <v/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 t="str">
            <v/>
          </cell>
          <cell r="AO664" t="str">
            <v>عمليات الفروع</v>
          </cell>
          <cell r="AP664" t="str">
            <v>Banque Saudi Fransi</v>
          </cell>
          <cell r="AQ664" t="str">
            <v xml:space="preserve">SA82550000000P4045500175
</v>
          </cell>
          <cell r="AR664">
            <v>9102</v>
          </cell>
          <cell r="AS664" t="str">
            <v/>
          </cell>
          <cell r="AT664">
            <v>410.2</v>
          </cell>
          <cell r="AU664">
            <v>2275.5</v>
          </cell>
          <cell r="AV664" t="str">
            <v/>
          </cell>
        </row>
        <row r="665">
          <cell r="A665">
            <v>400488</v>
          </cell>
          <cell r="B665" t="str">
            <v>1092407574</v>
          </cell>
          <cell r="C665" t="str">
            <v>السيد</v>
          </cell>
          <cell r="D665" t="str">
            <v>Muslim Dahaam Dahim Alrashidi</v>
          </cell>
          <cell r="E665" t="str">
            <v>مسلم  دحام الرشيدي</v>
          </cell>
          <cell r="F665" t="str">
            <v>Male</v>
          </cell>
          <cell r="G665" t="str">
            <v/>
          </cell>
          <cell r="H665">
            <v>34652</v>
          </cell>
          <cell r="I665">
            <v>32</v>
          </cell>
          <cell r="J665">
            <v>11538</v>
          </cell>
          <cell r="K665" t="str">
            <v>Muslim.Alrashidi@agriserv.sa</v>
          </cell>
          <cell r="L665" t="str">
            <v>0538627652</v>
          </cell>
          <cell r="M665" t="str">
            <v/>
          </cell>
          <cell r="N665" t="str">
            <v>المملكة العربية السعودية</v>
          </cell>
          <cell r="O665" t="str">
            <v>50001378</v>
          </cell>
          <cell r="P665" t="str">
            <v>طبيب بيطري</v>
          </cell>
          <cell r="Q665" t="str">
            <v>الدرجة 4</v>
          </cell>
          <cell r="R665" t="str">
            <v>Class A</v>
          </cell>
          <cell r="S665" t="str">
            <v/>
          </cell>
          <cell r="T665" t="str">
            <v>عمليات الفروع  سكاكا</v>
          </cell>
          <cell r="U665" t="str">
            <v>عمليات الفروع</v>
          </cell>
          <cell r="V665" t="str">
            <v>الفروع</v>
          </cell>
          <cell r="W665" t="str">
            <v>Sakaka</v>
          </cell>
          <cell r="X665" t="str">
            <v xml:space="preserve">الفرع </v>
          </cell>
          <cell r="Y665">
            <v>45851</v>
          </cell>
          <cell r="Z665">
            <v>0.93</v>
          </cell>
          <cell r="AA665">
            <v>339</v>
          </cell>
          <cell r="AB665" t="str">
            <v>نشط</v>
          </cell>
          <cell r="AC665" t="str">
            <v>400490</v>
          </cell>
          <cell r="AD665" t="str">
            <v>Maddallah Alsherari</v>
          </cell>
          <cell r="AE665" t="str">
            <v>إعارة</v>
          </cell>
          <cell r="AF665" t="str">
            <v/>
          </cell>
          <cell r="AG665" t="str">
            <v/>
          </cell>
          <cell r="AH665" t="str">
            <v/>
          </cell>
          <cell r="AI665" t="str">
            <v/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 t="str">
            <v/>
          </cell>
          <cell r="AO665" t="str">
            <v>عمليات الفروع</v>
          </cell>
          <cell r="AP665" t="str">
            <v>Saudi National Bank</v>
          </cell>
          <cell r="AQ665" t="str">
            <v>SA4410000041700000294300</v>
          </cell>
          <cell r="AR665">
            <v>9558</v>
          </cell>
          <cell r="AS665" t="str">
            <v/>
          </cell>
          <cell r="AT665">
            <v>455.8</v>
          </cell>
          <cell r="AU665">
            <v>2389.5</v>
          </cell>
          <cell r="AV665" t="str">
            <v/>
          </cell>
        </row>
        <row r="666">
          <cell r="A666">
            <v>400489</v>
          </cell>
          <cell r="B666" t="str">
            <v>1108251800</v>
          </cell>
          <cell r="C666" t="str">
            <v>السيد</v>
          </cell>
          <cell r="D666" t="str">
            <v>Omar Naaser Alraweli</v>
          </cell>
          <cell r="E666" t="str">
            <v>عمر  ناصر الرويلي</v>
          </cell>
          <cell r="F666" t="str">
            <v>Male</v>
          </cell>
          <cell r="G666" t="str">
            <v/>
          </cell>
          <cell r="H666">
            <v>36718</v>
          </cell>
          <cell r="I666">
            <v>26</v>
          </cell>
          <cell r="J666">
            <v>9472</v>
          </cell>
          <cell r="K666" t="str">
            <v>Aomar.Alrweli@agriserv.sa</v>
          </cell>
          <cell r="L666" t="str">
            <v>0501761877</v>
          </cell>
          <cell r="M666" t="str">
            <v/>
          </cell>
          <cell r="N666" t="str">
            <v>المملكة العربية السعودية</v>
          </cell>
          <cell r="O666" t="str">
            <v>50001379</v>
          </cell>
          <cell r="P666" t="str">
            <v>مساعد طبيب بيطرى</v>
          </cell>
          <cell r="Q666" t="str">
            <v>2B الدرجة</v>
          </cell>
          <cell r="R666" t="str">
            <v>Class A</v>
          </cell>
          <cell r="S666" t="str">
            <v/>
          </cell>
          <cell r="T666" t="str">
            <v>عمليات الفروع  سكاكا</v>
          </cell>
          <cell r="U666" t="str">
            <v>عمليات الفروع</v>
          </cell>
          <cell r="V666" t="str">
            <v>الفروع</v>
          </cell>
          <cell r="W666" t="str">
            <v>Sakaka</v>
          </cell>
          <cell r="X666" t="str">
            <v xml:space="preserve">الفرع </v>
          </cell>
          <cell r="Y666">
            <v>45851</v>
          </cell>
          <cell r="Z666">
            <v>0.93</v>
          </cell>
          <cell r="AA666">
            <v>339</v>
          </cell>
          <cell r="AB666" t="str">
            <v>نشط</v>
          </cell>
          <cell r="AC666" t="str">
            <v>400490</v>
          </cell>
          <cell r="AD666" t="str">
            <v>Maddallah Alsherari</v>
          </cell>
          <cell r="AE666" t="str">
            <v>إعارة</v>
          </cell>
          <cell r="AF666" t="str">
            <v/>
          </cell>
          <cell r="AG666" t="str">
            <v/>
          </cell>
          <cell r="AH666" t="str">
            <v/>
          </cell>
          <cell r="AI666" t="str">
            <v/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 t="str">
            <v/>
          </cell>
          <cell r="AO666" t="str">
            <v>عمليات الفروع</v>
          </cell>
          <cell r="AP666" t="str">
            <v>Al Rajhi Bank</v>
          </cell>
          <cell r="AQ666" t="str">
            <v>SA9180000554608016059891</v>
          </cell>
          <cell r="AR666">
            <v>5955</v>
          </cell>
          <cell r="AS666" t="str">
            <v/>
          </cell>
          <cell r="AT666">
            <v>95.5</v>
          </cell>
          <cell r="AU666">
            <v>1488.75</v>
          </cell>
          <cell r="AV666" t="str">
            <v/>
          </cell>
        </row>
        <row r="667">
          <cell r="A667">
            <v>400490</v>
          </cell>
          <cell r="B667" t="str">
            <v>1039930548</v>
          </cell>
          <cell r="C667" t="str">
            <v>السيد</v>
          </cell>
          <cell r="D667" t="str">
            <v>Maddallah Daifallah null Alsherari</v>
          </cell>
          <cell r="E667" t="str">
            <v>مد  الله الشراري</v>
          </cell>
          <cell r="F667" t="str">
            <v>Male</v>
          </cell>
          <cell r="G667" t="str">
            <v/>
          </cell>
          <cell r="H667">
            <v>29842</v>
          </cell>
          <cell r="I667">
            <v>45</v>
          </cell>
          <cell r="J667">
            <v>16348</v>
          </cell>
          <cell r="K667" t="str">
            <v>Maddallah.Alsherari@agriserv.sa</v>
          </cell>
          <cell r="L667" t="str">
            <v>0556780148</v>
          </cell>
          <cell r="M667" t="str">
            <v/>
          </cell>
          <cell r="N667" t="str">
            <v>المملكة العربية السعودية</v>
          </cell>
          <cell r="O667" t="str">
            <v>50001389</v>
          </cell>
          <cell r="P667" t="str">
            <v>مساعد طبيب بيطرى</v>
          </cell>
          <cell r="Q667" t="str">
            <v>2B الدرجة</v>
          </cell>
          <cell r="R667" t="str">
            <v>Class A</v>
          </cell>
          <cell r="S667" t="str">
            <v/>
          </cell>
          <cell r="T667" t="str">
            <v>عمليات الفروع  سكاكا</v>
          </cell>
          <cell r="U667" t="str">
            <v>عمليات الفروع</v>
          </cell>
          <cell r="V667" t="str">
            <v>الفروع</v>
          </cell>
          <cell r="W667" t="str">
            <v>Sakaka</v>
          </cell>
          <cell r="X667" t="str">
            <v xml:space="preserve">الفرع </v>
          </cell>
          <cell r="Y667">
            <v>45851</v>
          </cell>
          <cell r="Z667">
            <v>0.93</v>
          </cell>
          <cell r="AA667">
            <v>339</v>
          </cell>
          <cell r="AB667" t="str">
            <v>نشط</v>
          </cell>
          <cell r="AC667" t="str">
            <v>100063</v>
          </cell>
          <cell r="AD667" t="str">
            <v>Hazza Alruwaili</v>
          </cell>
          <cell r="AE667" t="str">
            <v>إعارة</v>
          </cell>
          <cell r="AF667" t="str">
            <v/>
          </cell>
          <cell r="AG667" t="str">
            <v/>
          </cell>
          <cell r="AH667" t="str">
            <v/>
          </cell>
          <cell r="AI667" t="str">
            <v/>
          </cell>
          <cell r="AJ667">
            <v>1</v>
          </cell>
          <cell r="AK667">
            <v>1</v>
          </cell>
          <cell r="AL667">
            <v>0</v>
          </cell>
          <cell r="AM667">
            <v>0</v>
          </cell>
          <cell r="AN667" t="str">
            <v/>
          </cell>
          <cell r="AO667" t="str">
            <v>عمليات الفروع</v>
          </cell>
          <cell r="AP667" t="str">
            <v>Al Rajhi Bank</v>
          </cell>
          <cell r="AQ667" t="str">
            <v>SA4080000210608010175947</v>
          </cell>
          <cell r="AR667">
            <v>11745</v>
          </cell>
          <cell r="AS667" t="str">
            <v/>
          </cell>
          <cell r="AT667">
            <v>100</v>
          </cell>
          <cell r="AU667">
            <v>2936.25</v>
          </cell>
          <cell r="AV667" t="str">
            <v/>
          </cell>
        </row>
        <row r="668">
          <cell r="A668">
            <v>400491</v>
          </cell>
          <cell r="B668" t="str">
            <v>1005652068</v>
          </cell>
          <cell r="C668" t="str">
            <v>السيد</v>
          </cell>
          <cell r="D668" t="str">
            <v>Ali Habib Abdullah Alabwy</v>
          </cell>
          <cell r="E668" t="str">
            <v>علي  حبيب الأبوي</v>
          </cell>
          <cell r="F668" t="str">
            <v>Male</v>
          </cell>
          <cell r="G668" t="str">
            <v/>
          </cell>
          <cell r="H668">
            <v>26522</v>
          </cell>
          <cell r="I668">
            <v>54</v>
          </cell>
          <cell r="J668">
            <v>19668</v>
          </cell>
          <cell r="K668" t="str">
            <v>Ali.Alabwy@agriserv.sa</v>
          </cell>
          <cell r="L668" t="str">
            <v>0541009546</v>
          </cell>
          <cell r="M668" t="str">
            <v/>
          </cell>
          <cell r="N668" t="str">
            <v>المملكة العربية السعودية</v>
          </cell>
          <cell r="O668" t="str">
            <v>50001373</v>
          </cell>
          <cell r="P668" t="str">
            <v>طبيب بيطري</v>
          </cell>
          <cell r="Q668" t="str">
            <v>الدرجة 4</v>
          </cell>
          <cell r="R668" t="str">
            <v>Class A</v>
          </cell>
          <cell r="S668" t="str">
            <v/>
          </cell>
          <cell r="T668" t="str">
            <v>عمليات الفروع  تبوك</v>
          </cell>
          <cell r="U668" t="str">
            <v>عمليات الفروع</v>
          </cell>
          <cell r="V668" t="str">
            <v>الفروع</v>
          </cell>
          <cell r="W668" t="str">
            <v>Tabbuk</v>
          </cell>
          <cell r="X668" t="str">
            <v xml:space="preserve">الفرع </v>
          </cell>
          <cell r="Y668">
            <v>45851</v>
          </cell>
          <cell r="Z668">
            <v>0.93</v>
          </cell>
          <cell r="AA668">
            <v>339</v>
          </cell>
          <cell r="AB668" t="str">
            <v>غير نشط</v>
          </cell>
          <cell r="AC668" t="str">
            <v>100036</v>
          </cell>
          <cell r="AD668" t="str">
            <v>Ibrahim Alkhuzam</v>
          </cell>
          <cell r="AE668" t="str">
            <v>إعارة</v>
          </cell>
          <cell r="AF668">
            <v>45943</v>
          </cell>
          <cell r="AG668" t="str">
            <v/>
          </cell>
          <cell r="AH668" t="str">
            <v/>
          </cell>
          <cell r="AI668" t="str">
            <v/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 t="str">
            <v/>
          </cell>
          <cell r="AO668" t="str">
            <v>Operation Department</v>
          </cell>
          <cell r="AP668" t="str">
            <v>Riyad Bank</v>
          </cell>
          <cell r="AQ668" t="str">
            <v>SA3820000004060313199940</v>
          </cell>
          <cell r="AR668">
            <v>17415</v>
          </cell>
          <cell r="AS668" t="str">
            <v/>
          </cell>
          <cell r="AT668">
            <v>1041.5</v>
          </cell>
          <cell r="AU668">
            <v>4353.75</v>
          </cell>
          <cell r="AV668" t="str">
            <v/>
          </cell>
        </row>
        <row r="669">
          <cell r="A669">
            <v>400492</v>
          </cell>
          <cell r="B669" t="str">
            <v>1028415865</v>
          </cell>
          <cell r="C669" t="str">
            <v>السيد</v>
          </cell>
          <cell r="D669" t="str">
            <v>Mohammed Salman Salem Aljuhani</v>
          </cell>
          <cell r="E669" t="str">
            <v>محمد  سلمان الجهني</v>
          </cell>
          <cell r="F669" t="str">
            <v>Male</v>
          </cell>
          <cell r="G669" t="str">
            <v/>
          </cell>
          <cell r="H669">
            <v>28950</v>
          </cell>
          <cell r="I669">
            <v>47</v>
          </cell>
          <cell r="J669">
            <v>17240</v>
          </cell>
          <cell r="K669" t="str">
            <v>Mohammed.Aljuhani@agriserv.sa</v>
          </cell>
          <cell r="L669" t="str">
            <v>0560066188</v>
          </cell>
          <cell r="M669" t="str">
            <v/>
          </cell>
          <cell r="N669" t="str">
            <v>المملكة العربية السعودية</v>
          </cell>
          <cell r="O669" t="str">
            <v>50001384</v>
          </cell>
          <cell r="P669" t="str">
            <v>مساعد طبيب بيطرى</v>
          </cell>
          <cell r="Q669" t="str">
            <v>2B الدرجة</v>
          </cell>
          <cell r="R669" t="str">
            <v>Class A</v>
          </cell>
          <cell r="S669" t="str">
            <v/>
          </cell>
          <cell r="T669" t="str">
            <v>عمليات الفروع  تبوك</v>
          </cell>
          <cell r="U669" t="str">
            <v>عمليات الفروع</v>
          </cell>
          <cell r="V669" t="str">
            <v>الفروع</v>
          </cell>
          <cell r="W669" t="str">
            <v>Tabbuk</v>
          </cell>
          <cell r="X669" t="str">
            <v xml:space="preserve">الفرع </v>
          </cell>
          <cell r="Y669">
            <v>45851</v>
          </cell>
          <cell r="Z669">
            <v>0.93</v>
          </cell>
          <cell r="AA669">
            <v>339</v>
          </cell>
          <cell r="AB669" t="str">
            <v>نشط</v>
          </cell>
          <cell r="AC669" t="str">
            <v>100063</v>
          </cell>
          <cell r="AD669" t="str">
            <v>Hazza Alruwaili</v>
          </cell>
          <cell r="AE669" t="str">
            <v>إعارة</v>
          </cell>
          <cell r="AF669" t="str">
            <v/>
          </cell>
          <cell r="AG669" t="str">
            <v/>
          </cell>
          <cell r="AH669" t="str">
            <v/>
          </cell>
          <cell r="AI669" t="str">
            <v/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 t="str">
            <v/>
          </cell>
          <cell r="AO669" t="str">
            <v>عمليات الفروع</v>
          </cell>
          <cell r="AP669" t="str">
            <v>Al Rajhi Bank</v>
          </cell>
          <cell r="AQ669" t="str">
            <v>SA2080000205608010703364</v>
          </cell>
          <cell r="AR669">
            <v>13505</v>
          </cell>
          <cell r="AS669" t="str">
            <v/>
          </cell>
          <cell r="AT669">
            <v>100</v>
          </cell>
          <cell r="AU669">
            <v>3376.25</v>
          </cell>
          <cell r="AV669" t="str">
            <v/>
          </cell>
        </row>
        <row r="670">
          <cell r="A670">
            <v>400493</v>
          </cell>
          <cell r="B670" t="str">
            <v>1109319077</v>
          </cell>
          <cell r="C670" t="str">
            <v>السيد</v>
          </cell>
          <cell r="D670" t="str">
            <v>Abdulrahman Mulahid G Alruwayli</v>
          </cell>
          <cell r="E670" t="str">
            <v>عبد  الرحمن الرويلي</v>
          </cell>
          <cell r="F670" t="str">
            <v>Male</v>
          </cell>
          <cell r="G670" t="str">
            <v/>
          </cell>
          <cell r="H670">
            <v>36723</v>
          </cell>
          <cell r="I670">
            <v>26</v>
          </cell>
          <cell r="J670">
            <v>9467</v>
          </cell>
          <cell r="K670" t="str">
            <v>Abdulrahman.Alruwayli@agriserv.sa</v>
          </cell>
          <cell r="L670" t="str">
            <v>0538864877</v>
          </cell>
          <cell r="M670" t="str">
            <v/>
          </cell>
          <cell r="N670" t="str">
            <v>المملكة العربية السعودية</v>
          </cell>
          <cell r="O670" t="str">
            <v>50001390</v>
          </cell>
          <cell r="P670" t="str">
            <v>مساعد طبيب بيطرى</v>
          </cell>
          <cell r="Q670" t="str">
            <v>2B الدرجة</v>
          </cell>
          <cell r="R670" t="str">
            <v>Class A</v>
          </cell>
          <cell r="S670" t="str">
            <v/>
          </cell>
          <cell r="T670" t="str">
            <v>عمليات الفروع  عرعر</v>
          </cell>
          <cell r="U670" t="str">
            <v>عمليات الفروع</v>
          </cell>
          <cell r="V670" t="str">
            <v>الفروع</v>
          </cell>
          <cell r="W670" t="str">
            <v>Arar</v>
          </cell>
          <cell r="X670" t="str">
            <v xml:space="preserve">الفرع </v>
          </cell>
          <cell r="Y670">
            <v>45851</v>
          </cell>
          <cell r="Z670">
            <v>0.93</v>
          </cell>
          <cell r="AA670">
            <v>339</v>
          </cell>
          <cell r="AB670" t="str">
            <v>نشط</v>
          </cell>
          <cell r="AC670" t="str">
            <v>100063</v>
          </cell>
          <cell r="AD670" t="str">
            <v>Hazza Alruwaili</v>
          </cell>
          <cell r="AE670" t="str">
            <v>إعارة</v>
          </cell>
          <cell r="AF670" t="str">
            <v/>
          </cell>
          <cell r="AG670" t="str">
            <v/>
          </cell>
          <cell r="AH670" t="str">
            <v/>
          </cell>
          <cell r="AI670" t="str">
            <v/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 t="str">
            <v/>
          </cell>
          <cell r="AO670" t="str">
            <v>عمليات الفروع</v>
          </cell>
          <cell r="AP670" t="str">
            <v>Al Rajhi Bank</v>
          </cell>
          <cell r="AQ670" t="str">
            <v>SA9780000355608016432610</v>
          </cell>
          <cell r="AR670">
            <v>5955</v>
          </cell>
          <cell r="AS670" t="str">
            <v/>
          </cell>
          <cell r="AT670">
            <v>95.5</v>
          </cell>
          <cell r="AU670">
            <v>1488.75</v>
          </cell>
          <cell r="AV670" t="str">
            <v/>
          </cell>
        </row>
        <row r="671">
          <cell r="A671">
            <v>400494</v>
          </cell>
          <cell r="B671" t="str">
            <v>1003342191</v>
          </cell>
          <cell r="C671" t="str">
            <v>السيد</v>
          </cell>
          <cell r="D671" t="str">
            <v>Aziz Radhi Aziz Alhazmi</v>
          </cell>
          <cell r="E671" t="str">
            <v>عزيز  راضي الحازمي</v>
          </cell>
          <cell r="F671" t="str">
            <v>Male</v>
          </cell>
          <cell r="G671" t="str">
            <v/>
          </cell>
          <cell r="H671">
            <v>30875</v>
          </cell>
          <cell r="I671">
            <v>42</v>
          </cell>
          <cell r="J671">
            <v>15315</v>
          </cell>
          <cell r="K671" t="str">
            <v>Aziz.Alhazmi@agriserv.sa</v>
          </cell>
          <cell r="L671" t="str">
            <v>0533699775</v>
          </cell>
          <cell r="M671" t="str">
            <v/>
          </cell>
          <cell r="N671" t="str">
            <v>المملكة العربية السعودية</v>
          </cell>
          <cell r="O671" t="str">
            <v>50001391</v>
          </cell>
          <cell r="P671" t="str">
            <v>مساعد طبيب بيطرى</v>
          </cell>
          <cell r="Q671" t="str">
            <v>2B الدرجة</v>
          </cell>
          <cell r="R671" t="str">
            <v>Class A</v>
          </cell>
          <cell r="S671" t="str">
            <v/>
          </cell>
          <cell r="T671" t="str">
            <v>عمليات الفروع  عرعر</v>
          </cell>
          <cell r="U671" t="str">
            <v>عمليات الفروع</v>
          </cell>
          <cell r="V671" t="str">
            <v>الفروع</v>
          </cell>
          <cell r="W671" t="str">
            <v>Arar</v>
          </cell>
          <cell r="X671" t="str">
            <v xml:space="preserve">الفرع </v>
          </cell>
          <cell r="Y671">
            <v>45851</v>
          </cell>
          <cell r="Z671">
            <v>0.93</v>
          </cell>
          <cell r="AA671">
            <v>339</v>
          </cell>
          <cell r="AB671" t="str">
            <v>غير نشط</v>
          </cell>
          <cell r="AC671" t="str">
            <v>100036</v>
          </cell>
          <cell r="AD671" t="str">
            <v>Ibrahim Alkhuzam</v>
          </cell>
          <cell r="AE671" t="str">
            <v>إعارة</v>
          </cell>
          <cell r="AF671">
            <v>45898</v>
          </cell>
          <cell r="AG671" t="str">
            <v/>
          </cell>
          <cell r="AH671" t="str">
            <v/>
          </cell>
          <cell r="AI671" t="str">
            <v/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 t="str">
            <v/>
          </cell>
          <cell r="AO671" t="str">
            <v>Operation Department</v>
          </cell>
          <cell r="AP671" t="str">
            <v>Al Rajhi Bank</v>
          </cell>
          <cell r="AQ671" t="str">
            <v>SA3680000210608010179899</v>
          </cell>
          <cell r="AR671">
            <v>13975</v>
          </cell>
          <cell r="AS671" t="str">
            <v/>
          </cell>
          <cell r="AT671">
            <v>100</v>
          </cell>
          <cell r="AU671">
            <v>3493.75</v>
          </cell>
          <cell r="AV671" t="str">
            <v/>
          </cell>
        </row>
        <row r="672">
          <cell r="A672">
            <v>400495</v>
          </cell>
          <cell r="B672" t="str">
            <v>1025719756</v>
          </cell>
          <cell r="C672" t="str">
            <v>السيد</v>
          </cell>
          <cell r="D672" t="str">
            <v>Fawaz Samai M Alsharari</v>
          </cell>
          <cell r="E672" t="str">
            <v>فواز سامي متنان الشراري</v>
          </cell>
          <cell r="F672" t="str">
            <v>Male</v>
          </cell>
          <cell r="G672" t="str">
            <v/>
          </cell>
          <cell r="H672">
            <v>27862</v>
          </cell>
          <cell r="I672">
            <v>50</v>
          </cell>
          <cell r="J672">
            <v>18328</v>
          </cell>
          <cell r="K672" t="str">
            <v>Fawaz.Alsharari@agriserv.sa</v>
          </cell>
          <cell r="L672" t="str">
            <v>0503092304</v>
          </cell>
          <cell r="M672" t="str">
            <v/>
          </cell>
          <cell r="N672" t="str">
            <v>المملكة العربية السعودية</v>
          </cell>
          <cell r="O672" t="str">
            <v>50001392</v>
          </cell>
          <cell r="P672" t="str">
            <v>مساعد طبيب بيطرى</v>
          </cell>
          <cell r="Q672" t="str">
            <v>2B الدرجة</v>
          </cell>
          <cell r="R672" t="str">
            <v>Class A</v>
          </cell>
          <cell r="S672" t="str">
            <v/>
          </cell>
          <cell r="T672" t="str">
            <v>عمليات الفروع  عرعر</v>
          </cell>
          <cell r="U672" t="str">
            <v>عمليات الفروع</v>
          </cell>
          <cell r="V672" t="str">
            <v>الفروع</v>
          </cell>
          <cell r="W672" t="str">
            <v>Arar</v>
          </cell>
          <cell r="X672" t="str">
            <v xml:space="preserve">الفرع </v>
          </cell>
          <cell r="Y672">
            <v>45851</v>
          </cell>
          <cell r="Z672">
            <v>0.93</v>
          </cell>
          <cell r="AA672">
            <v>339</v>
          </cell>
          <cell r="AB672" t="str">
            <v>نشط</v>
          </cell>
          <cell r="AC672" t="str">
            <v>400496</v>
          </cell>
          <cell r="AD672" t="str">
            <v>Burgesh Alhazmi</v>
          </cell>
          <cell r="AE672" t="str">
            <v>إعارة</v>
          </cell>
          <cell r="AF672" t="str">
            <v/>
          </cell>
          <cell r="AG672" t="str">
            <v/>
          </cell>
          <cell r="AH672" t="str">
            <v/>
          </cell>
          <cell r="AI672" t="str">
            <v/>
          </cell>
          <cell r="AJ672">
            <v>2</v>
          </cell>
          <cell r="AK672">
            <v>1</v>
          </cell>
          <cell r="AL672">
            <v>1</v>
          </cell>
          <cell r="AM672">
            <v>0</v>
          </cell>
          <cell r="AN672" t="str">
            <v/>
          </cell>
          <cell r="AO672" t="str">
            <v>عمليات الفروع</v>
          </cell>
          <cell r="AP672" t="str">
            <v>Inma Bank</v>
          </cell>
          <cell r="AQ672" t="str">
            <v>SA6205000068205491020000</v>
          </cell>
          <cell r="AR672">
            <v>11025</v>
          </cell>
          <cell r="AS672" t="str">
            <v/>
          </cell>
          <cell r="AT672">
            <v>100</v>
          </cell>
          <cell r="AU672">
            <v>2756.25</v>
          </cell>
          <cell r="AV672" t="str">
            <v/>
          </cell>
        </row>
        <row r="673">
          <cell r="A673">
            <v>400496</v>
          </cell>
          <cell r="B673" t="str">
            <v>1030704587</v>
          </cell>
          <cell r="C673" t="str">
            <v>السيد</v>
          </cell>
          <cell r="D673" t="str">
            <v>Burgesh Mefdhi Mhaidi Alhazmi</v>
          </cell>
          <cell r="E673" t="str">
            <v>برغش  مفضي الحازمي</v>
          </cell>
          <cell r="F673" t="str">
            <v>Male</v>
          </cell>
          <cell r="G673" t="str">
            <v/>
          </cell>
          <cell r="H673">
            <v>30235</v>
          </cell>
          <cell r="I673">
            <v>44</v>
          </cell>
          <cell r="J673">
            <v>15955</v>
          </cell>
          <cell r="K673" t="str">
            <v>Burgesh.Alhazmi@agriserv.sa</v>
          </cell>
          <cell r="L673" t="str">
            <v>0533415855</v>
          </cell>
          <cell r="M673" t="str">
            <v/>
          </cell>
          <cell r="N673" t="str">
            <v>المملكة العربية السعودية</v>
          </cell>
          <cell r="O673" t="str">
            <v>50001393</v>
          </cell>
          <cell r="P673" t="str">
            <v>مساعد طبيب بيطرى</v>
          </cell>
          <cell r="Q673" t="str">
            <v>2B الدرجة</v>
          </cell>
          <cell r="R673" t="str">
            <v>Class A</v>
          </cell>
          <cell r="S673" t="str">
            <v/>
          </cell>
          <cell r="T673" t="str">
            <v>عمليات الفروع  عرعر</v>
          </cell>
          <cell r="U673" t="str">
            <v>عمليات الفروع</v>
          </cell>
          <cell r="V673" t="str">
            <v>الفروع</v>
          </cell>
          <cell r="W673" t="str">
            <v>Arar</v>
          </cell>
          <cell r="X673" t="str">
            <v xml:space="preserve">الفرع </v>
          </cell>
          <cell r="Y673">
            <v>45851</v>
          </cell>
          <cell r="Z673">
            <v>0.93</v>
          </cell>
          <cell r="AA673">
            <v>339</v>
          </cell>
          <cell r="AB673" t="str">
            <v>نشط</v>
          </cell>
          <cell r="AC673" t="str">
            <v>100063</v>
          </cell>
          <cell r="AD673" t="str">
            <v>Hazza Alruwaili</v>
          </cell>
          <cell r="AE673" t="str">
            <v>إعارة</v>
          </cell>
          <cell r="AF673" t="str">
            <v/>
          </cell>
          <cell r="AG673" t="str">
            <v/>
          </cell>
          <cell r="AH673" t="str">
            <v/>
          </cell>
          <cell r="AI673" t="str">
            <v/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 t="str">
            <v/>
          </cell>
          <cell r="AO673" t="str">
            <v>عمليات الفروع</v>
          </cell>
          <cell r="AP673" t="str">
            <v>Saudi National Bank</v>
          </cell>
          <cell r="AQ673" t="str">
            <v>SA2110000040150907000109</v>
          </cell>
          <cell r="AR673">
            <v>11330</v>
          </cell>
          <cell r="AS673" t="str">
            <v/>
          </cell>
          <cell r="AT673">
            <v>100</v>
          </cell>
          <cell r="AU673">
            <v>2832.5</v>
          </cell>
          <cell r="AV673" t="str">
            <v/>
          </cell>
        </row>
        <row r="674">
          <cell r="A674">
            <v>400497</v>
          </cell>
          <cell r="B674" t="str">
            <v>1085548483</v>
          </cell>
          <cell r="C674" t="str">
            <v>السيد</v>
          </cell>
          <cell r="D674" t="str">
            <v>Tarky Mahdi Authman Kharmy</v>
          </cell>
          <cell r="E674" t="str">
            <v>تركي  مهدي خرمي</v>
          </cell>
          <cell r="F674" t="str">
            <v>Male</v>
          </cell>
          <cell r="G674" t="str">
            <v/>
          </cell>
          <cell r="H674">
            <v>34271</v>
          </cell>
          <cell r="I674">
            <v>33</v>
          </cell>
          <cell r="J674">
            <v>11919</v>
          </cell>
          <cell r="K674" t="str">
            <v>Tarky.Kharmy@agriserv.sa</v>
          </cell>
          <cell r="L674" t="str">
            <v>0550182191</v>
          </cell>
          <cell r="M674" t="str">
            <v/>
          </cell>
          <cell r="N674" t="str">
            <v>المملكة العربية السعودية</v>
          </cell>
          <cell r="O674" t="str">
            <v>50001385</v>
          </cell>
          <cell r="P674" t="str">
            <v>مساعد طبيب بيطرى</v>
          </cell>
          <cell r="Q674" t="str">
            <v>2B الدرجة</v>
          </cell>
          <cell r="R674" t="str">
            <v>Class A</v>
          </cell>
          <cell r="S674" t="str">
            <v/>
          </cell>
          <cell r="T674" t="str">
            <v>عمليات الفروع  جيزان</v>
          </cell>
          <cell r="U674" t="str">
            <v>عمليات الفروع</v>
          </cell>
          <cell r="V674" t="str">
            <v>الفروع</v>
          </cell>
          <cell r="W674" t="str">
            <v>Jizan</v>
          </cell>
          <cell r="X674" t="str">
            <v xml:space="preserve">الفرع </v>
          </cell>
          <cell r="Y674">
            <v>45851</v>
          </cell>
          <cell r="Z674">
            <v>0.93</v>
          </cell>
          <cell r="AA674">
            <v>339</v>
          </cell>
          <cell r="AB674" t="str">
            <v>نشط</v>
          </cell>
          <cell r="AC674" t="str">
            <v>400500</v>
          </cell>
          <cell r="AD674" t="str">
            <v>Mohsen Krairi</v>
          </cell>
          <cell r="AE674" t="str">
            <v>إعارة</v>
          </cell>
          <cell r="AF674" t="str">
            <v/>
          </cell>
          <cell r="AG674" t="str">
            <v/>
          </cell>
          <cell r="AH674" t="str">
            <v/>
          </cell>
          <cell r="AI674" t="str">
            <v/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 t="str">
            <v/>
          </cell>
          <cell r="AO674" t="str">
            <v>عمليات الفروع</v>
          </cell>
          <cell r="AP674" t="str">
            <v>Al Rajhi Bank</v>
          </cell>
          <cell r="AQ674" t="str">
            <v>SA6380000489608010059442</v>
          </cell>
          <cell r="AR674">
            <v>9565</v>
          </cell>
          <cell r="AS674" t="str">
            <v/>
          </cell>
          <cell r="AT674">
            <v>100</v>
          </cell>
          <cell r="AU674">
            <v>2391.25</v>
          </cell>
          <cell r="AV674" t="str">
            <v/>
          </cell>
        </row>
        <row r="675">
          <cell r="A675">
            <v>400498</v>
          </cell>
          <cell r="B675" t="str">
            <v>1004011506</v>
          </cell>
          <cell r="C675" t="str">
            <v>السيد</v>
          </cell>
          <cell r="D675" t="str">
            <v>Abdulmuneam Ali Salman Alghreeb</v>
          </cell>
          <cell r="E675" t="str">
            <v>عبدالمنعم  علي الغريب</v>
          </cell>
          <cell r="F675" t="str">
            <v>Male</v>
          </cell>
          <cell r="G675" t="str">
            <v/>
          </cell>
          <cell r="H675">
            <v>26272</v>
          </cell>
          <cell r="I675">
            <v>55</v>
          </cell>
          <cell r="J675">
            <v>19918</v>
          </cell>
          <cell r="K675" t="str">
            <v>Abdulmuneam.Alghreeb@agriserv.sa</v>
          </cell>
          <cell r="L675" t="str">
            <v>0543887330</v>
          </cell>
          <cell r="M675" t="str">
            <v/>
          </cell>
          <cell r="N675" t="str">
            <v>المملكة العربية السعودية</v>
          </cell>
          <cell r="O675" t="str">
            <v>50001374</v>
          </cell>
          <cell r="P675" t="str">
            <v>طبيب بيطري</v>
          </cell>
          <cell r="Q675" t="str">
            <v>الدرجة 4</v>
          </cell>
          <cell r="R675" t="str">
            <v>Class A</v>
          </cell>
          <cell r="S675" t="str">
            <v/>
          </cell>
          <cell r="T675" t="str">
            <v>عمليات الفروع  جيزان</v>
          </cell>
          <cell r="U675" t="str">
            <v>عمليات الفروع</v>
          </cell>
          <cell r="V675" t="str">
            <v>الفروع</v>
          </cell>
          <cell r="W675" t="str">
            <v>Jizan</v>
          </cell>
          <cell r="X675" t="str">
            <v xml:space="preserve">الفرع </v>
          </cell>
          <cell r="Y675">
            <v>45851</v>
          </cell>
          <cell r="Z675">
            <v>0.93</v>
          </cell>
          <cell r="AA675">
            <v>339</v>
          </cell>
          <cell r="AB675" t="str">
            <v>نشط</v>
          </cell>
          <cell r="AC675" t="str">
            <v>400500</v>
          </cell>
          <cell r="AD675" t="str">
            <v>Mohsen Krairi</v>
          </cell>
          <cell r="AE675" t="str">
            <v>إعارة</v>
          </cell>
          <cell r="AF675" t="str">
            <v/>
          </cell>
          <cell r="AG675" t="str">
            <v/>
          </cell>
          <cell r="AH675" t="str">
            <v/>
          </cell>
          <cell r="AI675" t="str">
            <v/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 t="str">
            <v/>
          </cell>
          <cell r="AO675" t="str">
            <v>عمليات الفروع</v>
          </cell>
          <cell r="AP675" t="str">
            <v>Banque Saudi Fransi</v>
          </cell>
          <cell r="AQ675" t="str">
            <v>SA5655000000058303600171</v>
          </cell>
          <cell r="AR675">
            <v>16395</v>
          </cell>
          <cell r="AS675" t="str">
            <v/>
          </cell>
          <cell r="AT675">
            <v>939.5</v>
          </cell>
          <cell r="AU675">
            <v>4098.75</v>
          </cell>
          <cell r="AV675" t="str">
            <v/>
          </cell>
        </row>
        <row r="676">
          <cell r="A676">
            <v>400499</v>
          </cell>
          <cell r="B676" t="str">
            <v>1090918614</v>
          </cell>
          <cell r="C676" t="str">
            <v>السيد</v>
          </cell>
          <cell r="D676" t="str">
            <v>Hussen Ausman Hussen Kormi</v>
          </cell>
          <cell r="E676" t="str">
            <v>حسين  عثمان خرمي</v>
          </cell>
          <cell r="F676" t="str">
            <v>Male</v>
          </cell>
          <cell r="G676" t="str">
            <v/>
          </cell>
          <cell r="H676">
            <v>34863</v>
          </cell>
          <cell r="I676">
            <v>31</v>
          </cell>
          <cell r="J676">
            <v>11327</v>
          </cell>
          <cell r="K676" t="str">
            <v>Hussen.Kormi@agriserv.sa</v>
          </cell>
          <cell r="L676" t="str">
            <v>0536142205</v>
          </cell>
          <cell r="M676" t="str">
            <v/>
          </cell>
          <cell r="N676" t="str">
            <v>المملكة العربية السعودية</v>
          </cell>
          <cell r="O676" t="str">
            <v>50001386</v>
          </cell>
          <cell r="P676" t="str">
            <v>مساعد طبيب بيطرى</v>
          </cell>
          <cell r="Q676" t="str">
            <v>2B الدرجة</v>
          </cell>
          <cell r="R676" t="str">
            <v>Class A</v>
          </cell>
          <cell r="S676" t="str">
            <v/>
          </cell>
          <cell r="T676" t="str">
            <v>عمليات الفروع  جيزان</v>
          </cell>
          <cell r="U676" t="str">
            <v>عمليات الفروع</v>
          </cell>
          <cell r="V676" t="str">
            <v>الفروع</v>
          </cell>
          <cell r="W676" t="str">
            <v>Jizan</v>
          </cell>
          <cell r="X676" t="str">
            <v xml:space="preserve">الفرع </v>
          </cell>
          <cell r="Y676">
            <v>45851</v>
          </cell>
          <cell r="Z676">
            <v>0.93</v>
          </cell>
          <cell r="AA676">
            <v>339</v>
          </cell>
          <cell r="AB676" t="str">
            <v>نشط</v>
          </cell>
          <cell r="AC676" t="str">
            <v>400500</v>
          </cell>
          <cell r="AD676" t="str">
            <v>Mohsen Krairi</v>
          </cell>
          <cell r="AE676" t="str">
            <v>إعارة</v>
          </cell>
          <cell r="AF676" t="str">
            <v/>
          </cell>
          <cell r="AG676" t="str">
            <v/>
          </cell>
          <cell r="AH676" t="str">
            <v/>
          </cell>
          <cell r="AI676" t="str">
            <v/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 t="str">
            <v/>
          </cell>
          <cell r="AO676" t="str">
            <v>عمليات الفروع</v>
          </cell>
          <cell r="AP676" t="str">
            <v>Al Rajhi Bank</v>
          </cell>
          <cell r="AQ676" t="str">
            <v>SA8980000489608010059459</v>
          </cell>
          <cell r="AR676">
            <v>5614</v>
          </cell>
          <cell r="AS676" t="str">
            <v/>
          </cell>
          <cell r="AT676">
            <v>61.4</v>
          </cell>
          <cell r="AU676">
            <v>1403.5</v>
          </cell>
          <cell r="AV676" t="str">
            <v/>
          </cell>
        </row>
        <row r="677">
          <cell r="A677">
            <v>400500</v>
          </cell>
          <cell r="B677" t="str">
            <v>1049330507</v>
          </cell>
          <cell r="C677" t="str">
            <v>السيد</v>
          </cell>
          <cell r="D677" t="str">
            <v>Mohsen Abdah Msawi Krairi</v>
          </cell>
          <cell r="E677" t="str">
            <v>محسن  عبده كريري</v>
          </cell>
          <cell r="F677" t="str">
            <v>Male</v>
          </cell>
          <cell r="G677" t="str">
            <v/>
          </cell>
          <cell r="H677">
            <v>30543</v>
          </cell>
          <cell r="I677">
            <v>43</v>
          </cell>
          <cell r="J677">
            <v>15647</v>
          </cell>
          <cell r="K677" t="str">
            <v>Mohsen.Krairi@agriserv.sa</v>
          </cell>
          <cell r="L677" t="str">
            <v>0555773995</v>
          </cell>
          <cell r="M677" t="str">
            <v/>
          </cell>
          <cell r="N677" t="str">
            <v>المملكة العربية السعودية</v>
          </cell>
          <cell r="O677" t="str">
            <v>50001387</v>
          </cell>
          <cell r="P677" t="str">
            <v>مساعد طبيب بيطرى</v>
          </cell>
          <cell r="Q677" t="str">
            <v>2B الدرجة</v>
          </cell>
          <cell r="R677" t="str">
            <v>Class A</v>
          </cell>
          <cell r="S677" t="str">
            <v/>
          </cell>
          <cell r="T677" t="str">
            <v>عمليات الفروع  جيزان</v>
          </cell>
          <cell r="U677" t="str">
            <v>عمليات الفروع</v>
          </cell>
          <cell r="V677" t="str">
            <v>الفروع</v>
          </cell>
          <cell r="W677" t="str">
            <v>Jizan</v>
          </cell>
          <cell r="X677" t="str">
            <v xml:space="preserve">الفرع </v>
          </cell>
          <cell r="Y677">
            <v>45851</v>
          </cell>
          <cell r="Z677">
            <v>0.93</v>
          </cell>
          <cell r="AA677">
            <v>339</v>
          </cell>
          <cell r="AB677" t="str">
            <v>نشط</v>
          </cell>
          <cell r="AC677" t="str">
            <v>100063</v>
          </cell>
          <cell r="AD677" t="str">
            <v>Hazza Alruwaili</v>
          </cell>
          <cell r="AE677" t="str">
            <v>إعارة</v>
          </cell>
          <cell r="AF677" t="str">
            <v/>
          </cell>
          <cell r="AG677" t="str">
            <v/>
          </cell>
          <cell r="AH677" t="str">
            <v/>
          </cell>
          <cell r="AI677" t="str">
            <v/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 t="str">
            <v/>
          </cell>
          <cell r="AO677" t="str">
            <v>عمليات الفروع</v>
          </cell>
          <cell r="AP677" t="str">
            <v>Riyad Bank</v>
          </cell>
          <cell r="AQ677" t="str">
            <v>SA0920000003340203239940</v>
          </cell>
          <cell r="AR677">
            <v>11330</v>
          </cell>
          <cell r="AS677" t="str">
            <v/>
          </cell>
          <cell r="AT677">
            <v>100</v>
          </cell>
          <cell r="AU677">
            <v>2832.5</v>
          </cell>
          <cell r="AV677" t="str">
            <v/>
          </cell>
        </row>
        <row r="678">
          <cell r="A678">
            <v>400501</v>
          </cell>
          <cell r="B678" t="str">
            <v>1019459724</v>
          </cell>
          <cell r="C678" t="str">
            <v>السيد</v>
          </cell>
          <cell r="D678" t="str">
            <v>Ahmad Mohammed Alramdhan</v>
          </cell>
          <cell r="E678" t="str">
            <v>احمد محمد تقي  الرمضان</v>
          </cell>
          <cell r="F678" t="str">
            <v>Male</v>
          </cell>
          <cell r="G678" t="str">
            <v/>
          </cell>
          <cell r="H678">
            <v>29241</v>
          </cell>
          <cell r="I678">
            <v>46</v>
          </cell>
          <cell r="J678">
            <v>16949</v>
          </cell>
          <cell r="K678" t="str">
            <v>Ahmad.Alramdhan@agriserv.sa</v>
          </cell>
          <cell r="L678" t="str">
            <v>0507820771</v>
          </cell>
          <cell r="M678" t="str">
            <v/>
          </cell>
          <cell r="N678" t="str">
            <v>المملكة العربية السعودية</v>
          </cell>
          <cell r="O678" t="str">
            <v>50001400</v>
          </cell>
          <cell r="P678" t="str">
            <v>طبيب بيطري</v>
          </cell>
          <cell r="Q678" t="str">
            <v>الدرجة 4</v>
          </cell>
          <cell r="R678" t="str">
            <v>Class A</v>
          </cell>
          <cell r="S678" t="str">
            <v/>
          </cell>
          <cell r="T678" t="str">
            <v>فروع العمليات - المنطقة الشرقية</v>
          </cell>
          <cell r="U678" t="str">
            <v>عمليات الفروع</v>
          </cell>
          <cell r="V678" t="str">
            <v>الفروع</v>
          </cell>
          <cell r="W678" t="str">
            <v>Al Ahsa</v>
          </cell>
          <cell r="X678" t="str">
            <v xml:space="preserve">الفرع </v>
          </cell>
          <cell r="Y678">
            <v>45901</v>
          </cell>
          <cell r="Z678">
            <v>0.79</v>
          </cell>
          <cell r="AA678">
            <v>289</v>
          </cell>
          <cell r="AB678" t="str">
            <v>نشط</v>
          </cell>
          <cell r="AC678" t="str">
            <v>100063</v>
          </cell>
          <cell r="AD678" t="str">
            <v>Hazza Alruwaili</v>
          </cell>
          <cell r="AE678" t="str">
            <v>إعارة</v>
          </cell>
          <cell r="AF678" t="str">
            <v/>
          </cell>
          <cell r="AG678" t="str">
            <v/>
          </cell>
          <cell r="AH678" t="str">
            <v/>
          </cell>
          <cell r="AI678" t="str">
            <v/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 t="str">
            <v/>
          </cell>
          <cell r="AO678" t="str">
            <v>عمليات الفروع</v>
          </cell>
          <cell r="AP678" t="str">
            <v>Riyad Bank</v>
          </cell>
          <cell r="AQ678" t="str">
            <v>SA2420000003363275359940</v>
          </cell>
          <cell r="AR678">
            <v>13975</v>
          </cell>
          <cell r="AS678" t="str">
            <v/>
          </cell>
          <cell r="AT678">
            <v>697.5</v>
          </cell>
          <cell r="AU678">
            <v>3493.75</v>
          </cell>
          <cell r="AV678" t="str">
            <v/>
          </cell>
        </row>
        <row r="679">
          <cell r="A679">
            <v>400502</v>
          </cell>
          <cell r="B679" t="str">
            <v>1026859205</v>
          </cell>
          <cell r="C679" t="str">
            <v>السيد</v>
          </cell>
          <cell r="D679" t="str">
            <v>Mohammed Abdrabalredha Alkuwaiti</v>
          </cell>
          <cell r="E679" t="str">
            <v>محمد عبدرب الرضاء  الكويتي</v>
          </cell>
          <cell r="F679" t="str">
            <v>Male</v>
          </cell>
          <cell r="G679" t="str">
            <v/>
          </cell>
          <cell r="H679">
            <v>30347</v>
          </cell>
          <cell r="I679">
            <v>43</v>
          </cell>
          <cell r="J679">
            <v>15843</v>
          </cell>
          <cell r="K679" t="str">
            <v>Mohammed.Alkuwaiti@agriserv.sa</v>
          </cell>
          <cell r="L679" t="str">
            <v>0506914532</v>
          </cell>
          <cell r="M679" t="str">
            <v/>
          </cell>
          <cell r="N679" t="str">
            <v>المملكة العربية السعودية</v>
          </cell>
          <cell r="O679" t="str">
            <v>50001401</v>
          </cell>
          <cell r="P679" t="str">
            <v>طبيب بيطري</v>
          </cell>
          <cell r="Q679" t="str">
            <v>الدرجة 4</v>
          </cell>
          <cell r="R679" t="str">
            <v>Class A</v>
          </cell>
          <cell r="S679" t="str">
            <v/>
          </cell>
          <cell r="T679" t="str">
            <v>فروع العمليات - المنطقة الشرقية</v>
          </cell>
          <cell r="U679" t="str">
            <v>عمليات الفروع</v>
          </cell>
          <cell r="V679" t="str">
            <v>الفروع</v>
          </cell>
          <cell r="W679" t="str">
            <v>Al Ahsa</v>
          </cell>
          <cell r="X679" t="str">
            <v xml:space="preserve">الفرع </v>
          </cell>
          <cell r="Y679">
            <v>45901</v>
          </cell>
          <cell r="Z679">
            <v>0.79</v>
          </cell>
          <cell r="AA679">
            <v>289</v>
          </cell>
          <cell r="AB679" t="str">
            <v>نشط</v>
          </cell>
          <cell r="AC679" t="str">
            <v>400501</v>
          </cell>
          <cell r="AD679" t="str">
            <v>Ahmad Alramdhan</v>
          </cell>
          <cell r="AE679" t="str">
            <v>إعارة</v>
          </cell>
          <cell r="AF679" t="str">
            <v/>
          </cell>
          <cell r="AG679" t="str">
            <v/>
          </cell>
          <cell r="AH679" t="str">
            <v/>
          </cell>
          <cell r="AI679" t="str">
            <v/>
          </cell>
          <cell r="AJ679">
            <v>1</v>
          </cell>
          <cell r="AK679">
            <v>1</v>
          </cell>
          <cell r="AL679">
            <v>0</v>
          </cell>
          <cell r="AM679">
            <v>0</v>
          </cell>
          <cell r="AN679" t="str">
            <v/>
          </cell>
          <cell r="AO679" t="str">
            <v>عمليات الفروع</v>
          </cell>
          <cell r="AP679" t="str">
            <v>Riyad Bank</v>
          </cell>
          <cell r="AQ679" t="str">
            <v>SA9620000003180892579940</v>
          </cell>
          <cell r="AR679">
            <v>16395</v>
          </cell>
          <cell r="AS679" t="str">
            <v/>
          </cell>
          <cell r="AT679">
            <v>939.5</v>
          </cell>
          <cell r="AU679">
            <v>4098.75</v>
          </cell>
          <cell r="AV679" t="str">
            <v/>
          </cell>
        </row>
        <row r="680">
          <cell r="A680">
            <v>400503</v>
          </cell>
          <cell r="B680" t="str">
            <v>1044129854</v>
          </cell>
          <cell r="C680" t="str">
            <v>السيد</v>
          </cell>
          <cell r="D680" t="str">
            <v>Haidar Habib Alhajji</v>
          </cell>
          <cell r="E680" t="str">
            <v>حيدر حبيب  الحجي</v>
          </cell>
          <cell r="F680" t="str">
            <v>Male</v>
          </cell>
          <cell r="G680" t="str">
            <v/>
          </cell>
          <cell r="H680">
            <v>31950</v>
          </cell>
          <cell r="I680">
            <v>39</v>
          </cell>
          <cell r="J680">
            <v>14240</v>
          </cell>
          <cell r="K680" t="str">
            <v>Haidar.Alhajji@agriserv.sa</v>
          </cell>
          <cell r="L680" t="str">
            <v>0509400046</v>
          </cell>
          <cell r="M680" t="str">
            <v/>
          </cell>
          <cell r="N680" t="str">
            <v>المملكة العربية السعودية</v>
          </cell>
          <cell r="O680" t="str">
            <v>50001434</v>
          </cell>
          <cell r="P680" t="str">
            <v>مساعد طبيب بيطرى</v>
          </cell>
          <cell r="Q680" t="str">
            <v>2B الدرجة</v>
          </cell>
          <cell r="R680" t="str">
            <v>Class A</v>
          </cell>
          <cell r="S680" t="str">
            <v/>
          </cell>
          <cell r="T680" t="str">
            <v>فروع العمليات - المنطقة الشرقية</v>
          </cell>
          <cell r="U680" t="str">
            <v>عمليات الفروع</v>
          </cell>
          <cell r="V680" t="str">
            <v>الفروع</v>
          </cell>
          <cell r="W680" t="str">
            <v>Al Ahsa</v>
          </cell>
          <cell r="X680" t="str">
            <v xml:space="preserve">الفرع </v>
          </cell>
          <cell r="Y680">
            <v>45901</v>
          </cell>
          <cell r="Z680">
            <v>0.79</v>
          </cell>
          <cell r="AA680">
            <v>289</v>
          </cell>
          <cell r="AB680" t="str">
            <v>نشط</v>
          </cell>
          <cell r="AC680" t="str">
            <v>400501</v>
          </cell>
          <cell r="AD680" t="str">
            <v>Ahmad Alramdhan</v>
          </cell>
          <cell r="AE680" t="str">
            <v>إعارة</v>
          </cell>
          <cell r="AF680" t="str">
            <v/>
          </cell>
          <cell r="AG680" t="str">
            <v/>
          </cell>
          <cell r="AH680" t="str">
            <v/>
          </cell>
          <cell r="AI680" t="str">
            <v/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 t="str">
            <v/>
          </cell>
          <cell r="AO680" t="str">
            <v>عمليات الفروع</v>
          </cell>
          <cell r="AP680" t="str">
            <v>Bank Al Bilad</v>
          </cell>
          <cell r="AQ680" t="str">
            <v>SA9015000433110760220005</v>
          </cell>
          <cell r="AR680">
            <v>10253</v>
          </cell>
          <cell r="AS680" t="str">
            <v/>
          </cell>
          <cell r="AT680">
            <v>100</v>
          </cell>
          <cell r="AU680">
            <v>2563.25</v>
          </cell>
          <cell r="AV680" t="str">
            <v/>
          </cell>
        </row>
        <row r="681">
          <cell r="A681">
            <v>400504</v>
          </cell>
          <cell r="B681" t="str">
            <v>1056523770</v>
          </cell>
          <cell r="C681" t="str">
            <v>السيد</v>
          </cell>
          <cell r="D681" t="str">
            <v>Rabah Matar Alrshidi</v>
          </cell>
          <cell r="E681" t="str">
            <v>رباح مطر  الرشيدي</v>
          </cell>
          <cell r="F681" t="str">
            <v>Male</v>
          </cell>
          <cell r="G681" t="str">
            <v/>
          </cell>
          <cell r="H681">
            <v>30915</v>
          </cell>
          <cell r="I681">
            <v>42</v>
          </cell>
          <cell r="J681">
            <v>15275</v>
          </cell>
          <cell r="K681" t="str">
            <v>Rabah.Alrshidi@agriserv.sa</v>
          </cell>
          <cell r="L681" t="str">
            <v>0599438331</v>
          </cell>
          <cell r="M681" t="str">
            <v/>
          </cell>
          <cell r="N681" t="str">
            <v>المملكة العربية السعودية</v>
          </cell>
          <cell r="O681" t="str">
            <v>50001403</v>
          </cell>
          <cell r="P681" t="str">
            <v>طبيب بيطري</v>
          </cell>
          <cell r="Q681" t="str">
            <v>الدرجة 4</v>
          </cell>
          <cell r="R681" t="str">
            <v>Class A</v>
          </cell>
          <cell r="S681" t="str">
            <v/>
          </cell>
          <cell r="T681" t="str">
            <v>عمليات الفروع الدمام</v>
          </cell>
          <cell r="U681" t="str">
            <v>عمليات الفروع</v>
          </cell>
          <cell r="V681" t="str">
            <v>الفروع</v>
          </cell>
          <cell r="W681" t="str">
            <v>Hafar al-Batin</v>
          </cell>
          <cell r="X681" t="str">
            <v xml:space="preserve">الفرع </v>
          </cell>
          <cell r="Y681">
            <v>45901</v>
          </cell>
          <cell r="Z681">
            <v>0.79</v>
          </cell>
          <cell r="AA681">
            <v>289</v>
          </cell>
          <cell r="AB681" t="str">
            <v>نشط</v>
          </cell>
          <cell r="AC681" t="str">
            <v>100063</v>
          </cell>
          <cell r="AD681" t="str">
            <v>Hazza Alruwaili</v>
          </cell>
          <cell r="AE681" t="str">
            <v>إعارة</v>
          </cell>
          <cell r="AF681" t="str">
            <v/>
          </cell>
          <cell r="AG681" t="str">
            <v/>
          </cell>
          <cell r="AH681" t="str">
            <v/>
          </cell>
          <cell r="AI681" t="str">
            <v/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 t="str">
            <v/>
          </cell>
          <cell r="AO681" t="str">
            <v>عمليات الفروع</v>
          </cell>
          <cell r="AP681" t="str">
            <v>Riyad Bank</v>
          </cell>
          <cell r="AQ681" t="str">
            <v>SA7720000006120122939940</v>
          </cell>
          <cell r="AR681">
            <v>13505</v>
          </cell>
          <cell r="AS681" t="str">
            <v/>
          </cell>
          <cell r="AT681">
            <v>650.5</v>
          </cell>
          <cell r="AU681">
            <v>3376.25</v>
          </cell>
          <cell r="AV681" t="str">
            <v/>
          </cell>
        </row>
        <row r="682">
          <cell r="A682">
            <v>400505</v>
          </cell>
          <cell r="B682" t="str">
            <v>1059256980</v>
          </cell>
          <cell r="C682" t="str">
            <v>السيد</v>
          </cell>
          <cell r="D682" t="str">
            <v>Abdullrahman Saleh Alnqedan</v>
          </cell>
          <cell r="E682" t="str">
            <v>عبدالرحمن صالح  النقيدان</v>
          </cell>
          <cell r="F682" t="str">
            <v>Male</v>
          </cell>
          <cell r="G682" t="str">
            <v/>
          </cell>
          <cell r="H682">
            <v>30342</v>
          </cell>
          <cell r="I682">
            <v>43</v>
          </cell>
          <cell r="J682">
            <v>15848</v>
          </cell>
          <cell r="K682" t="str">
            <v>a.alnqedan@agriserv.sa</v>
          </cell>
          <cell r="L682" t="str">
            <v>0503999385</v>
          </cell>
          <cell r="M682" t="str">
            <v/>
          </cell>
          <cell r="N682" t="str">
            <v>المملكة العربية السعودية</v>
          </cell>
          <cell r="O682" t="str">
            <v>50001404</v>
          </cell>
          <cell r="P682" t="str">
            <v>طبيب بيطري</v>
          </cell>
          <cell r="Q682" t="str">
            <v>الدرجة 4</v>
          </cell>
          <cell r="R682" t="str">
            <v>Class A</v>
          </cell>
          <cell r="S682" t="str">
            <v/>
          </cell>
          <cell r="T682" t="str">
            <v>فروع العمليات القصيم</v>
          </cell>
          <cell r="U682" t="str">
            <v>عمليات الفروع</v>
          </cell>
          <cell r="V682" t="str">
            <v>الفروع</v>
          </cell>
          <cell r="W682" t="str">
            <v>Unaizah</v>
          </cell>
          <cell r="X682" t="str">
            <v xml:space="preserve">الفرع </v>
          </cell>
          <cell r="Y682">
            <v>45901</v>
          </cell>
          <cell r="Z682">
            <v>0.79</v>
          </cell>
          <cell r="AA682">
            <v>289</v>
          </cell>
          <cell r="AB682" t="str">
            <v>نشط</v>
          </cell>
          <cell r="AC682" t="str">
            <v>100063</v>
          </cell>
          <cell r="AD682" t="str">
            <v>Hazza Alruwaili</v>
          </cell>
          <cell r="AE682" t="str">
            <v>إعارة</v>
          </cell>
          <cell r="AF682" t="str">
            <v/>
          </cell>
          <cell r="AG682" t="str">
            <v/>
          </cell>
          <cell r="AH682" t="str">
            <v/>
          </cell>
          <cell r="AI682" t="str">
            <v/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 t="str">
            <v/>
          </cell>
          <cell r="AO682" t="str">
            <v>عمليات الفروع</v>
          </cell>
          <cell r="AP682" t="str">
            <v>Bank Al Bilad</v>
          </cell>
          <cell r="AQ682" t="str">
            <v>SA1315000566537068290008</v>
          </cell>
          <cell r="AR682">
            <v>15885</v>
          </cell>
          <cell r="AS682" t="str">
            <v/>
          </cell>
          <cell r="AT682">
            <v>888.5</v>
          </cell>
          <cell r="AU682">
            <v>3971.25</v>
          </cell>
          <cell r="AV682" t="str">
            <v/>
          </cell>
        </row>
        <row r="683">
          <cell r="A683">
            <v>400506</v>
          </cell>
          <cell r="B683" t="str">
            <v>1079073688</v>
          </cell>
          <cell r="C683" t="str">
            <v>السيد</v>
          </cell>
          <cell r="D683" t="str">
            <v>Ibraheim Sulaiman Alzwaied</v>
          </cell>
          <cell r="E683" t="str">
            <v>ابراهيم سليمان  الزويد</v>
          </cell>
          <cell r="F683" t="str">
            <v>Male</v>
          </cell>
          <cell r="G683" t="str">
            <v/>
          </cell>
          <cell r="H683">
            <v>34165</v>
          </cell>
          <cell r="I683">
            <v>33</v>
          </cell>
          <cell r="J683">
            <v>12025</v>
          </cell>
          <cell r="K683" t="str">
            <v>Ibraheim.Alzwaied@agriserv.sa</v>
          </cell>
          <cell r="L683" t="str">
            <v>0504880832</v>
          </cell>
          <cell r="M683" t="str">
            <v/>
          </cell>
          <cell r="N683" t="str">
            <v>المملكة العربية السعودية</v>
          </cell>
          <cell r="O683" t="str">
            <v>50001405</v>
          </cell>
          <cell r="P683" t="str">
            <v>طبيب بيطري</v>
          </cell>
          <cell r="Q683" t="str">
            <v>الدرجة 4</v>
          </cell>
          <cell r="R683" t="str">
            <v>Class A</v>
          </cell>
          <cell r="S683" t="str">
            <v/>
          </cell>
          <cell r="T683" t="str">
            <v>فروع العمليات القصيم</v>
          </cell>
          <cell r="U683" t="str">
            <v>عمليات الفروع</v>
          </cell>
          <cell r="V683" t="str">
            <v>الفروع</v>
          </cell>
          <cell r="W683" t="str">
            <v>Unaizah</v>
          </cell>
          <cell r="X683" t="str">
            <v xml:space="preserve">الفرع </v>
          </cell>
          <cell r="Y683">
            <v>45901</v>
          </cell>
          <cell r="Z683">
            <v>0.79</v>
          </cell>
          <cell r="AA683">
            <v>289</v>
          </cell>
          <cell r="AB683" t="str">
            <v>نشط</v>
          </cell>
          <cell r="AC683" t="str">
            <v>400505</v>
          </cell>
          <cell r="AD683" t="str">
            <v>Abdullrahman Alnqedan</v>
          </cell>
          <cell r="AE683" t="str">
            <v>إعارة</v>
          </cell>
          <cell r="AF683" t="str">
            <v/>
          </cell>
          <cell r="AG683" t="str">
            <v/>
          </cell>
          <cell r="AH683" t="str">
            <v/>
          </cell>
          <cell r="AI683" t="str">
            <v/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 t="str">
            <v/>
          </cell>
          <cell r="AO683" t="str">
            <v>عمليات الفروع</v>
          </cell>
          <cell r="AP683" t="str">
            <v>Al Rajhi Bank</v>
          </cell>
          <cell r="AQ683" t="str">
            <v>SA1180000372608010173219</v>
          </cell>
          <cell r="AR683">
            <v>12565</v>
          </cell>
          <cell r="AS683" t="str">
            <v/>
          </cell>
          <cell r="AT683">
            <v>556.5</v>
          </cell>
          <cell r="AU683">
            <v>3141.25</v>
          </cell>
          <cell r="AV683" t="str">
            <v/>
          </cell>
        </row>
        <row r="684">
          <cell r="A684">
            <v>400507</v>
          </cell>
          <cell r="B684" t="str">
            <v>1085962726</v>
          </cell>
          <cell r="C684" t="str">
            <v>السيد</v>
          </cell>
          <cell r="D684" t="str">
            <v>Waleed Hashem Almuteery</v>
          </cell>
          <cell r="E684" t="str">
            <v>وليد هاشم  المطيري</v>
          </cell>
          <cell r="F684" t="str">
            <v>Male</v>
          </cell>
          <cell r="G684" t="str">
            <v/>
          </cell>
          <cell r="H684">
            <v>32667</v>
          </cell>
          <cell r="I684">
            <v>37</v>
          </cell>
          <cell r="J684">
            <v>13523</v>
          </cell>
          <cell r="K684" t="str">
            <v>Waleed.Almuteery@agriserv.sa</v>
          </cell>
          <cell r="L684" t="str">
            <v>0530007897</v>
          </cell>
          <cell r="M684" t="str">
            <v/>
          </cell>
          <cell r="N684" t="str">
            <v>المملكة العربية السعودية</v>
          </cell>
          <cell r="O684" t="str">
            <v>50001406</v>
          </cell>
          <cell r="P684" t="str">
            <v>طبيب بيطري</v>
          </cell>
          <cell r="Q684" t="str">
            <v>الدرجة 4</v>
          </cell>
          <cell r="R684" t="str">
            <v>Class A</v>
          </cell>
          <cell r="S684" t="str">
            <v/>
          </cell>
          <cell r="T684" t="str">
            <v>فروع العمليات القصيم</v>
          </cell>
          <cell r="U684" t="str">
            <v>عمليات الفروع</v>
          </cell>
          <cell r="V684" t="str">
            <v>الفروع</v>
          </cell>
          <cell r="W684" t="str">
            <v>Unaizah</v>
          </cell>
          <cell r="X684" t="str">
            <v xml:space="preserve">الفرع </v>
          </cell>
          <cell r="Y684">
            <v>45901</v>
          </cell>
          <cell r="Z684">
            <v>0.79</v>
          </cell>
          <cell r="AA684">
            <v>289</v>
          </cell>
          <cell r="AB684" t="str">
            <v>نشط</v>
          </cell>
          <cell r="AC684" t="str">
            <v>400505</v>
          </cell>
          <cell r="AD684" t="str">
            <v>Abdullrahman Alnqedan</v>
          </cell>
          <cell r="AE684" t="str">
            <v>إعارة</v>
          </cell>
          <cell r="AF684" t="str">
            <v/>
          </cell>
          <cell r="AG684" t="str">
            <v/>
          </cell>
          <cell r="AH684" t="str">
            <v/>
          </cell>
          <cell r="AI684" t="str">
            <v/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 t="str">
            <v/>
          </cell>
          <cell r="AO684" t="str">
            <v>عمليات الفروع</v>
          </cell>
          <cell r="AP684" t="str">
            <v>Saudi National Bank</v>
          </cell>
          <cell r="AQ684" t="str">
            <v>SA6410000037661600000100</v>
          </cell>
          <cell r="AR684">
            <v>13035</v>
          </cell>
          <cell r="AS684" t="str">
            <v/>
          </cell>
          <cell r="AT684">
            <v>603.5</v>
          </cell>
          <cell r="AU684">
            <v>3258.75</v>
          </cell>
          <cell r="AV684" t="str">
            <v/>
          </cell>
        </row>
        <row r="685">
          <cell r="A685">
            <v>400508</v>
          </cell>
          <cell r="B685" t="str">
            <v>1011322797</v>
          </cell>
          <cell r="C685" t="str">
            <v>السيد</v>
          </cell>
          <cell r="D685" t="str">
            <v>Saad Abdullah Albusseli</v>
          </cell>
          <cell r="E685" t="str">
            <v>سعد عبدالله  البصيلي</v>
          </cell>
          <cell r="F685" t="str">
            <v>Male</v>
          </cell>
          <cell r="G685" t="str">
            <v/>
          </cell>
          <cell r="H685">
            <v>29362</v>
          </cell>
          <cell r="I685">
            <v>46</v>
          </cell>
          <cell r="J685">
            <v>16828</v>
          </cell>
          <cell r="K685" t="str">
            <v>Saad.Albusseli@agriserv.sa</v>
          </cell>
          <cell r="L685" t="str">
            <v>0506168054</v>
          </cell>
          <cell r="M685" t="str">
            <v/>
          </cell>
          <cell r="N685" t="str">
            <v>المملكة العربية السعودية</v>
          </cell>
          <cell r="O685" t="str">
            <v>50001407</v>
          </cell>
          <cell r="P685" t="str">
            <v>طبيب بيطري</v>
          </cell>
          <cell r="Q685" t="str">
            <v>الدرجة 4</v>
          </cell>
          <cell r="R685" t="str">
            <v>Class A</v>
          </cell>
          <cell r="S685" t="str">
            <v/>
          </cell>
          <cell r="T685" t="str">
            <v>فروع العمليات القصيم</v>
          </cell>
          <cell r="U685" t="str">
            <v>عمليات الفروع</v>
          </cell>
          <cell r="V685" t="str">
            <v>الفروع</v>
          </cell>
          <cell r="W685" t="str">
            <v>Unaizah</v>
          </cell>
          <cell r="X685" t="str">
            <v xml:space="preserve">الفرع </v>
          </cell>
          <cell r="Y685">
            <v>45901</v>
          </cell>
          <cell r="Z685">
            <v>0.79</v>
          </cell>
          <cell r="AA685">
            <v>289</v>
          </cell>
          <cell r="AB685" t="str">
            <v>نشط</v>
          </cell>
          <cell r="AC685" t="str">
            <v>400505</v>
          </cell>
          <cell r="AD685" t="str">
            <v>Abdullrahman Alnqedan</v>
          </cell>
          <cell r="AE685" t="str">
            <v>إعارة</v>
          </cell>
          <cell r="AF685" t="str">
            <v/>
          </cell>
          <cell r="AG685" t="str">
            <v/>
          </cell>
          <cell r="AH685" t="str">
            <v/>
          </cell>
          <cell r="AI685" t="str">
            <v/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 t="str">
            <v/>
          </cell>
          <cell r="AO685" t="str">
            <v>عمليات الفروع</v>
          </cell>
          <cell r="AP685" t="str">
            <v>Al Rajhi Bank</v>
          </cell>
          <cell r="AQ685" t="str">
            <v>SA8680000129608010499172</v>
          </cell>
          <cell r="AR685">
            <v>15885</v>
          </cell>
          <cell r="AS685" t="str">
            <v/>
          </cell>
          <cell r="AT685">
            <v>888.5</v>
          </cell>
          <cell r="AU685">
            <v>3971.25</v>
          </cell>
          <cell r="AV685" t="str">
            <v/>
          </cell>
        </row>
        <row r="686">
          <cell r="A686">
            <v>400509</v>
          </cell>
          <cell r="B686" t="str">
            <v>1080166448</v>
          </cell>
          <cell r="C686" t="str">
            <v>السيد</v>
          </cell>
          <cell r="D686" t="str">
            <v>Mohammed Ibrahim Althunayyan</v>
          </cell>
          <cell r="E686" t="str">
            <v>محمد ابراهيم  الثنيان</v>
          </cell>
          <cell r="F686" t="str">
            <v>Male</v>
          </cell>
          <cell r="G686" t="str">
            <v/>
          </cell>
          <cell r="H686">
            <v>33766</v>
          </cell>
          <cell r="I686">
            <v>34</v>
          </cell>
          <cell r="J686">
            <v>12424</v>
          </cell>
          <cell r="K686" t="str">
            <v>Mohammed.Althunayyan@agriserv.sa</v>
          </cell>
          <cell r="L686" t="str">
            <v>0506303221</v>
          </cell>
          <cell r="M686" t="str">
            <v/>
          </cell>
          <cell r="N686" t="str">
            <v>المملكة العربية السعودية</v>
          </cell>
          <cell r="O686" t="str">
            <v>50001402</v>
          </cell>
          <cell r="P686" t="str">
            <v>طبيب بيطري</v>
          </cell>
          <cell r="Q686" t="str">
            <v>الدرجة 4</v>
          </cell>
          <cell r="R686" t="str">
            <v>Class A</v>
          </cell>
          <cell r="S686" t="str">
            <v/>
          </cell>
          <cell r="T686" t="str">
            <v>عمليات الفروع  بريدة</v>
          </cell>
          <cell r="U686" t="str">
            <v>عمليات الفروع</v>
          </cell>
          <cell r="V686" t="str">
            <v>الفروع</v>
          </cell>
          <cell r="W686" t="str">
            <v>Buraydah</v>
          </cell>
          <cell r="X686" t="str">
            <v xml:space="preserve">الفرع </v>
          </cell>
          <cell r="Y686">
            <v>45901</v>
          </cell>
          <cell r="Z686">
            <v>0.79</v>
          </cell>
          <cell r="AA686">
            <v>289</v>
          </cell>
          <cell r="AB686" t="str">
            <v>نشط</v>
          </cell>
          <cell r="AC686" t="str">
            <v>400236</v>
          </cell>
          <cell r="AD686" t="str">
            <v>Jehad Aldhubayi</v>
          </cell>
          <cell r="AE686" t="str">
            <v>إعارة</v>
          </cell>
          <cell r="AF686" t="str">
            <v/>
          </cell>
          <cell r="AG686" t="str">
            <v/>
          </cell>
          <cell r="AH686" t="str">
            <v/>
          </cell>
          <cell r="AI686" t="str">
            <v/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 t="str">
            <v/>
          </cell>
          <cell r="AO686" t="str">
            <v>عمليات الفروع</v>
          </cell>
          <cell r="AP686" t="str">
            <v>Banque Saudi Fransi</v>
          </cell>
          <cell r="AQ686" t="str">
            <v>SA82550000000B3435100231</v>
          </cell>
          <cell r="AR686">
            <v>9102</v>
          </cell>
          <cell r="AS686" t="str">
            <v/>
          </cell>
          <cell r="AT686">
            <v>410.2</v>
          </cell>
          <cell r="AU686">
            <v>2275.5</v>
          </cell>
          <cell r="AV686" t="str">
            <v/>
          </cell>
        </row>
        <row r="687">
          <cell r="A687">
            <v>400510</v>
          </cell>
          <cell r="B687" t="str">
            <v>1099136762</v>
          </cell>
          <cell r="C687" t="str">
            <v>السيد</v>
          </cell>
          <cell r="D687" t="str">
            <v>Omar Abdulaziz Alharbi</v>
          </cell>
          <cell r="E687" t="str">
            <v>عمر عبدالعزيز  الحربي</v>
          </cell>
          <cell r="F687" t="str">
            <v>Male</v>
          </cell>
          <cell r="G687" t="str">
            <v/>
          </cell>
          <cell r="H687">
            <v>35654</v>
          </cell>
          <cell r="I687">
            <v>29</v>
          </cell>
          <cell r="J687">
            <v>10536</v>
          </cell>
          <cell r="K687" t="str">
            <v>Omar.Alharbi@agriserv.sa</v>
          </cell>
          <cell r="L687" t="str">
            <v>0553514236</v>
          </cell>
          <cell r="M687" t="str">
            <v/>
          </cell>
          <cell r="N687" t="str">
            <v>المملكة العربية السعودية</v>
          </cell>
          <cell r="O687" t="str">
            <v>50001422</v>
          </cell>
          <cell r="P687" t="str">
            <v>طبيب بيطرى</v>
          </cell>
          <cell r="Q687" t="str">
            <v>الدرجة 4</v>
          </cell>
          <cell r="R687" t="str">
            <v>Class A</v>
          </cell>
          <cell r="S687" t="str">
            <v/>
          </cell>
          <cell r="T687" t="str">
            <v>فروع العمليات القصيم</v>
          </cell>
          <cell r="U687" t="str">
            <v>عمليات الفروع</v>
          </cell>
          <cell r="V687" t="str">
            <v>الفروع</v>
          </cell>
          <cell r="W687" t="str">
            <v>Ar-Rass</v>
          </cell>
          <cell r="X687" t="str">
            <v xml:space="preserve">الفرع </v>
          </cell>
          <cell r="Y687">
            <v>45901</v>
          </cell>
          <cell r="Z687">
            <v>0.79</v>
          </cell>
          <cell r="AA687">
            <v>289</v>
          </cell>
          <cell r="AB687" t="str">
            <v>نشط</v>
          </cell>
          <cell r="AC687" t="str">
            <v>100063</v>
          </cell>
          <cell r="AD687" t="str">
            <v>Hazza Alruwaili</v>
          </cell>
          <cell r="AE687" t="str">
            <v>إعارة</v>
          </cell>
          <cell r="AF687" t="str">
            <v/>
          </cell>
          <cell r="AG687" t="str">
            <v/>
          </cell>
          <cell r="AH687" t="str">
            <v/>
          </cell>
          <cell r="AI687" t="str">
            <v/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 t="str">
            <v/>
          </cell>
          <cell r="AO687" t="str">
            <v>عمليات الفروع</v>
          </cell>
          <cell r="AP687" t="str">
            <v>Inma Bank</v>
          </cell>
          <cell r="AQ687" t="str">
            <v>SA9105000068203716213000</v>
          </cell>
          <cell r="AR687">
            <v>9552</v>
          </cell>
          <cell r="AS687" t="str">
            <v/>
          </cell>
          <cell r="AT687">
            <v>455.2</v>
          </cell>
          <cell r="AU687">
            <v>2388</v>
          </cell>
          <cell r="AV687" t="str">
            <v/>
          </cell>
        </row>
        <row r="688">
          <cell r="A688">
            <v>400511</v>
          </cell>
          <cell r="B688" t="str">
            <v>1071315947</v>
          </cell>
          <cell r="C688" t="str">
            <v>السيد</v>
          </cell>
          <cell r="D688" t="str">
            <v>Mohammd Suliman Alharby</v>
          </cell>
          <cell r="E688" t="str">
            <v>محمد سلمان  الحربي</v>
          </cell>
          <cell r="F688" t="str">
            <v>Male</v>
          </cell>
          <cell r="G688" t="str">
            <v/>
          </cell>
          <cell r="H688">
            <v>33339</v>
          </cell>
          <cell r="I688">
            <v>35</v>
          </cell>
          <cell r="J688">
            <v>12851</v>
          </cell>
          <cell r="K688" t="str">
            <v>Mohammd.Alharby@agriserv.sa</v>
          </cell>
          <cell r="L688" t="str">
            <v>0544838481</v>
          </cell>
          <cell r="M688" t="str">
            <v/>
          </cell>
          <cell r="N688" t="str">
            <v>المملكة العربية السعودية</v>
          </cell>
          <cell r="O688" t="str">
            <v>50001423</v>
          </cell>
          <cell r="P688" t="str">
            <v>طبيب بيطرى</v>
          </cell>
          <cell r="Q688" t="str">
            <v>الدرجة 4</v>
          </cell>
          <cell r="R688" t="str">
            <v>Class A</v>
          </cell>
          <cell r="S688" t="str">
            <v/>
          </cell>
          <cell r="T688" t="str">
            <v>فروع العمليات القصيم</v>
          </cell>
          <cell r="U688" t="str">
            <v>عمليات الفروع</v>
          </cell>
          <cell r="V688" t="str">
            <v>الفروع</v>
          </cell>
          <cell r="W688" t="str">
            <v>Ar-Rass</v>
          </cell>
          <cell r="X688" t="str">
            <v xml:space="preserve">الفرع </v>
          </cell>
          <cell r="Y688">
            <v>45901</v>
          </cell>
          <cell r="Z688">
            <v>0.79</v>
          </cell>
          <cell r="AA688">
            <v>289</v>
          </cell>
          <cell r="AB688" t="str">
            <v>نشط</v>
          </cell>
          <cell r="AC688" t="str">
            <v>400510</v>
          </cell>
          <cell r="AD688" t="str">
            <v>Omar Alharbi</v>
          </cell>
          <cell r="AE688" t="str">
            <v>إعارة</v>
          </cell>
          <cell r="AF688" t="str">
            <v/>
          </cell>
          <cell r="AG688" t="str">
            <v/>
          </cell>
          <cell r="AH688" t="str">
            <v/>
          </cell>
          <cell r="AI688" t="str">
            <v/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 t="str">
            <v/>
          </cell>
          <cell r="AO688" t="str">
            <v>عمليات الفروع</v>
          </cell>
          <cell r="AP688" t="str">
            <v>Al Rajhi Bank</v>
          </cell>
          <cell r="AQ688" t="str">
            <v>SA1780000383608010056064</v>
          </cell>
          <cell r="AR688">
            <v>13035</v>
          </cell>
          <cell r="AS688" t="str">
            <v/>
          </cell>
          <cell r="AT688">
            <v>603.5</v>
          </cell>
          <cell r="AU688">
            <v>3258.75</v>
          </cell>
          <cell r="AV688" t="str">
            <v/>
          </cell>
        </row>
        <row r="689">
          <cell r="A689">
            <v>400512</v>
          </cell>
          <cell r="B689" t="str">
            <v>1022543332</v>
          </cell>
          <cell r="C689" t="str">
            <v>السيد</v>
          </cell>
          <cell r="D689" t="str">
            <v>Abdulsalam Sadq Alshrymi</v>
          </cell>
          <cell r="E689" t="str">
            <v>عبدالسلام صادق  الشريمي</v>
          </cell>
          <cell r="F689" t="str">
            <v>Male</v>
          </cell>
          <cell r="G689" t="str">
            <v/>
          </cell>
          <cell r="H689">
            <v>30827</v>
          </cell>
          <cell r="I689">
            <v>42</v>
          </cell>
          <cell r="J689">
            <v>15363</v>
          </cell>
          <cell r="K689" t="str">
            <v>Abdulsalam.Alshrymi@agriserv.sa</v>
          </cell>
          <cell r="L689" t="str">
            <v>0565686227</v>
          </cell>
          <cell r="M689" t="str">
            <v/>
          </cell>
          <cell r="N689" t="str">
            <v>المملكة العربية السعودية</v>
          </cell>
          <cell r="O689" t="str">
            <v>50001409</v>
          </cell>
          <cell r="P689" t="str">
            <v>طبيب بيطري</v>
          </cell>
          <cell r="Q689" t="str">
            <v>الدرجة 4</v>
          </cell>
          <cell r="R689" t="str">
            <v>Class A</v>
          </cell>
          <cell r="S689" t="str">
            <v/>
          </cell>
          <cell r="T689" t="str">
            <v>عمليات الفروع مكة</v>
          </cell>
          <cell r="U689" t="str">
            <v>عمليات الفروع</v>
          </cell>
          <cell r="V689" t="str">
            <v>الفروع</v>
          </cell>
          <cell r="W689" t="str">
            <v>Makkah</v>
          </cell>
          <cell r="X689" t="str">
            <v xml:space="preserve">الفرع </v>
          </cell>
          <cell r="Y689">
            <v>45901</v>
          </cell>
          <cell r="Z689">
            <v>0.79</v>
          </cell>
          <cell r="AA689">
            <v>289</v>
          </cell>
          <cell r="AB689" t="str">
            <v>نشط</v>
          </cell>
          <cell r="AC689" t="str">
            <v>400546</v>
          </cell>
          <cell r="AD689" t="str">
            <v>ABDUALRUHMAN Alhuseni</v>
          </cell>
          <cell r="AE689" t="str">
            <v>إعارة</v>
          </cell>
          <cell r="AF689" t="str">
            <v/>
          </cell>
          <cell r="AG689" t="str">
            <v/>
          </cell>
          <cell r="AH689" t="str">
            <v/>
          </cell>
          <cell r="AI689" t="str">
            <v/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 t="str">
            <v/>
          </cell>
          <cell r="AO689" t="str">
            <v>عمليات الفروع</v>
          </cell>
          <cell r="AP689" t="str">
            <v>Saudi National Bank</v>
          </cell>
          <cell r="AQ689" t="str">
            <v>SA0910000096400001388004</v>
          </cell>
          <cell r="AR689">
            <v>14445</v>
          </cell>
          <cell r="AS689" t="str">
            <v/>
          </cell>
          <cell r="AT689">
            <v>744.5</v>
          </cell>
          <cell r="AU689">
            <v>3611.25</v>
          </cell>
          <cell r="AV689" t="str">
            <v/>
          </cell>
        </row>
        <row r="690">
          <cell r="A690">
            <v>400513</v>
          </cell>
          <cell r="B690" t="str">
            <v>1037017041</v>
          </cell>
          <cell r="C690" t="str">
            <v>السيد</v>
          </cell>
          <cell r="D690" t="str">
            <v>Ali Meqbel Alhajoj</v>
          </cell>
          <cell r="E690" t="str">
            <v>علي مقبل  الهاجوج</v>
          </cell>
          <cell r="F690" t="str">
            <v>Male</v>
          </cell>
          <cell r="G690" t="str">
            <v/>
          </cell>
          <cell r="H690">
            <v>30670</v>
          </cell>
          <cell r="I690">
            <v>42</v>
          </cell>
          <cell r="J690">
            <v>15520</v>
          </cell>
          <cell r="K690" t="str">
            <v>Ali.Alhajoj@agriserv.sa</v>
          </cell>
          <cell r="L690" t="str">
            <v>0531374148</v>
          </cell>
          <cell r="M690" t="str">
            <v/>
          </cell>
          <cell r="N690" t="str">
            <v>المملكة العربية السعودية</v>
          </cell>
          <cell r="O690" t="str">
            <v>50001408</v>
          </cell>
          <cell r="P690" t="str">
            <v>طبيب بيطري</v>
          </cell>
          <cell r="Q690" t="str">
            <v>الدرجة 4</v>
          </cell>
          <cell r="R690" t="str">
            <v>Class A</v>
          </cell>
          <cell r="S690" t="str">
            <v/>
          </cell>
          <cell r="T690" t="str">
            <v>عمليات الفروع مكة</v>
          </cell>
          <cell r="U690" t="str">
            <v>عمليات الفروع</v>
          </cell>
          <cell r="V690" t="str">
            <v>الفروع</v>
          </cell>
          <cell r="W690" t="str">
            <v>Makkah</v>
          </cell>
          <cell r="X690" t="str">
            <v xml:space="preserve">الفرع </v>
          </cell>
          <cell r="Y690">
            <v>45901</v>
          </cell>
          <cell r="Z690">
            <v>0.79</v>
          </cell>
          <cell r="AA690">
            <v>289</v>
          </cell>
          <cell r="AB690" t="str">
            <v>نشط</v>
          </cell>
          <cell r="AC690" t="str">
            <v>400546</v>
          </cell>
          <cell r="AD690" t="str">
            <v>ABDUALRUHMAN Alhuseni</v>
          </cell>
          <cell r="AE690" t="str">
            <v>إعارة</v>
          </cell>
          <cell r="AF690" t="str">
            <v/>
          </cell>
          <cell r="AG690" t="str">
            <v/>
          </cell>
          <cell r="AH690" t="str">
            <v/>
          </cell>
          <cell r="AI690" t="str">
            <v/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 t="str">
            <v/>
          </cell>
          <cell r="AO690" t="str">
            <v>عمليات الفروع</v>
          </cell>
          <cell r="AP690" t="str">
            <v>Saudi National Bank</v>
          </cell>
          <cell r="AQ690" t="str">
            <v>SA1510000000200000342002</v>
          </cell>
          <cell r="AR690">
            <v>12565</v>
          </cell>
          <cell r="AS690" t="str">
            <v/>
          </cell>
          <cell r="AT690">
            <v>556.5</v>
          </cell>
          <cell r="AU690">
            <v>3141.25</v>
          </cell>
          <cell r="AV690" t="str">
            <v/>
          </cell>
        </row>
        <row r="691">
          <cell r="A691">
            <v>400514</v>
          </cell>
          <cell r="B691" t="str">
            <v>1015121195</v>
          </cell>
          <cell r="C691" t="str">
            <v>السيد</v>
          </cell>
          <cell r="D691" t="str">
            <v>Mohammad Ali Alfaqeeh</v>
          </cell>
          <cell r="E691" t="str">
            <v>محمد علي  الفقيه</v>
          </cell>
          <cell r="F691" t="str">
            <v>Male</v>
          </cell>
          <cell r="G691" t="str">
            <v/>
          </cell>
          <cell r="H691">
            <v>31031</v>
          </cell>
          <cell r="I691">
            <v>42</v>
          </cell>
          <cell r="J691">
            <v>15159</v>
          </cell>
          <cell r="K691" t="str">
            <v>Mohammad.Alfaqeeh@agriserv.sa</v>
          </cell>
          <cell r="L691" t="str">
            <v>0544533978</v>
          </cell>
          <cell r="M691" t="str">
            <v/>
          </cell>
          <cell r="N691" t="str">
            <v>المملكة العربية السعودية</v>
          </cell>
          <cell r="O691" t="str">
            <v>50001427</v>
          </cell>
          <cell r="P691" t="str">
            <v>مساعد طبيب بيطرى</v>
          </cell>
          <cell r="Q691" t="str">
            <v>2B الدرجة</v>
          </cell>
          <cell r="R691" t="str">
            <v>Class A</v>
          </cell>
          <cell r="S691" t="str">
            <v/>
          </cell>
          <cell r="T691" t="str">
            <v>عمليات الفروع مكة</v>
          </cell>
          <cell r="U691" t="str">
            <v>عمليات الفروع</v>
          </cell>
          <cell r="V691" t="str">
            <v>الفروع</v>
          </cell>
          <cell r="W691" t="str">
            <v>Makkah</v>
          </cell>
          <cell r="X691" t="str">
            <v xml:space="preserve">الفرع </v>
          </cell>
          <cell r="Y691">
            <v>45901</v>
          </cell>
          <cell r="Z691">
            <v>0.79</v>
          </cell>
          <cell r="AA691">
            <v>289</v>
          </cell>
          <cell r="AB691" t="str">
            <v>نشط</v>
          </cell>
          <cell r="AC691" t="str">
            <v>100174</v>
          </cell>
          <cell r="AD691" t="str">
            <v>Adil Alshaikh</v>
          </cell>
          <cell r="AE691" t="str">
            <v>إعارة</v>
          </cell>
          <cell r="AF691" t="str">
            <v/>
          </cell>
          <cell r="AG691" t="str">
            <v/>
          </cell>
          <cell r="AH691" t="str">
            <v/>
          </cell>
          <cell r="AI691" t="str">
            <v/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 t="str">
            <v/>
          </cell>
          <cell r="AO691" t="str">
            <v>عمليات الفروع</v>
          </cell>
          <cell r="AP691" t="str">
            <v>Saudi National Bank</v>
          </cell>
          <cell r="AQ691" t="str">
            <v>SA4810000044287501000101</v>
          </cell>
          <cell r="AR691">
            <v>11330</v>
          </cell>
          <cell r="AS691" t="str">
            <v/>
          </cell>
          <cell r="AT691">
            <v>100</v>
          </cell>
          <cell r="AU691">
            <v>2832.5</v>
          </cell>
          <cell r="AV691" t="str">
            <v/>
          </cell>
        </row>
        <row r="692">
          <cell r="A692">
            <v>400515</v>
          </cell>
          <cell r="B692" t="str">
            <v>1020003396</v>
          </cell>
          <cell r="C692" t="str">
            <v>السيد</v>
          </cell>
          <cell r="D692" t="str">
            <v>Mohammad Abdullah Almaiyedi</v>
          </cell>
          <cell r="E692" t="str">
            <v>محمد عبدالله  المعيدي</v>
          </cell>
          <cell r="F692" t="str">
            <v>Male</v>
          </cell>
          <cell r="G692" t="str">
            <v>متزوج</v>
          </cell>
          <cell r="H692">
            <v>27938</v>
          </cell>
          <cell r="I692">
            <v>50</v>
          </cell>
          <cell r="J692">
            <v>18252</v>
          </cell>
          <cell r="K692" t="str">
            <v>Mohammad.Almaiyedi@agriserv.sa</v>
          </cell>
          <cell r="L692" t="str">
            <v>0506507543</v>
          </cell>
          <cell r="M692" t="str">
            <v/>
          </cell>
          <cell r="N692" t="str">
            <v>المملكة العربية السعودية</v>
          </cell>
          <cell r="O692" t="str">
            <v>50001412</v>
          </cell>
          <cell r="P692" t="str">
            <v>طبيب بيطري</v>
          </cell>
          <cell r="Q692" t="str">
            <v>الدرجة 4</v>
          </cell>
          <cell r="R692" t="str">
            <v>Class A</v>
          </cell>
          <cell r="S692" t="str">
            <v/>
          </cell>
          <cell r="T692" t="str">
            <v>عمليات الفروع مكة</v>
          </cell>
          <cell r="U692" t="str">
            <v>عمليات الفروع</v>
          </cell>
          <cell r="V692" t="str">
            <v>الفروع</v>
          </cell>
          <cell r="W692" t="str">
            <v>Makkah</v>
          </cell>
          <cell r="X692" t="str">
            <v xml:space="preserve">الفرع </v>
          </cell>
          <cell r="Y692">
            <v>45901</v>
          </cell>
          <cell r="Z692">
            <v>0.79</v>
          </cell>
          <cell r="AA692">
            <v>289</v>
          </cell>
          <cell r="AB692" t="str">
            <v>نشط</v>
          </cell>
          <cell r="AC692" t="str">
            <v>400514</v>
          </cell>
          <cell r="AD692" t="str">
            <v>Mohammad Alfaqeeh</v>
          </cell>
          <cell r="AE692" t="str">
            <v>إعارة</v>
          </cell>
          <cell r="AF692" t="str">
            <v/>
          </cell>
          <cell r="AG692" t="str">
            <v/>
          </cell>
          <cell r="AH692" t="str">
            <v/>
          </cell>
          <cell r="AI692" t="str">
            <v/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 t="str">
            <v/>
          </cell>
          <cell r="AO692" t="str">
            <v>عمليات الفروع</v>
          </cell>
          <cell r="AP692" t="str">
            <v>Al Rajhi Bank</v>
          </cell>
          <cell r="AQ692" t="str">
            <v>SA4380000263608010174698</v>
          </cell>
          <cell r="AR692">
            <v>18705</v>
          </cell>
          <cell r="AS692" t="str">
            <v/>
          </cell>
          <cell r="AT692">
            <v>970.5</v>
          </cell>
          <cell r="AU692">
            <v>4676.25</v>
          </cell>
          <cell r="AV692" t="str">
            <v/>
          </cell>
        </row>
        <row r="693">
          <cell r="A693">
            <v>400516</v>
          </cell>
          <cell r="B693" t="str">
            <v>1042645257</v>
          </cell>
          <cell r="C693" t="str">
            <v>السيد</v>
          </cell>
          <cell r="D693" t="str">
            <v>Hassan Yahia Qaheel</v>
          </cell>
          <cell r="E693" t="str">
            <v>حسن يحي  قحل</v>
          </cell>
          <cell r="F693" t="str">
            <v>Male</v>
          </cell>
          <cell r="G693" t="str">
            <v/>
          </cell>
          <cell r="H693">
            <v>28041</v>
          </cell>
          <cell r="I693">
            <v>50</v>
          </cell>
          <cell r="J693">
            <v>18149</v>
          </cell>
          <cell r="K693" t="str">
            <v>Hassan.Qaheel@agriserv.sa</v>
          </cell>
          <cell r="L693" t="str">
            <v>0555979551</v>
          </cell>
          <cell r="M693" t="str">
            <v/>
          </cell>
          <cell r="N693" t="str">
            <v>المملكة العربية السعودية</v>
          </cell>
          <cell r="O693" t="str">
            <v>50001415</v>
          </cell>
          <cell r="P693" t="str">
            <v>مساعد طبيب بيطري</v>
          </cell>
          <cell r="Q693" t="str">
            <v>2B الدرجة</v>
          </cell>
          <cell r="R693" t="str">
            <v>Class A</v>
          </cell>
          <cell r="S693" t="str">
            <v/>
          </cell>
          <cell r="T693" t="str">
            <v>عمليات الفروع  جيزان</v>
          </cell>
          <cell r="U693" t="str">
            <v>عمليات الفروع</v>
          </cell>
          <cell r="V693" t="str">
            <v>الفروع</v>
          </cell>
          <cell r="W693" t="str">
            <v>Ahad al-Masarihah</v>
          </cell>
          <cell r="X693" t="str">
            <v xml:space="preserve">الفرع </v>
          </cell>
          <cell r="Y693">
            <v>45901</v>
          </cell>
          <cell r="Z693">
            <v>0.79</v>
          </cell>
          <cell r="AA693">
            <v>289</v>
          </cell>
          <cell r="AB693" t="str">
            <v>نشط</v>
          </cell>
          <cell r="AC693" t="str">
            <v>400518</v>
          </cell>
          <cell r="AD693" t="str">
            <v>Abdulrahman Hakami</v>
          </cell>
          <cell r="AE693" t="str">
            <v>إعارة</v>
          </cell>
          <cell r="AF693" t="str">
            <v/>
          </cell>
          <cell r="AG693" t="str">
            <v/>
          </cell>
          <cell r="AH693" t="str">
            <v/>
          </cell>
          <cell r="AI693" t="str">
            <v/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 t="str">
            <v/>
          </cell>
          <cell r="AO693" t="str">
            <v>عمليات الفروع</v>
          </cell>
          <cell r="AP693" t="str">
            <v>Al Rajhi Bank</v>
          </cell>
          <cell r="AQ693" t="str">
            <v>SA9480000350608010090278</v>
          </cell>
          <cell r="AR693">
            <v>15375</v>
          </cell>
          <cell r="AS693" t="str">
            <v/>
          </cell>
          <cell r="AT693">
            <v>100</v>
          </cell>
          <cell r="AU693">
            <v>3843.75</v>
          </cell>
          <cell r="AV693" t="str">
            <v/>
          </cell>
        </row>
        <row r="694">
          <cell r="A694">
            <v>400517</v>
          </cell>
          <cell r="B694" t="str">
            <v>1083184067</v>
          </cell>
          <cell r="C694" t="str">
            <v>السيد</v>
          </cell>
          <cell r="D694" t="str">
            <v>Mohammed Abdullah Bakhalqi</v>
          </cell>
          <cell r="E694" t="str">
            <v>محمد عبدالله  باخلقي</v>
          </cell>
          <cell r="F694" t="str">
            <v>Male</v>
          </cell>
          <cell r="G694" t="str">
            <v/>
          </cell>
          <cell r="H694">
            <v>34153</v>
          </cell>
          <cell r="I694">
            <v>33</v>
          </cell>
          <cell r="J694">
            <v>12037</v>
          </cell>
          <cell r="K694" t="str">
            <v>Mohammed.Bakhalqi@agriserv.sa</v>
          </cell>
          <cell r="L694" t="str">
            <v>0501051095</v>
          </cell>
          <cell r="M694" t="str">
            <v/>
          </cell>
          <cell r="N694" t="str">
            <v>المملكة العربية السعودية</v>
          </cell>
          <cell r="O694" t="str">
            <v>50001414</v>
          </cell>
          <cell r="P694" t="str">
            <v>طبيب بيطري</v>
          </cell>
          <cell r="Q694" t="str">
            <v>الدرجة 4</v>
          </cell>
          <cell r="R694" t="str">
            <v>Class A</v>
          </cell>
          <cell r="S694" t="str">
            <v/>
          </cell>
          <cell r="T694" t="str">
            <v>عمليات الفروع  جيزان</v>
          </cell>
          <cell r="U694" t="str">
            <v>عمليات الفروع</v>
          </cell>
          <cell r="V694" t="str">
            <v>الفروع</v>
          </cell>
          <cell r="W694" t="str">
            <v>Ahad al-Masarihah</v>
          </cell>
          <cell r="X694" t="str">
            <v xml:space="preserve">الفرع </v>
          </cell>
          <cell r="Y694">
            <v>45901</v>
          </cell>
          <cell r="Z694">
            <v>0.79</v>
          </cell>
          <cell r="AA694">
            <v>289</v>
          </cell>
          <cell r="AB694" t="str">
            <v>نشط</v>
          </cell>
          <cell r="AC694" t="str">
            <v>400518</v>
          </cell>
          <cell r="AD694" t="str">
            <v>Abdulrahman Hakami</v>
          </cell>
          <cell r="AE694" t="str">
            <v>إعارة</v>
          </cell>
          <cell r="AF694" t="str">
            <v/>
          </cell>
          <cell r="AG694" t="str">
            <v/>
          </cell>
          <cell r="AH694" t="str">
            <v/>
          </cell>
          <cell r="AI694" t="str">
            <v/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 t="str">
            <v/>
          </cell>
          <cell r="AO694" t="str">
            <v>عمليات الفروع</v>
          </cell>
          <cell r="AP694" t="str">
            <v>Al Rajhi Bank</v>
          </cell>
          <cell r="AQ694" t="str">
            <v>SA9780000495608010053389</v>
          </cell>
          <cell r="AR694">
            <v>11625</v>
          </cell>
          <cell r="AS694" t="str">
            <v/>
          </cell>
          <cell r="AT694">
            <v>462.5</v>
          </cell>
          <cell r="AU694">
            <v>2906.25</v>
          </cell>
          <cell r="AV694" t="str">
            <v/>
          </cell>
        </row>
        <row r="695">
          <cell r="A695">
            <v>400518</v>
          </cell>
          <cell r="B695" t="str">
            <v>1097911984</v>
          </cell>
          <cell r="C695" t="str">
            <v>السيد</v>
          </cell>
          <cell r="D695" t="str">
            <v>Abdulrahman Wali Hakami</v>
          </cell>
          <cell r="E695" t="str">
            <v>عبدالرحمن ولي  حكمي</v>
          </cell>
          <cell r="F695" t="str">
            <v>Male</v>
          </cell>
          <cell r="G695" t="str">
            <v/>
          </cell>
          <cell r="H695">
            <v>35473</v>
          </cell>
          <cell r="I695">
            <v>29</v>
          </cell>
          <cell r="J695">
            <v>10717</v>
          </cell>
          <cell r="K695" t="str">
            <v>Abdulrahman.Hakami@agriserv.sa</v>
          </cell>
          <cell r="L695" t="str">
            <v>0549827727</v>
          </cell>
          <cell r="M695" t="str">
            <v/>
          </cell>
          <cell r="N695" t="str">
            <v>المملكة العربية السعودية</v>
          </cell>
          <cell r="O695" t="str">
            <v>50001428</v>
          </cell>
          <cell r="P695" t="str">
            <v>مساعد طبيب بيطرى</v>
          </cell>
          <cell r="Q695" t="str">
            <v>2B الدرجة</v>
          </cell>
          <cell r="R695" t="str">
            <v>Class A</v>
          </cell>
          <cell r="S695" t="str">
            <v/>
          </cell>
          <cell r="T695" t="str">
            <v>عمليات الفروع  جيزان</v>
          </cell>
          <cell r="U695" t="str">
            <v>عمليات الفروع</v>
          </cell>
          <cell r="V695" t="str">
            <v>الفروع</v>
          </cell>
          <cell r="W695" t="str">
            <v>Jizan</v>
          </cell>
          <cell r="X695" t="str">
            <v xml:space="preserve">الفرع </v>
          </cell>
          <cell r="Y695">
            <v>45901</v>
          </cell>
          <cell r="Z695">
            <v>0.79</v>
          </cell>
          <cell r="AA695">
            <v>289</v>
          </cell>
          <cell r="AB695" t="str">
            <v>نشط</v>
          </cell>
          <cell r="AC695" t="str">
            <v>400500</v>
          </cell>
          <cell r="AD695" t="str">
            <v>Mohsen Krairi</v>
          </cell>
          <cell r="AE695" t="str">
            <v>إعارة</v>
          </cell>
          <cell r="AF695" t="str">
            <v/>
          </cell>
          <cell r="AG695" t="str">
            <v/>
          </cell>
          <cell r="AH695" t="str">
            <v/>
          </cell>
          <cell r="AI695" t="str">
            <v/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 t="str">
            <v/>
          </cell>
          <cell r="AO695" t="str">
            <v>عمليات الفروع</v>
          </cell>
          <cell r="AP695" t="str">
            <v>Al Rajhi Bank</v>
          </cell>
          <cell r="AQ695" t="str">
            <v>SA5380000316608010546579</v>
          </cell>
          <cell r="AR695">
            <v>6131</v>
          </cell>
          <cell r="AS695" t="str">
            <v/>
          </cell>
          <cell r="AT695">
            <v>113.1</v>
          </cell>
          <cell r="AU695">
            <v>1532.75</v>
          </cell>
          <cell r="AV695" t="str">
            <v/>
          </cell>
        </row>
        <row r="696">
          <cell r="A696">
            <v>400519</v>
          </cell>
          <cell r="B696" t="str">
            <v>1051887576</v>
          </cell>
          <cell r="C696" t="str">
            <v>السيد</v>
          </cell>
          <cell r="D696" t="str">
            <v>Qasem Mohammed Dablan</v>
          </cell>
          <cell r="E696" t="str">
            <v>قاسم محمد  دبلان</v>
          </cell>
          <cell r="F696" t="str">
            <v>Male</v>
          </cell>
          <cell r="G696" t="str">
            <v/>
          </cell>
          <cell r="H696">
            <v>26732</v>
          </cell>
          <cell r="I696">
            <v>53</v>
          </cell>
          <cell r="J696">
            <v>19458</v>
          </cell>
          <cell r="K696" t="str">
            <v>Qasem.Dablan@agriserv.sa</v>
          </cell>
          <cell r="L696" t="str">
            <v>0504791225</v>
          </cell>
          <cell r="M696" t="str">
            <v/>
          </cell>
          <cell r="N696" t="str">
            <v>المملكة العربية السعودية</v>
          </cell>
          <cell r="O696" t="str">
            <v>50001421</v>
          </cell>
          <cell r="P696" t="str">
            <v>مساعد طبيب بيطرى</v>
          </cell>
          <cell r="Q696" t="str">
            <v>2B الدرجة</v>
          </cell>
          <cell r="R696" t="str">
            <v>Class A</v>
          </cell>
          <cell r="S696" t="str">
            <v/>
          </cell>
          <cell r="T696" t="str">
            <v>عمليات الفروع  جيزان</v>
          </cell>
          <cell r="U696" t="str">
            <v>عمليات الفروع</v>
          </cell>
          <cell r="V696" t="str">
            <v>الفروع</v>
          </cell>
          <cell r="W696" t="str">
            <v>Sabya</v>
          </cell>
          <cell r="X696" t="str">
            <v xml:space="preserve">الفرع </v>
          </cell>
          <cell r="Y696">
            <v>45901</v>
          </cell>
          <cell r="Z696">
            <v>0.79</v>
          </cell>
          <cell r="AA696">
            <v>289</v>
          </cell>
          <cell r="AB696" t="str">
            <v>نشط</v>
          </cell>
          <cell r="AC696" t="str">
            <v>400520</v>
          </cell>
          <cell r="AD696" t="str">
            <v>Ahmed Dabaly</v>
          </cell>
          <cell r="AE696" t="str">
            <v>إعارة</v>
          </cell>
          <cell r="AF696" t="str">
            <v/>
          </cell>
          <cell r="AG696" t="str">
            <v/>
          </cell>
          <cell r="AH696" t="str">
            <v/>
          </cell>
          <cell r="AI696" t="str">
            <v/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 t="str">
            <v/>
          </cell>
          <cell r="AO696" t="str">
            <v>عمليات الفروع</v>
          </cell>
          <cell r="AP696" t="str">
            <v>Al Rajhi Bank</v>
          </cell>
          <cell r="AQ696" t="str">
            <v>SA0380000221608010776105</v>
          </cell>
          <cell r="AR696">
            <v>16395</v>
          </cell>
          <cell r="AS696" t="str">
            <v/>
          </cell>
          <cell r="AT696">
            <v>100</v>
          </cell>
          <cell r="AU696">
            <v>4098.75</v>
          </cell>
          <cell r="AV696" t="str">
            <v/>
          </cell>
        </row>
        <row r="697">
          <cell r="A697">
            <v>400520</v>
          </cell>
          <cell r="B697" t="str">
            <v>1085724605</v>
          </cell>
          <cell r="C697" t="str">
            <v>السيد</v>
          </cell>
          <cell r="D697" t="str">
            <v>Ahmed Abdo Dabaly</v>
          </cell>
          <cell r="E697" t="str">
            <v>احمد عبده  ذبالي</v>
          </cell>
          <cell r="F697" t="str">
            <v>Male</v>
          </cell>
          <cell r="G697" t="str">
            <v/>
          </cell>
          <cell r="H697">
            <v>33178</v>
          </cell>
          <cell r="I697">
            <v>36</v>
          </cell>
          <cell r="J697">
            <v>13012</v>
          </cell>
          <cell r="K697" t="str">
            <v>Ahmed.Dabaly@agriserv.sa</v>
          </cell>
          <cell r="L697" t="str">
            <v>0552035830</v>
          </cell>
          <cell r="M697" t="str">
            <v/>
          </cell>
          <cell r="N697" t="str">
            <v>المملكة العربية السعودية</v>
          </cell>
          <cell r="O697" t="str">
            <v>50001413</v>
          </cell>
          <cell r="P697" t="str">
            <v>طبيب بيطري</v>
          </cell>
          <cell r="Q697" t="str">
            <v>الدرجة 4</v>
          </cell>
          <cell r="R697" t="str">
            <v>Class A</v>
          </cell>
          <cell r="S697" t="str">
            <v/>
          </cell>
          <cell r="T697" t="str">
            <v>عمليات الفروع  جيزان</v>
          </cell>
          <cell r="U697" t="str">
            <v>عمليات الفروع</v>
          </cell>
          <cell r="V697" t="str">
            <v>الفروع</v>
          </cell>
          <cell r="W697" t="str">
            <v>Jizan</v>
          </cell>
          <cell r="X697" t="str">
            <v xml:space="preserve">الفرع </v>
          </cell>
          <cell r="Y697">
            <v>45901</v>
          </cell>
          <cell r="Z697">
            <v>0.79</v>
          </cell>
          <cell r="AA697">
            <v>289</v>
          </cell>
          <cell r="AB697" t="str">
            <v>نشط</v>
          </cell>
          <cell r="AC697" t="str">
            <v>400500</v>
          </cell>
          <cell r="AD697" t="str">
            <v>Mohsen Krairi</v>
          </cell>
          <cell r="AE697" t="str">
            <v>إعارة</v>
          </cell>
          <cell r="AF697" t="str">
            <v/>
          </cell>
          <cell r="AG697" t="str">
            <v/>
          </cell>
          <cell r="AH697" t="str">
            <v/>
          </cell>
          <cell r="AI697" t="str">
            <v/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 t="str">
            <v/>
          </cell>
          <cell r="AO697" t="str">
            <v>عمليات الفروع</v>
          </cell>
          <cell r="AP697" t="str">
            <v>Al Rajhi Bank</v>
          </cell>
          <cell r="AQ697" t="str">
            <v>SA3180000371608010061068</v>
          </cell>
          <cell r="AR697">
            <v>13505</v>
          </cell>
          <cell r="AS697" t="str">
            <v/>
          </cell>
          <cell r="AT697">
            <v>650.5</v>
          </cell>
          <cell r="AU697">
            <v>3376.25</v>
          </cell>
          <cell r="AV697" t="str">
            <v/>
          </cell>
        </row>
        <row r="698">
          <cell r="A698">
            <v>400521</v>
          </cell>
          <cell r="B698" t="str">
            <v>1023044249</v>
          </cell>
          <cell r="C698" t="str">
            <v>السيد</v>
          </cell>
          <cell r="D698" t="str">
            <v>Alhussain Ahmad Abu Gashash</v>
          </cell>
          <cell r="E698" t="str">
            <v>الحسين احمد  ابوقشاش</v>
          </cell>
          <cell r="F698" t="str">
            <v>Male</v>
          </cell>
          <cell r="G698" t="str">
            <v/>
          </cell>
          <cell r="H698">
            <v>26521</v>
          </cell>
          <cell r="I698">
            <v>54</v>
          </cell>
          <cell r="J698">
            <v>19669</v>
          </cell>
          <cell r="K698" t="str">
            <v>Alhussain.Gashash@agriserv.sa</v>
          </cell>
          <cell r="L698" t="str">
            <v>0509581776</v>
          </cell>
          <cell r="M698" t="str">
            <v/>
          </cell>
          <cell r="N698" t="str">
            <v>المملكة العربية السعودية</v>
          </cell>
          <cell r="O698" t="str">
            <v>50001431</v>
          </cell>
          <cell r="P698" t="str">
            <v>مساعد طبيب بيطرى</v>
          </cell>
          <cell r="Q698" t="str">
            <v>2B الدرجة</v>
          </cell>
          <cell r="R698" t="str">
            <v>Class A</v>
          </cell>
          <cell r="S698" t="str">
            <v/>
          </cell>
          <cell r="T698" t="str">
            <v>إدارة فروع العمليات – عسير</v>
          </cell>
          <cell r="U698" t="str">
            <v>عمليات الفروع</v>
          </cell>
          <cell r="V698" t="str">
            <v>الفروع</v>
          </cell>
          <cell r="W698" t="str">
            <v>Abha</v>
          </cell>
          <cell r="X698" t="str">
            <v xml:space="preserve">الفرع </v>
          </cell>
          <cell r="Y698">
            <v>45901</v>
          </cell>
          <cell r="Z698">
            <v>0.79</v>
          </cell>
          <cell r="AA698">
            <v>289</v>
          </cell>
          <cell r="AB698" t="str">
            <v>نشط</v>
          </cell>
          <cell r="AC698" t="str">
            <v>400522</v>
          </cell>
          <cell r="AD698" t="str">
            <v>Mohammed Asiri</v>
          </cell>
          <cell r="AE698" t="str">
            <v>إعارة</v>
          </cell>
          <cell r="AF698" t="str">
            <v/>
          </cell>
          <cell r="AG698" t="str">
            <v/>
          </cell>
          <cell r="AH698" t="str">
            <v/>
          </cell>
          <cell r="AI698" t="str">
            <v/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 t="str">
            <v/>
          </cell>
          <cell r="AO698" t="str">
            <v>عمليات الفروع</v>
          </cell>
          <cell r="AP698" t="str">
            <v>Al Rajhi Bank</v>
          </cell>
          <cell r="AQ698" t="str">
            <v>SA3580000193608010096474</v>
          </cell>
          <cell r="AR698">
            <v>14445</v>
          </cell>
          <cell r="AS698" t="str">
            <v/>
          </cell>
          <cell r="AT698">
            <v>100</v>
          </cell>
          <cell r="AU698">
            <v>3611.25</v>
          </cell>
          <cell r="AV698" t="str">
            <v/>
          </cell>
        </row>
        <row r="699">
          <cell r="A699">
            <v>400522</v>
          </cell>
          <cell r="B699" t="str">
            <v>1004893747</v>
          </cell>
          <cell r="C699" t="str">
            <v>السيد</v>
          </cell>
          <cell r="D699" t="str">
            <v>Mohammed Ahmed Asiri</v>
          </cell>
          <cell r="E699" t="str">
            <v>محمد احمد  عسيري</v>
          </cell>
          <cell r="F699" t="str">
            <v>Male</v>
          </cell>
          <cell r="G699" t="str">
            <v/>
          </cell>
          <cell r="H699">
            <v>30419</v>
          </cell>
          <cell r="I699">
            <v>43</v>
          </cell>
          <cell r="J699">
            <v>15771</v>
          </cell>
          <cell r="K699" t="str">
            <v>Mohammed.Asiri@agriserv.sa</v>
          </cell>
          <cell r="L699" t="str">
            <v>0556141040</v>
          </cell>
          <cell r="M699" t="str">
            <v/>
          </cell>
          <cell r="N699" t="str">
            <v>المملكة العربية السعودية</v>
          </cell>
          <cell r="O699" t="str">
            <v>50001416</v>
          </cell>
          <cell r="P699" t="str">
            <v>طبيب بيطري</v>
          </cell>
          <cell r="Q699" t="str">
            <v>الدرجة 4</v>
          </cell>
          <cell r="R699" t="str">
            <v>Class A</v>
          </cell>
          <cell r="S699" t="str">
            <v/>
          </cell>
          <cell r="T699" t="str">
            <v>إدارة فروع العمليات – عسير</v>
          </cell>
          <cell r="U699" t="str">
            <v>عمليات الفروع</v>
          </cell>
          <cell r="V699" t="str">
            <v>الفروع</v>
          </cell>
          <cell r="W699" t="str">
            <v>Muhayil</v>
          </cell>
          <cell r="X699" t="str">
            <v xml:space="preserve">الفرع </v>
          </cell>
          <cell r="Y699">
            <v>45901</v>
          </cell>
          <cell r="Z699">
            <v>0.79</v>
          </cell>
          <cell r="AA699">
            <v>289</v>
          </cell>
          <cell r="AB699" t="str">
            <v>نشط</v>
          </cell>
          <cell r="AC699" t="str">
            <v>400548</v>
          </cell>
          <cell r="AD699" t="str">
            <v>Abdullah Alshahrani</v>
          </cell>
          <cell r="AE699" t="str">
            <v>إعارة</v>
          </cell>
          <cell r="AF699" t="str">
            <v/>
          </cell>
          <cell r="AG699" t="str">
            <v/>
          </cell>
          <cell r="AH699" t="str">
            <v/>
          </cell>
          <cell r="AI699" t="str">
            <v/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 t="str">
            <v/>
          </cell>
          <cell r="AO699" t="str">
            <v>عمليات الفروع</v>
          </cell>
          <cell r="AP699" t="str">
            <v>Al Rajhi Bank</v>
          </cell>
          <cell r="AQ699" t="str">
            <v>SA5080000308608010322963</v>
          </cell>
          <cell r="AR699">
            <v>16585</v>
          </cell>
          <cell r="AS699" t="str">
            <v/>
          </cell>
          <cell r="AT699">
            <v>758.5</v>
          </cell>
          <cell r="AU699">
            <v>4146.25</v>
          </cell>
          <cell r="AV699" t="str">
            <v/>
          </cell>
        </row>
        <row r="700">
          <cell r="A700">
            <v>400523</v>
          </cell>
          <cell r="B700" t="str">
            <v>1103063374</v>
          </cell>
          <cell r="C700" t="str">
            <v>السيد</v>
          </cell>
          <cell r="D700" t="str">
            <v>Abdulaziz Ibrahim Alsaad</v>
          </cell>
          <cell r="E700" t="str">
            <v>عبدالعزيز ابراهيم  السعد</v>
          </cell>
          <cell r="F700" t="str">
            <v>Male</v>
          </cell>
          <cell r="G700" t="str">
            <v/>
          </cell>
          <cell r="H700">
            <v>36253</v>
          </cell>
          <cell r="I700">
            <v>27</v>
          </cell>
          <cell r="J700">
            <v>9937</v>
          </cell>
          <cell r="K700" t="str">
            <v>Abdulaziz.Alsaad@agriserv.sa</v>
          </cell>
          <cell r="L700" t="str">
            <v>0594297909</v>
          </cell>
          <cell r="M700" t="str">
            <v/>
          </cell>
          <cell r="N700" t="str">
            <v>المملكة العربية السعودية</v>
          </cell>
          <cell r="O700" t="str">
            <v>50001430</v>
          </cell>
          <cell r="P700" t="str">
            <v>مساعد طبيب بيطرى</v>
          </cell>
          <cell r="Q700" t="str">
            <v>2B الدرجة</v>
          </cell>
          <cell r="R700" t="str">
            <v>Class A</v>
          </cell>
          <cell r="S700" t="str">
            <v/>
          </cell>
          <cell r="T700" t="str">
            <v>إدارة فروع العمليات – عسير</v>
          </cell>
          <cell r="U700" t="str">
            <v>عمليات الفروع</v>
          </cell>
          <cell r="V700" t="str">
            <v>الفروع</v>
          </cell>
          <cell r="W700" t="str">
            <v>Abha</v>
          </cell>
          <cell r="X700" t="str">
            <v xml:space="preserve">الفرع </v>
          </cell>
          <cell r="Y700">
            <v>45901</v>
          </cell>
          <cell r="Z700">
            <v>0.79</v>
          </cell>
          <cell r="AA700">
            <v>289</v>
          </cell>
          <cell r="AB700" t="str">
            <v>نشط</v>
          </cell>
          <cell r="AC700" t="str">
            <v>400549</v>
          </cell>
          <cell r="AD700" t="str">
            <v>Mohammed Almusallam</v>
          </cell>
          <cell r="AE700" t="str">
            <v>إعارة</v>
          </cell>
          <cell r="AF700" t="str">
            <v/>
          </cell>
          <cell r="AG700" t="str">
            <v/>
          </cell>
          <cell r="AH700" t="str">
            <v/>
          </cell>
          <cell r="AI700" t="str">
            <v/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 t="str">
            <v/>
          </cell>
          <cell r="AO700" t="str">
            <v>عمليات الفروع</v>
          </cell>
          <cell r="AP700" t="str">
            <v>Saudi National Bank</v>
          </cell>
          <cell r="AQ700" t="str">
            <v>SA3310000005876596000100</v>
          </cell>
          <cell r="AR700">
            <v>6189</v>
          </cell>
          <cell r="AS700" t="str">
            <v/>
          </cell>
          <cell r="AT700">
            <v>118.9</v>
          </cell>
          <cell r="AU700">
            <v>1547.25</v>
          </cell>
          <cell r="AV700" t="str">
            <v/>
          </cell>
        </row>
        <row r="701">
          <cell r="A701">
            <v>400524</v>
          </cell>
          <cell r="B701" t="str">
            <v>1089339830</v>
          </cell>
          <cell r="C701" t="str">
            <v>السيد</v>
          </cell>
          <cell r="D701" t="str">
            <v>Mahdi Khalil Alshabaah</v>
          </cell>
          <cell r="E701" t="str">
            <v>مهدي خليل  الشباعه</v>
          </cell>
          <cell r="F701" t="str">
            <v>Male</v>
          </cell>
          <cell r="G701" t="str">
            <v/>
          </cell>
          <cell r="H701">
            <v>34727</v>
          </cell>
          <cell r="I701">
            <v>31</v>
          </cell>
          <cell r="J701">
            <v>11463</v>
          </cell>
          <cell r="K701" t="str">
            <v>Mahdi.Alshabaah@agriserv.sa</v>
          </cell>
          <cell r="L701" t="str">
            <v>0535691866</v>
          </cell>
          <cell r="M701" t="str">
            <v/>
          </cell>
          <cell r="N701" t="str">
            <v>المملكة العربية السعودية</v>
          </cell>
          <cell r="O701" t="str">
            <v>50001433</v>
          </cell>
          <cell r="P701" t="str">
            <v>طبيب بيطري</v>
          </cell>
          <cell r="Q701" t="str">
            <v>الدرجة 4</v>
          </cell>
          <cell r="R701" t="str">
            <v>Class A</v>
          </cell>
          <cell r="S701" t="str">
            <v/>
          </cell>
          <cell r="T701" t="str">
            <v>إدارة فروع العمليات – عسير</v>
          </cell>
          <cell r="U701" t="str">
            <v>عمليات الفروع</v>
          </cell>
          <cell r="V701" t="str">
            <v>الفروع</v>
          </cell>
          <cell r="W701" t="str">
            <v>Abha</v>
          </cell>
          <cell r="X701" t="str">
            <v xml:space="preserve">الفرع </v>
          </cell>
          <cell r="Y701">
            <v>45901</v>
          </cell>
          <cell r="Z701">
            <v>0.79</v>
          </cell>
          <cell r="AA701">
            <v>289</v>
          </cell>
          <cell r="AB701" t="str">
            <v>نشط</v>
          </cell>
          <cell r="AC701" t="str">
            <v>400549</v>
          </cell>
          <cell r="AD701" t="str">
            <v>Mohammed Almusallam</v>
          </cell>
          <cell r="AE701" t="str">
            <v>إعارة</v>
          </cell>
          <cell r="AF701" t="str">
            <v/>
          </cell>
          <cell r="AG701" t="str">
            <v/>
          </cell>
          <cell r="AH701" t="str">
            <v/>
          </cell>
          <cell r="AI701" t="str">
            <v/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 t="str">
            <v/>
          </cell>
          <cell r="AO701" t="str">
            <v>عمليات الفروع</v>
          </cell>
          <cell r="AP701" t="str">
            <v>Riyad Bank</v>
          </cell>
          <cell r="AQ701" t="str">
            <v>SA9020000003053194139940</v>
          </cell>
          <cell r="AR701">
            <v>9744</v>
          </cell>
          <cell r="AS701" t="str">
            <v/>
          </cell>
          <cell r="AT701">
            <v>474.4</v>
          </cell>
          <cell r="AU701">
            <v>2436</v>
          </cell>
          <cell r="AV701" t="str">
            <v/>
          </cell>
        </row>
        <row r="702">
          <cell r="A702">
            <v>400525</v>
          </cell>
          <cell r="B702" t="str">
            <v>1078338819</v>
          </cell>
          <cell r="C702" t="str">
            <v>السيد</v>
          </cell>
          <cell r="D702" t="str">
            <v>Mohammed Qasem Almomen</v>
          </cell>
          <cell r="E702" t="str">
            <v>محمد قاسم  المؤمن</v>
          </cell>
          <cell r="F702" t="str">
            <v>Male</v>
          </cell>
          <cell r="G702" t="str">
            <v/>
          </cell>
          <cell r="H702">
            <v>34221</v>
          </cell>
          <cell r="I702">
            <v>33</v>
          </cell>
          <cell r="J702">
            <v>11969</v>
          </cell>
          <cell r="K702" t="str">
            <v>Mohammed.Almomen@agriserv.sa</v>
          </cell>
          <cell r="L702" t="str">
            <v>0562807000</v>
          </cell>
          <cell r="M702" t="str">
            <v/>
          </cell>
          <cell r="N702" t="str">
            <v>المملكة العربية السعودية</v>
          </cell>
          <cell r="O702" t="str">
            <v>50001417</v>
          </cell>
          <cell r="P702" t="str">
            <v>طبيب بيطري</v>
          </cell>
          <cell r="Q702" t="str">
            <v>الدرجة 4</v>
          </cell>
          <cell r="R702" t="str">
            <v>Class A</v>
          </cell>
          <cell r="S702" t="str">
            <v/>
          </cell>
          <cell r="T702" t="str">
            <v>عمليات الفروع أبها</v>
          </cell>
          <cell r="U702" t="str">
            <v>عمليات الفروع</v>
          </cell>
          <cell r="V702" t="str">
            <v>الفروع</v>
          </cell>
          <cell r="W702" t="str">
            <v>Bisha</v>
          </cell>
          <cell r="X702" t="str">
            <v xml:space="preserve">الفرع </v>
          </cell>
          <cell r="Y702">
            <v>45901</v>
          </cell>
          <cell r="Z702">
            <v>0.79</v>
          </cell>
          <cell r="AA702">
            <v>289</v>
          </cell>
          <cell r="AB702" t="str">
            <v>نشط</v>
          </cell>
          <cell r="AC702" t="str">
            <v>400526</v>
          </cell>
          <cell r="AD702" t="str">
            <v>Nawaf Alotaibi</v>
          </cell>
          <cell r="AE702" t="str">
            <v>إعارة</v>
          </cell>
          <cell r="AF702" t="str">
            <v/>
          </cell>
          <cell r="AG702" t="str">
            <v/>
          </cell>
          <cell r="AH702" t="str">
            <v/>
          </cell>
          <cell r="AI702" t="str">
            <v/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 t="str">
            <v/>
          </cell>
          <cell r="AO702" t="str">
            <v>عمليات الفروع</v>
          </cell>
          <cell r="AP702" t="str">
            <v>Saudi National Bank</v>
          </cell>
          <cell r="AQ702" t="str">
            <v>SA3310000009060664000103</v>
          </cell>
          <cell r="AR702">
            <v>9191</v>
          </cell>
          <cell r="AS702" t="str">
            <v/>
          </cell>
          <cell r="AT702">
            <v>419.1</v>
          </cell>
          <cell r="AU702">
            <v>2297.75</v>
          </cell>
          <cell r="AV702" t="str">
            <v/>
          </cell>
        </row>
        <row r="703">
          <cell r="A703">
            <v>400526</v>
          </cell>
          <cell r="B703" t="str">
            <v>1087094544</v>
          </cell>
          <cell r="C703" t="str">
            <v>السيد</v>
          </cell>
          <cell r="D703" t="str">
            <v>Nawaf Abdullah Alotaibi</v>
          </cell>
          <cell r="E703" t="str">
            <v>نواف عبدالله  العتيبي</v>
          </cell>
          <cell r="F703" t="str">
            <v>Male</v>
          </cell>
          <cell r="G703" t="str">
            <v/>
          </cell>
          <cell r="H703">
            <v>34909</v>
          </cell>
          <cell r="I703">
            <v>31</v>
          </cell>
          <cell r="J703">
            <v>11281</v>
          </cell>
          <cell r="K703" t="str">
            <v>Nawaf.Alotaibi@agriserv.sa</v>
          </cell>
          <cell r="L703" t="str">
            <v>0536152014</v>
          </cell>
          <cell r="M703" t="str">
            <v/>
          </cell>
          <cell r="N703" t="str">
            <v>المملكة العربية السعودية</v>
          </cell>
          <cell r="O703" t="str">
            <v>50001418</v>
          </cell>
          <cell r="P703" t="str">
            <v>طبيب بيطري</v>
          </cell>
          <cell r="Q703" t="str">
            <v>الدرجة 4</v>
          </cell>
          <cell r="R703" t="str">
            <v>Class A</v>
          </cell>
          <cell r="S703" t="str">
            <v/>
          </cell>
          <cell r="T703" t="str">
            <v>عمليات الفروع أبها</v>
          </cell>
          <cell r="U703" t="str">
            <v>عمليات الفروع</v>
          </cell>
          <cell r="V703" t="str">
            <v>الفروع</v>
          </cell>
          <cell r="W703" t="str">
            <v>Bisha</v>
          </cell>
          <cell r="X703" t="str">
            <v xml:space="preserve">الفرع </v>
          </cell>
          <cell r="Y703">
            <v>45901</v>
          </cell>
          <cell r="Z703">
            <v>0.79</v>
          </cell>
          <cell r="AA703">
            <v>289</v>
          </cell>
          <cell r="AB703" t="str">
            <v>نشط</v>
          </cell>
          <cell r="AC703" t="str">
            <v>400548</v>
          </cell>
          <cell r="AD703" t="str">
            <v>Abdullah Alshahrani</v>
          </cell>
          <cell r="AE703" t="str">
            <v>إعارة</v>
          </cell>
          <cell r="AF703" t="str">
            <v/>
          </cell>
          <cell r="AG703" t="str">
            <v/>
          </cell>
          <cell r="AH703" t="str">
            <v/>
          </cell>
          <cell r="AI703" t="str">
            <v/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 t="str">
            <v/>
          </cell>
          <cell r="AO703" t="str">
            <v>عمليات الفروع</v>
          </cell>
          <cell r="AP703" t="str">
            <v>Inma Bank</v>
          </cell>
          <cell r="AQ703" t="str">
            <v>SA1005000068203158434000</v>
          </cell>
          <cell r="AR703">
            <v>9191</v>
          </cell>
          <cell r="AS703" t="str">
            <v/>
          </cell>
          <cell r="AT703">
            <v>419.1</v>
          </cell>
          <cell r="AU703">
            <v>2297.75</v>
          </cell>
          <cell r="AV703" t="str">
            <v/>
          </cell>
        </row>
        <row r="704">
          <cell r="A704">
            <v>400527</v>
          </cell>
          <cell r="B704" t="str">
            <v>1035348588</v>
          </cell>
          <cell r="C704" t="str">
            <v>السيد</v>
          </cell>
          <cell r="D704" t="str">
            <v>Ali Muhammed Alshahrani</v>
          </cell>
          <cell r="E704" t="str">
            <v>علي محمد  الشهراني</v>
          </cell>
          <cell r="F704" t="str">
            <v>Male</v>
          </cell>
          <cell r="G704" t="str">
            <v/>
          </cell>
          <cell r="H704">
            <v>27938</v>
          </cell>
          <cell r="I704">
            <v>50</v>
          </cell>
          <cell r="J704">
            <v>18252</v>
          </cell>
          <cell r="K704" t="str">
            <v>Ali.Alshahrani@agriserv.sa</v>
          </cell>
          <cell r="L704" t="str">
            <v>0531644379</v>
          </cell>
          <cell r="M704" t="str">
            <v/>
          </cell>
          <cell r="N704" t="str">
            <v>المملكة العربية السعودية</v>
          </cell>
          <cell r="O704" t="str">
            <v>50001429</v>
          </cell>
          <cell r="P704" t="str">
            <v>مساعد طبيب بيطرى</v>
          </cell>
          <cell r="Q704" t="str">
            <v>2B الدرجة</v>
          </cell>
          <cell r="R704" t="str">
            <v>Class A</v>
          </cell>
          <cell r="S704" t="str">
            <v/>
          </cell>
          <cell r="T704" t="str">
            <v>عمليات الفروع أبها</v>
          </cell>
          <cell r="U704" t="str">
            <v>عمليات الفروع</v>
          </cell>
          <cell r="V704" t="str">
            <v>الفروع</v>
          </cell>
          <cell r="W704" t="str">
            <v>Bisha</v>
          </cell>
          <cell r="X704" t="str">
            <v xml:space="preserve">الفرع </v>
          </cell>
          <cell r="Y704">
            <v>45901</v>
          </cell>
          <cell r="Z704">
            <v>0.79</v>
          </cell>
          <cell r="AA704">
            <v>289</v>
          </cell>
          <cell r="AB704" t="str">
            <v>نشط</v>
          </cell>
          <cell r="AC704" t="str">
            <v>400526</v>
          </cell>
          <cell r="AD704" t="str">
            <v>Nawaf Alotaibi</v>
          </cell>
          <cell r="AE704" t="str">
            <v>إعارة</v>
          </cell>
          <cell r="AF704" t="str">
            <v/>
          </cell>
          <cell r="AG704" t="str">
            <v/>
          </cell>
          <cell r="AH704" t="str">
            <v/>
          </cell>
          <cell r="AI704" t="str">
            <v/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 t="str">
            <v/>
          </cell>
          <cell r="AO704" t="str">
            <v>عمليات الفروع</v>
          </cell>
          <cell r="AP704" t="str">
            <v>Saudi National Bank</v>
          </cell>
          <cell r="AQ704" t="str">
            <v>SA8210000037350631000104</v>
          </cell>
          <cell r="AR704">
            <v>15375</v>
          </cell>
          <cell r="AS704" t="str">
            <v/>
          </cell>
          <cell r="AT704">
            <v>100</v>
          </cell>
          <cell r="AU704">
            <v>3843.75</v>
          </cell>
          <cell r="AV704" t="str">
            <v/>
          </cell>
        </row>
        <row r="705">
          <cell r="A705">
            <v>400528</v>
          </cell>
          <cell r="B705" t="str">
            <v>1035374956</v>
          </cell>
          <cell r="C705" t="str">
            <v>السيد</v>
          </cell>
          <cell r="D705" t="str">
            <v>Saud Ghazi Alsherari</v>
          </cell>
          <cell r="E705" t="str">
            <v>سعود غازي  الشراري</v>
          </cell>
          <cell r="F705" t="str">
            <v>Male</v>
          </cell>
          <cell r="G705" t="str">
            <v/>
          </cell>
          <cell r="H705">
            <v>29464</v>
          </cell>
          <cell r="I705">
            <v>46</v>
          </cell>
          <cell r="J705">
            <v>16726</v>
          </cell>
          <cell r="K705" t="str">
            <v>Saud.Alsherari@agriserv.sa</v>
          </cell>
          <cell r="L705" t="str">
            <v>0501853117</v>
          </cell>
          <cell r="M705" t="str">
            <v/>
          </cell>
          <cell r="N705" t="str">
            <v>المملكة العربية السعودية</v>
          </cell>
          <cell r="O705" t="str">
            <v>50001436</v>
          </cell>
          <cell r="P705" t="str">
            <v>مساعد طبيب بيطرى</v>
          </cell>
          <cell r="Q705" t="str">
            <v>2B الدرجة</v>
          </cell>
          <cell r="R705" t="str">
            <v>Class A</v>
          </cell>
          <cell r="S705" t="str">
            <v/>
          </cell>
          <cell r="T705" t="str">
            <v>عمليات الفروع  سكاكا</v>
          </cell>
          <cell r="U705" t="str">
            <v>عمليات الفروع</v>
          </cell>
          <cell r="V705" t="str">
            <v>الفروع</v>
          </cell>
          <cell r="W705" t="str">
            <v>Tubarjal</v>
          </cell>
          <cell r="X705" t="str">
            <v xml:space="preserve">الفرع </v>
          </cell>
          <cell r="Y705">
            <v>45901</v>
          </cell>
          <cell r="Z705">
            <v>0.79</v>
          </cell>
          <cell r="AA705">
            <v>289</v>
          </cell>
          <cell r="AB705" t="str">
            <v>نشط</v>
          </cell>
          <cell r="AC705" t="str">
            <v>400529</v>
          </cell>
          <cell r="AD705" t="str">
            <v>Majid Alsherari</v>
          </cell>
          <cell r="AE705" t="str">
            <v>إعارة</v>
          </cell>
          <cell r="AF705" t="str">
            <v/>
          </cell>
          <cell r="AG705" t="str">
            <v/>
          </cell>
          <cell r="AH705" t="str">
            <v/>
          </cell>
          <cell r="AI705" t="str">
            <v/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 t="str">
            <v/>
          </cell>
          <cell r="AO705" t="str">
            <v>عمليات الفروع</v>
          </cell>
          <cell r="AP705" t="str">
            <v>Al Rajhi Bank</v>
          </cell>
          <cell r="AQ705" t="str">
            <v>SA8980000210608010218036</v>
          </cell>
          <cell r="AR705">
            <v>13505</v>
          </cell>
          <cell r="AS705" t="str">
            <v/>
          </cell>
          <cell r="AT705">
            <v>100</v>
          </cell>
          <cell r="AU705">
            <v>3376.25</v>
          </cell>
          <cell r="AV705" t="str">
            <v/>
          </cell>
        </row>
        <row r="706">
          <cell r="A706">
            <v>400529</v>
          </cell>
          <cell r="B706" t="str">
            <v>1014707978</v>
          </cell>
          <cell r="C706" t="str">
            <v>السيد</v>
          </cell>
          <cell r="D706" t="str">
            <v>Majid Musbeh Alsherari</v>
          </cell>
          <cell r="E706" t="str">
            <v>ماجد مصبح  الشراري</v>
          </cell>
          <cell r="F706" t="str">
            <v>Male</v>
          </cell>
          <cell r="G706" t="str">
            <v/>
          </cell>
          <cell r="H706">
            <v>30146</v>
          </cell>
          <cell r="I706">
            <v>44</v>
          </cell>
          <cell r="J706">
            <v>16044</v>
          </cell>
          <cell r="K706" t="str">
            <v>Majid.Alsherari@agriserv.sa</v>
          </cell>
          <cell r="L706" t="str">
            <v>0507247896</v>
          </cell>
          <cell r="M706" t="str">
            <v/>
          </cell>
          <cell r="N706" t="str">
            <v>المملكة العربية السعودية</v>
          </cell>
          <cell r="O706" t="str">
            <v>50001435</v>
          </cell>
          <cell r="P706" t="str">
            <v>مساعد طبيب بيطرى</v>
          </cell>
          <cell r="Q706" t="str">
            <v>2B الدرجة</v>
          </cell>
          <cell r="R706" t="str">
            <v>Class A</v>
          </cell>
          <cell r="S706" t="str">
            <v/>
          </cell>
          <cell r="T706" t="str">
            <v>عمليات الفروع  سكاكا</v>
          </cell>
          <cell r="U706" t="str">
            <v>عمليات الفروع</v>
          </cell>
          <cell r="V706" t="str">
            <v>الفروع</v>
          </cell>
          <cell r="W706" t="str">
            <v>Tubarjal</v>
          </cell>
          <cell r="X706" t="str">
            <v xml:space="preserve">الفرع </v>
          </cell>
          <cell r="Y706">
            <v>45901</v>
          </cell>
          <cell r="Z706">
            <v>0.79</v>
          </cell>
          <cell r="AA706">
            <v>289</v>
          </cell>
          <cell r="AB706" t="str">
            <v>نشط</v>
          </cell>
          <cell r="AC706" t="str">
            <v>100063</v>
          </cell>
          <cell r="AD706" t="str">
            <v>Hazza Alruwaili</v>
          </cell>
          <cell r="AE706" t="str">
            <v>إعارة</v>
          </cell>
          <cell r="AF706" t="str">
            <v/>
          </cell>
          <cell r="AG706" t="str">
            <v/>
          </cell>
          <cell r="AH706" t="str">
            <v/>
          </cell>
          <cell r="AI706" t="str">
            <v/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 t="str">
            <v/>
          </cell>
          <cell r="AO706" t="str">
            <v>عمليات الفروع</v>
          </cell>
          <cell r="AP706" t="str">
            <v>Saudi National Bank</v>
          </cell>
          <cell r="AQ706" t="str">
            <v>SA7710000042047809000105</v>
          </cell>
          <cell r="AR706">
            <v>11330</v>
          </cell>
          <cell r="AS706" t="str">
            <v/>
          </cell>
          <cell r="AT706">
            <v>100</v>
          </cell>
          <cell r="AU706">
            <v>2832.5</v>
          </cell>
          <cell r="AV706" t="str">
            <v/>
          </cell>
        </row>
        <row r="707">
          <cell r="A707">
            <v>400530</v>
          </cell>
          <cell r="B707" t="str">
            <v>1029635388</v>
          </cell>
          <cell r="C707" t="str">
            <v>السيد</v>
          </cell>
          <cell r="D707" t="str">
            <v>Fahad Saleh Alshararei</v>
          </cell>
          <cell r="E707" t="str">
            <v>فهد صالح  الشراري</v>
          </cell>
          <cell r="F707" t="str">
            <v>Male</v>
          </cell>
          <cell r="G707" t="str">
            <v/>
          </cell>
          <cell r="H707">
            <v>30860</v>
          </cell>
          <cell r="I707">
            <v>42</v>
          </cell>
          <cell r="J707">
            <v>15330</v>
          </cell>
          <cell r="K707" t="str">
            <v>Fahad.Alshararei@agriserv.sa</v>
          </cell>
          <cell r="L707" t="str">
            <v>0506225555</v>
          </cell>
          <cell r="M707" t="str">
            <v/>
          </cell>
          <cell r="N707" t="str">
            <v>المملكة العربية السعودية</v>
          </cell>
          <cell r="O707" t="str">
            <v>50001420</v>
          </cell>
          <cell r="P707" t="str">
            <v>طبيب بيطري</v>
          </cell>
          <cell r="Q707" t="str">
            <v>الدرجة 4</v>
          </cell>
          <cell r="R707" t="str">
            <v>Class A</v>
          </cell>
          <cell r="S707" t="str">
            <v/>
          </cell>
          <cell r="T707" t="str">
            <v>عمليات الفروع  سكاكا</v>
          </cell>
          <cell r="U707" t="str">
            <v>عمليات الفروع</v>
          </cell>
          <cell r="V707" t="str">
            <v>الفروع</v>
          </cell>
          <cell r="W707" t="str">
            <v>Tubarjal</v>
          </cell>
          <cell r="X707" t="str">
            <v xml:space="preserve">الفرع </v>
          </cell>
          <cell r="Y707">
            <v>45901</v>
          </cell>
          <cell r="Z707">
            <v>0.79</v>
          </cell>
          <cell r="AA707">
            <v>289</v>
          </cell>
          <cell r="AB707" t="str">
            <v>غير نشط</v>
          </cell>
          <cell r="AC707" t="str">
            <v>100036</v>
          </cell>
          <cell r="AD707" t="str">
            <v>Ibrahim Alkhuzam</v>
          </cell>
          <cell r="AE707" t="str">
            <v>إعارة</v>
          </cell>
          <cell r="AF707">
            <v>46022</v>
          </cell>
          <cell r="AG707" t="str">
            <v/>
          </cell>
          <cell r="AH707" t="str">
            <v/>
          </cell>
          <cell r="AI707" t="str">
            <v/>
          </cell>
          <cell r="AJ707">
            <v>1</v>
          </cell>
          <cell r="AK707">
            <v>1</v>
          </cell>
          <cell r="AL707">
            <v>0</v>
          </cell>
          <cell r="AM707">
            <v>0</v>
          </cell>
          <cell r="AN707" t="str">
            <v/>
          </cell>
          <cell r="AO707" t="str">
            <v>Operation Department</v>
          </cell>
          <cell r="AP707" t="str">
            <v>Al Rajhi Bank</v>
          </cell>
          <cell r="AQ707" t="str">
            <v>SA5080000275608010046611</v>
          </cell>
          <cell r="AR707">
            <v>13505</v>
          </cell>
          <cell r="AS707" t="str">
            <v/>
          </cell>
          <cell r="AT707">
            <v>650.5</v>
          </cell>
          <cell r="AU707">
            <v>3376.25</v>
          </cell>
          <cell r="AV707" t="str">
            <v/>
          </cell>
        </row>
        <row r="708">
          <cell r="A708">
            <v>400531</v>
          </cell>
          <cell r="B708" t="str">
            <v>1035061975</v>
          </cell>
          <cell r="C708" t="str">
            <v>السيد</v>
          </cell>
          <cell r="D708" t="str">
            <v>Suliman Ayed Alsharari</v>
          </cell>
          <cell r="E708" t="str">
            <v>سليمان عايد  الشراري</v>
          </cell>
          <cell r="F708" t="str">
            <v>Male</v>
          </cell>
          <cell r="G708" t="str">
            <v/>
          </cell>
          <cell r="H708">
            <v>29534</v>
          </cell>
          <cell r="I708">
            <v>46</v>
          </cell>
          <cell r="J708">
            <v>16656</v>
          </cell>
          <cell r="K708" t="str">
            <v>Suliman.Alsharari@agriserv.sa</v>
          </cell>
          <cell r="L708" t="str">
            <v>0537012429</v>
          </cell>
          <cell r="M708" t="str">
            <v/>
          </cell>
          <cell r="N708" t="str">
            <v>المملكة العربية السعودية</v>
          </cell>
          <cell r="O708" t="str">
            <v>50001424</v>
          </cell>
          <cell r="P708" t="str">
            <v>مساعد طبيب بيطرى</v>
          </cell>
          <cell r="Q708" t="str">
            <v>2B الدرجة</v>
          </cell>
          <cell r="R708" t="str">
            <v>Class A</v>
          </cell>
          <cell r="S708" t="str">
            <v/>
          </cell>
          <cell r="T708" t="str">
            <v>محافظة الجوف</v>
          </cell>
          <cell r="U708" t="str">
            <v>عمليات الفروع</v>
          </cell>
          <cell r="V708" t="str">
            <v>الفروع</v>
          </cell>
          <cell r="W708" t="str">
            <v>Al-Qurayyat</v>
          </cell>
          <cell r="X708" t="str">
            <v xml:space="preserve">الفرع </v>
          </cell>
          <cell r="Y708">
            <v>45901</v>
          </cell>
          <cell r="Z708">
            <v>0.79</v>
          </cell>
          <cell r="AA708">
            <v>289</v>
          </cell>
          <cell r="AB708" t="str">
            <v>نشط</v>
          </cell>
          <cell r="AC708" t="str">
            <v>100063</v>
          </cell>
          <cell r="AD708" t="str">
            <v>Hazza Alruwaili</v>
          </cell>
          <cell r="AE708" t="str">
            <v>إعارة</v>
          </cell>
          <cell r="AF708" t="str">
            <v/>
          </cell>
          <cell r="AG708" t="str">
            <v/>
          </cell>
          <cell r="AH708" t="str">
            <v/>
          </cell>
          <cell r="AI708" t="str">
            <v/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 t="str">
            <v/>
          </cell>
          <cell r="AO708" t="str">
            <v>عمليات الفروع</v>
          </cell>
          <cell r="AP708" t="str">
            <v>Saudi National Bank</v>
          </cell>
          <cell r="AQ708" t="str">
            <v>SA1310000040150909000102</v>
          </cell>
          <cell r="AR708">
            <v>11745</v>
          </cell>
          <cell r="AS708" t="str">
            <v/>
          </cell>
          <cell r="AT708">
            <v>100</v>
          </cell>
          <cell r="AU708">
            <v>2936.25</v>
          </cell>
          <cell r="AV708" t="str">
            <v/>
          </cell>
        </row>
        <row r="709">
          <cell r="A709">
            <v>400532</v>
          </cell>
          <cell r="B709" t="str">
            <v>1035441003</v>
          </cell>
          <cell r="C709" t="str">
            <v>السيد</v>
          </cell>
          <cell r="D709" t="str">
            <v>Hassan Ali Al jourfi</v>
          </cell>
          <cell r="E709" t="str">
            <v>حسن علي  الجرفي</v>
          </cell>
          <cell r="F709" t="str">
            <v>Male</v>
          </cell>
          <cell r="G709" t="str">
            <v/>
          </cell>
          <cell r="H709">
            <v>30770</v>
          </cell>
          <cell r="I709">
            <v>42</v>
          </cell>
          <cell r="J709">
            <v>15420</v>
          </cell>
          <cell r="K709" t="str">
            <v>Hassan.Alnakhlei@agriserv.sa</v>
          </cell>
          <cell r="L709" t="str">
            <v>0545299444</v>
          </cell>
          <cell r="M709" t="str">
            <v/>
          </cell>
          <cell r="N709" t="str">
            <v>المملكة العربية السعودية</v>
          </cell>
          <cell r="O709" t="str">
            <v>50001444</v>
          </cell>
          <cell r="P709" t="str">
            <v>طبيب بيطري</v>
          </cell>
          <cell r="Q709" t="str">
            <v>الدرجة 4</v>
          </cell>
          <cell r="R709" t="str">
            <v>Class A</v>
          </cell>
          <cell r="S709" t="str">
            <v/>
          </cell>
          <cell r="T709" t="str">
            <v>عمليات الفروع  المدينة</v>
          </cell>
          <cell r="U709" t="str">
            <v>عمليات الفروع</v>
          </cell>
          <cell r="V709" t="str">
            <v>الفروع</v>
          </cell>
          <cell r="W709" t="str">
            <v>Al-Madinah</v>
          </cell>
          <cell r="X709" t="str">
            <v xml:space="preserve">الفرع </v>
          </cell>
          <cell r="Y709">
            <v>45901</v>
          </cell>
          <cell r="Z709">
            <v>0.79</v>
          </cell>
          <cell r="AA709">
            <v>289</v>
          </cell>
          <cell r="AB709" t="str">
            <v>نشط</v>
          </cell>
          <cell r="AC709" t="str">
            <v>400574</v>
          </cell>
          <cell r="AD709" t="str">
            <v>Mohammed Qasem</v>
          </cell>
          <cell r="AE709" t="str">
            <v>إعارة</v>
          </cell>
          <cell r="AF709" t="str">
            <v/>
          </cell>
          <cell r="AG709" t="str">
            <v/>
          </cell>
          <cell r="AH709" t="str">
            <v/>
          </cell>
          <cell r="AI709" t="str">
            <v/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 t="str">
            <v/>
          </cell>
          <cell r="AO709" t="str">
            <v>عمليات الفروع</v>
          </cell>
          <cell r="AP709" t="str">
            <v>Al Rajhi Bank</v>
          </cell>
          <cell r="AQ709" t="str">
            <v>SA1380000128608010149687</v>
          </cell>
          <cell r="AR709">
            <v>15885</v>
          </cell>
          <cell r="AS709" t="str">
            <v/>
          </cell>
          <cell r="AT709">
            <v>888.5</v>
          </cell>
          <cell r="AU709">
            <v>3971.25</v>
          </cell>
          <cell r="AV709" t="str">
            <v/>
          </cell>
        </row>
        <row r="710">
          <cell r="A710">
            <v>400533</v>
          </cell>
          <cell r="B710" t="str">
            <v>1113538019</v>
          </cell>
          <cell r="C710" t="str">
            <v>السيد</v>
          </cell>
          <cell r="D710" t="str">
            <v>Abdulaziz Saleem Alharbi</v>
          </cell>
          <cell r="E710" t="str">
            <v>عبدالعزيز سليم  الحربي</v>
          </cell>
          <cell r="F710" t="str">
            <v>Male</v>
          </cell>
          <cell r="G710" t="str">
            <v/>
          </cell>
          <cell r="H710">
            <v>36589</v>
          </cell>
          <cell r="I710">
            <v>26</v>
          </cell>
          <cell r="J710">
            <v>9601</v>
          </cell>
          <cell r="K710" t="str">
            <v>Abdulaziz.Alharbi@agriserv.sa</v>
          </cell>
          <cell r="L710" t="str">
            <v>0501172090</v>
          </cell>
          <cell r="M710" t="str">
            <v/>
          </cell>
          <cell r="N710" t="str">
            <v>المملكة العربية السعودية</v>
          </cell>
          <cell r="O710" t="str">
            <v>50001454</v>
          </cell>
          <cell r="P710" t="str">
            <v>مساعد طبيب بيطرى</v>
          </cell>
          <cell r="Q710" t="str">
            <v>2B الدرجة</v>
          </cell>
          <cell r="R710" t="str">
            <v>Class A</v>
          </cell>
          <cell r="S710" t="str">
            <v/>
          </cell>
          <cell r="T710" t="str">
            <v>عمليات الفروع  المدينة</v>
          </cell>
          <cell r="U710" t="str">
            <v>عمليات الفروع</v>
          </cell>
          <cell r="V710" t="str">
            <v>الفروع</v>
          </cell>
          <cell r="W710" t="str">
            <v>Badr</v>
          </cell>
          <cell r="X710" t="str">
            <v xml:space="preserve">الفرع </v>
          </cell>
          <cell r="Y710">
            <v>45901</v>
          </cell>
          <cell r="Z710">
            <v>0.79</v>
          </cell>
          <cell r="AA710">
            <v>289</v>
          </cell>
          <cell r="AB710" t="str">
            <v>نشط</v>
          </cell>
          <cell r="AC710" t="str">
            <v>400574</v>
          </cell>
          <cell r="AD710" t="str">
            <v>Mohammed Qasem</v>
          </cell>
          <cell r="AE710" t="str">
            <v>إعارة</v>
          </cell>
          <cell r="AF710" t="str">
            <v/>
          </cell>
          <cell r="AG710" t="str">
            <v/>
          </cell>
          <cell r="AH710" t="str">
            <v/>
          </cell>
          <cell r="AI710" t="str">
            <v/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 t="str">
            <v/>
          </cell>
          <cell r="AO710" t="str">
            <v>عمليات الفروع</v>
          </cell>
          <cell r="AP710" t="str">
            <v>Al Rajhi Bank</v>
          </cell>
          <cell r="AQ710" t="str">
            <v>SA9880000230608010391862</v>
          </cell>
          <cell r="AR710">
            <v>6131</v>
          </cell>
          <cell r="AS710" t="str">
            <v/>
          </cell>
          <cell r="AT710">
            <v>113.1</v>
          </cell>
          <cell r="AU710">
            <v>1532.75</v>
          </cell>
          <cell r="AV710" t="str">
            <v/>
          </cell>
        </row>
        <row r="711">
          <cell r="A711">
            <v>400534</v>
          </cell>
          <cell r="B711" t="str">
            <v>1076360476</v>
          </cell>
          <cell r="C711" t="str">
            <v>السيد</v>
          </cell>
          <cell r="D711" t="str">
            <v>Abdulmoneem Ali Almehaini</v>
          </cell>
          <cell r="E711" t="str">
            <v>عبدالمنعم علي  المهيني</v>
          </cell>
          <cell r="F711" t="str">
            <v>Male</v>
          </cell>
          <cell r="G711" t="str">
            <v/>
          </cell>
          <cell r="H711">
            <v>34087</v>
          </cell>
          <cell r="I711">
            <v>33</v>
          </cell>
          <cell r="J711">
            <v>12103</v>
          </cell>
          <cell r="K711" t="str">
            <v>a.almehaini@agriserv.sa</v>
          </cell>
          <cell r="L711" t="str">
            <v>0545133926</v>
          </cell>
          <cell r="M711" t="str">
            <v/>
          </cell>
          <cell r="N711" t="str">
            <v>المملكة العربية السعودية</v>
          </cell>
          <cell r="O711" t="str">
            <v>50001447</v>
          </cell>
          <cell r="P711" t="str">
            <v>طبيب بيطري</v>
          </cell>
          <cell r="Q711" t="str">
            <v>الدرجة 4</v>
          </cell>
          <cell r="R711" t="str">
            <v>Class A</v>
          </cell>
          <cell r="S711" t="str">
            <v/>
          </cell>
          <cell r="T711" t="str">
            <v>عمليات الفروع  عرعر</v>
          </cell>
          <cell r="U711" t="str">
            <v>عمليات الفروع</v>
          </cell>
          <cell r="V711" t="str">
            <v>الفروع</v>
          </cell>
          <cell r="W711" t="str">
            <v>Rafha</v>
          </cell>
          <cell r="X711" t="str">
            <v xml:space="preserve">الفرع </v>
          </cell>
          <cell r="Y711">
            <v>45901</v>
          </cell>
          <cell r="Z711">
            <v>0.79</v>
          </cell>
          <cell r="AA711">
            <v>289</v>
          </cell>
          <cell r="AB711" t="str">
            <v>نشط</v>
          </cell>
          <cell r="AC711" t="str">
            <v>100063</v>
          </cell>
          <cell r="AD711" t="str">
            <v>Hazza Alruwaili</v>
          </cell>
          <cell r="AE711" t="str">
            <v>إعارة</v>
          </cell>
          <cell r="AF711" t="str">
            <v/>
          </cell>
          <cell r="AG711" t="str">
            <v/>
          </cell>
          <cell r="AH711" t="str">
            <v/>
          </cell>
          <cell r="AI711" t="str">
            <v/>
          </cell>
          <cell r="AJ711">
            <v>1</v>
          </cell>
          <cell r="AK711">
            <v>1</v>
          </cell>
          <cell r="AL711">
            <v>0</v>
          </cell>
          <cell r="AM711">
            <v>0</v>
          </cell>
          <cell r="AN711" t="str">
            <v/>
          </cell>
          <cell r="AO711" t="str">
            <v>عمليات الفروع</v>
          </cell>
          <cell r="AP711" t="str">
            <v>Riyad Bank</v>
          </cell>
          <cell r="AQ711" t="str">
            <v>SA2420000003183238509940</v>
          </cell>
          <cell r="AR711">
            <v>11155</v>
          </cell>
          <cell r="AS711" t="str">
            <v/>
          </cell>
          <cell r="AT711">
            <v>415.5</v>
          </cell>
          <cell r="AU711">
            <v>2788.75</v>
          </cell>
          <cell r="AV711" t="str">
            <v/>
          </cell>
        </row>
        <row r="712">
          <cell r="A712">
            <v>400535</v>
          </cell>
          <cell r="B712" t="str">
            <v>1093973590</v>
          </cell>
          <cell r="C712" t="str">
            <v>السيد</v>
          </cell>
          <cell r="D712" t="str">
            <v>Rayan Mansour Alanazi</v>
          </cell>
          <cell r="E712" t="str">
            <v>ريان منصور  العنزي</v>
          </cell>
          <cell r="F712" t="str">
            <v>Male</v>
          </cell>
          <cell r="G712" t="str">
            <v/>
          </cell>
          <cell r="H712">
            <v>35044</v>
          </cell>
          <cell r="I712">
            <v>31</v>
          </cell>
          <cell r="J712">
            <v>11146</v>
          </cell>
          <cell r="K712" t="str">
            <v>Rayan.Alanazi@agriserv.sa</v>
          </cell>
          <cell r="L712" t="str">
            <v>0555945674</v>
          </cell>
          <cell r="M712" t="str">
            <v/>
          </cell>
          <cell r="N712" t="str">
            <v>المملكة العربية السعودية</v>
          </cell>
          <cell r="O712" t="str">
            <v>50001453</v>
          </cell>
          <cell r="P712" t="str">
            <v>مساعد طبيب بيطرى</v>
          </cell>
          <cell r="Q712" t="str">
            <v>2B الدرجة</v>
          </cell>
          <cell r="R712" t="str">
            <v>Class A</v>
          </cell>
          <cell r="S712" t="str">
            <v/>
          </cell>
          <cell r="T712" t="str">
            <v>عمليات الفروع  عرعر</v>
          </cell>
          <cell r="U712" t="str">
            <v>عمليات الفروع</v>
          </cell>
          <cell r="V712" t="str">
            <v>الفروع</v>
          </cell>
          <cell r="W712" t="str">
            <v>Rafha</v>
          </cell>
          <cell r="X712" t="str">
            <v xml:space="preserve">الفرع </v>
          </cell>
          <cell r="Y712">
            <v>45901</v>
          </cell>
          <cell r="Z712">
            <v>0.79</v>
          </cell>
          <cell r="AA712">
            <v>289</v>
          </cell>
          <cell r="AB712" t="str">
            <v>غير نشط</v>
          </cell>
          <cell r="AC712" t="str">
            <v>100036</v>
          </cell>
          <cell r="AD712" t="str">
            <v>Ibrahim Alkhuzam</v>
          </cell>
          <cell r="AE712" t="str">
            <v>إعارة</v>
          </cell>
          <cell r="AF712">
            <v>45920</v>
          </cell>
          <cell r="AG712" t="str">
            <v/>
          </cell>
          <cell r="AH712" t="str">
            <v/>
          </cell>
          <cell r="AI712" t="str">
            <v/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 t="str">
            <v/>
          </cell>
          <cell r="AO712" t="str">
            <v>Operation Department</v>
          </cell>
          <cell r="AP712" t="str">
            <v>Al Rajhi Bank</v>
          </cell>
          <cell r="AQ712" t="str">
            <v>SA8680000133608012017992</v>
          </cell>
          <cell r="AR712">
            <v>5726</v>
          </cell>
          <cell r="AS712" t="str">
            <v/>
          </cell>
          <cell r="AT712">
            <v>72.599999999999994</v>
          </cell>
          <cell r="AU712">
            <v>1431.5</v>
          </cell>
          <cell r="AV712" t="str">
            <v/>
          </cell>
        </row>
        <row r="713">
          <cell r="A713">
            <v>400536</v>
          </cell>
          <cell r="B713" t="str">
            <v>1065631051</v>
          </cell>
          <cell r="C713" t="str">
            <v>السيد</v>
          </cell>
          <cell r="D713" t="str">
            <v>Hassan Ahmad Alkhalaf</v>
          </cell>
          <cell r="E713" t="str">
            <v>حسن احمد  الخلف</v>
          </cell>
          <cell r="F713" t="str">
            <v>Male</v>
          </cell>
          <cell r="G713" t="str">
            <v/>
          </cell>
          <cell r="H713">
            <v>32903</v>
          </cell>
          <cell r="I713">
            <v>36</v>
          </cell>
          <cell r="J713">
            <v>13287</v>
          </cell>
          <cell r="K713" t="str">
            <v>Hassan.Alkhalaf@agriserv.sa</v>
          </cell>
          <cell r="L713" t="str">
            <v>0542157044</v>
          </cell>
          <cell r="M713" t="str">
            <v/>
          </cell>
          <cell r="N713" t="str">
            <v>المملكة العربية السعودية</v>
          </cell>
          <cell r="O713" t="str">
            <v>50001441</v>
          </cell>
          <cell r="P713" t="str">
            <v>طبيب بيطري</v>
          </cell>
          <cell r="Q713" t="str">
            <v>الدرجة 4</v>
          </cell>
          <cell r="R713" t="str">
            <v>Class A</v>
          </cell>
          <cell r="S713" t="str">
            <v/>
          </cell>
          <cell r="T713" t="str">
            <v>محافظة مليجة</v>
          </cell>
          <cell r="U713" t="str">
            <v>عمليات الفروع</v>
          </cell>
          <cell r="V713" t="str">
            <v>الفروع</v>
          </cell>
          <cell r="W713" t="str">
            <v>Al-Malida</v>
          </cell>
          <cell r="X713" t="str">
            <v xml:space="preserve">الفرع </v>
          </cell>
          <cell r="Y713">
            <v>45901</v>
          </cell>
          <cell r="Z713">
            <v>0.79</v>
          </cell>
          <cell r="AA713">
            <v>289</v>
          </cell>
          <cell r="AB713" t="str">
            <v>نشط</v>
          </cell>
          <cell r="AC713" t="str">
            <v>100063</v>
          </cell>
          <cell r="AD713" t="str">
            <v>Hazza Alruwaili</v>
          </cell>
          <cell r="AE713" t="str">
            <v>إعارة</v>
          </cell>
          <cell r="AF713" t="str">
            <v/>
          </cell>
          <cell r="AG713" t="str">
            <v/>
          </cell>
          <cell r="AH713" t="str">
            <v/>
          </cell>
          <cell r="AI713" t="str">
            <v/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 t="str">
            <v/>
          </cell>
          <cell r="AO713" t="str">
            <v>عمليات الفروع</v>
          </cell>
          <cell r="AP713" t="str">
            <v>Riyad Bank</v>
          </cell>
          <cell r="AQ713" t="str">
            <v>SA6220000003180400499940</v>
          </cell>
          <cell r="AR713">
            <v>14865</v>
          </cell>
          <cell r="AS713" t="str">
            <v/>
          </cell>
          <cell r="AT713">
            <v>786.5</v>
          </cell>
          <cell r="AU713">
            <v>3716.25</v>
          </cell>
          <cell r="AV713" t="str">
            <v/>
          </cell>
        </row>
        <row r="714">
          <cell r="A714">
            <v>400537</v>
          </cell>
          <cell r="B714" t="str">
            <v>1085039384</v>
          </cell>
          <cell r="C714" t="str">
            <v>السيد</v>
          </cell>
          <cell r="D714" t="str">
            <v>Saleh Abdullah Alzerahei</v>
          </cell>
          <cell r="E714" t="str">
            <v>صالح عبدالله  الزارعي</v>
          </cell>
          <cell r="F714" t="str">
            <v>Male</v>
          </cell>
          <cell r="G714" t="str">
            <v/>
          </cell>
          <cell r="H714">
            <v>34742</v>
          </cell>
          <cell r="I714">
            <v>31</v>
          </cell>
          <cell r="J714">
            <v>11448</v>
          </cell>
          <cell r="K714" t="str">
            <v>Saleh.Alzerahei@agriserv.sa</v>
          </cell>
          <cell r="L714" t="str">
            <v>0535858783</v>
          </cell>
          <cell r="M714" t="str">
            <v/>
          </cell>
          <cell r="N714" t="str">
            <v>المملكة العربية السعودية</v>
          </cell>
          <cell r="O714" t="str">
            <v>50001442</v>
          </cell>
          <cell r="P714" t="str">
            <v>طبيب بيطري</v>
          </cell>
          <cell r="Q714" t="str">
            <v>الدرجة 4</v>
          </cell>
          <cell r="R714" t="str">
            <v>Class A</v>
          </cell>
          <cell r="S714" t="str">
            <v/>
          </cell>
          <cell r="T714" t="str">
            <v>محافظة مليجة</v>
          </cell>
          <cell r="U714" t="str">
            <v>عمليات الفروع</v>
          </cell>
          <cell r="V714" t="str">
            <v>الفروع</v>
          </cell>
          <cell r="W714" t="str">
            <v>Al-Malida</v>
          </cell>
          <cell r="X714" t="str">
            <v xml:space="preserve">الفرع </v>
          </cell>
          <cell r="Y714">
            <v>45901</v>
          </cell>
          <cell r="Z714">
            <v>0.79</v>
          </cell>
          <cell r="AA714">
            <v>289</v>
          </cell>
          <cell r="AB714" t="str">
            <v>نشط</v>
          </cell>
          <cell r="AC714" t="str">
            <v>400536</v>
          </cell>
          <cell r="AD714" t="str">
            <v>Hassan Alkhalaf</v>
          </cell>
          <cell r="AE714" t="str">
            <v>إعارة</v>
          </cell>
          <cell r="AF714" t="str">
            <v/>
          </cell>
          <cell r="AG714" t="str">
            <v/>
          </cell>
          <cell r="AH714" t="str">
            <v/>
          </cell>
          <cell r="AI714" t="str">
            <v/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 t="str">
            <v/>
          </cell>
          <cell r="AO714" t="str">
            <v>عمليات الفروع</v>
          </cell>
          <cell r="AP714" t="str">
            <v>Riyad Bank</v>
          </cell>
          <cell r="AQ714" t="str">
            <v>SA2620000003402094719940</v>
          </cell>
          <cell r="AR714">
            <v>11155</v>
          </cell>
          <cell r="AS714" t="str">
            <v/>
          </cell>
          <cell r="AT714">
            <v>415.5</v>
          </cell>
          <cell r="AU714">
            <v>2788.75</v>
          </cell>
          <cell r="AV714" t="str">
            <v/>
          </cell>
        </row>
        <row r="715">
          <cell r="A715">
            <v>400538</v>
          </cell>
          <cell r="B715" t="str">
            <v>1108758648</v>
          </cell>
          <cell r="C715" t="str">
            <v>السيد</v>
          </cell>
          <cell r="D715" t="str">
            <v>Omar Khalid Alomary</v>
          </cell>
          <cell r="E715" t="str">
            <v>عمر خالد  العمري</v>
          </cell>
          <cell r="F715" t="str">
            <v>Male</v>
          </cell>
          <cell r="G715" t="str">
            <v/>
          </cell>
          <cell r="H715">
            <v>35020</v>
          </cell>
          <cell r="I715">
            <v>31</v>
          </cell>
          <cell r="J715">
            <v>11170</v>
          </cell>
          <cell r="K715" t="str">
            <v>Omar.Alomary@agriserv.sa</v>
          </cell>
          <cell r="L715" t="str">
            <v>0548715700</v>
          </cell>
          <cell r="M715" t="str">
            <v/>
          </cell>
          <cell r="N715" t="str">
            <v>المملكة العربية السعودية</v>
          </cell>
          <cell r="O715" t="str">
            <v>50001449</v>
          </cell>
          <cell r="P715" t="str">
            <v>طبيب بيطري</v>
          </cell>
          <cell r="Q715" t="str">
            <v>الدرجة 4</v>
          </cell>
          <cell r="R715" t="str">
            <v>Class A</v>
          </cell>
          <cell r="S715" t="str">
            <v/>
          </cell>
          <cell r="T715" t="str">
            <v>فروع العمليات القصيم</v>
          </cell>
          <cell r="U715" t="str">
            <v>عمليات الفروع</v>
          </cell>
          <cell r="V715" t="str">
            <v>الفروع</v>
          </cell>
          <cell r="W715" t="str">
            <v>Al-Bukayriyah</v>
          </cell>
          <cell r="X715" t="str">
            <v xml:space="preserve">الفرع </v>
          </cell>
          <cell r="Y715">
            <v>45901</v>
          </cell>
          <cell r="Z715">
            <v>0.79</v>
          </cell>
          <cell r="AA715">
            <v>289</v>
          </cell>
          <cell r="AB715" t="str">
            <v>نشط</v>
          </cell>
          <cell r="AC715" t="str">
            <v>400554</v>
          </cell>
          <cell r="AD715" t="str">
            <v>Rakan Aldhiyab</v>
          </cell>
          <cell r="AE715" t="str">
            <v>إعارة</v>
          </cell>
          <cell r="AF715" t="str">
            <v/>
          </cell>
          <cell r="AG715" t="str">
            <v/>
          </cell>
          <cell r="AH715" t="str">
            <v/>
          </cell>
          <cell r="AI715" t="str">
            <v/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 t="str">
            <v/>
          </cell>
          <cell r="AO715" t="str">
            <v>عمليات الفروع</v>
          </cell>
          <cell r="AP715" t="str">
            <v>Saudi National Bank</v>
          </cell>
          <cell r="AQ715" t="str">
            <v>SA9110000038100000094105</v>
          </cell>
          <cell r="AR715">
            <v>11155</v>
          </cell>
          <cell r="AS715" t="str">
            <v/>
          </cell>
          <cell r="AT715">
            <v>415.5</v>
          </cell>
          <cell r="AU715">
            <v>2788.75</v>
          </cell>
          <cell r="AV715" t="str">
            <v/>
          </cell>
        </row>
        <row r="716">
          <cell r="A716">
            <v>400539</v>
          </cell>
          <cell r="B716" t="str">
            <v>1069814133</v>
          </cell>
          <cell r="C716" t="str">
            <v>السيد</v>
          </cell>
          <cell r="D716" t="str">
            <v>Abdalrahman Mohammd Almudeebery</v>
          </cell>
          <cell r="E716" t="str">
            <v>عبدالرحمن محمد  المظيبري</v>
          </cell>
          <cell r="F716" t="str">
            <v>Male</v>
          </cell>
          <cell r="G716" t="str">
            <v/>
          </cell>
          <cell r="H716">
            <v>33078</v>
          </cell>
          <cell r="I716">
            <v>36</v>
          </cell>
          <cell r="J716">
            <v>13112</v>
          </cell>
          <cell r="K716" t="str">
            <v>Abdalrahman.Almudeebery@agriserv.sa</v>
          </cell>
          <cell r="L716" t="str">
            <v>0508440704</v>
          </cell>
          <cell r="M716" t="str">
            <v/>
          </cell>
          <cell r="N716" t="str">
            <v>المملكة العربية السعودية</v>
          </cell>
          <cell r="O716" t="str">
            <v>50001450</v>
          </cell>
          <cell r="P716" t="str">
            <v>طبيب بيطري</v>
          </cell>
          <cell r="Q716" t="str">
            <v>الدرجة 4</v>
          </cell>
          <cell r="R716" t="str">
            <v>Class A</v>
          </cell>
          <cell r="S716" t="str">
            <v/>
          </cell>
          <cell r="T716" t="str">
            <v>فروع العمليات القصيم</v>
          </cell>
          <cell r="U716" t="str">
            <v>عمليات الفروع</v>
          </cell>
          <cell r="V716" t="str">
            <v>الفروع</v>
          </cell>
          <cell r="W716" t="str">
            <v>Al-Bukayriyah</v>
          </cell>
          <cell r="X716" t="str">
            <v xml:space="preserve">الفرع </v>
          </cell>
          <cell r="Y716">
            <v>45901</v>
          </cell>
          <cell r="Z716">
            <v>0.79</v>
          </cell>
          <cell r="AA716">
            <v>289</v>
          </cell>
          <cell r="AB716" t="str">
            <v>نشط</v>
          </cell>
          <cell r="AC716" t="str">
            <v>400554</v>
          </cell>
          <cell r="AD716" t="str">
            <v>Rakan Aldhiyab</v>
          </cell>
          <cell r="AE716" t="str">
            <v>إعارة</v>
          </cell>
          <cell r="AF716" t="str">
            <v/>
          </cell>
          <cell r="AG716" t="str">
            <v/>
          </cell>
          <cell r="AH716" t="str">
            <v/>
          </cell>
          <cell r="AI716" t="str">
            <v/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 t="str">
            <v/>
          </cell>
          <cell r="AO716" t="str">
            <v>عمليات الفروع</v>
          </cell>
          <cell r="AP716" t="str">
            <v>Al Rajhi Bank</v>
          </cell>
          <cell r="AQ716" t="str">
            <v>SA2880000493608010065013</v>
          </cell>
          <cell r="AR716">
            <v>12565</v>
          </cell>
          <cell r="AS716" t="str">
            <v/>
          </cell>
          <cell r="AT716">
            <v>556.5</v>
          </cell>
          <cell r="AU716">
            <v>3141.25</v>
          </cell>
          <cell r="AV716" t="str">
            <v/>
          </cell>
        </row>
        <row r="717">
          <cell r="A717">
            <v>400540</v>
          </cell>
          <cell r="B717" t="str">
            <v>1087393722</v>
          </cell>
          <cell r="C717" t="str">
            <v>السيد</v>
          </cell>
          <cell r="D717" t="str">
            <v>Hani Aud Alsharary</v>
          </cell>
          <cell r="E717" t="str">
            <v>هاني عيد  الشراري</v>
          </cell>
          <cell r="F717" t="str">
            <v>Male</v>
          </cell>
          <cell r="G717" t="str">
            <v/>
          </cell>
          <cell r="H717">
            <v>31741</v>
          </cell>
          <cell r="I717">
            <v>40</v>
          </cell>
          <cell r="J717">
            <v>14449</v>
          </cell>
          <cell r="K717" t="str">
            <v>Hani.Alsharary@agriserv.sa</v>
          </cell>
          <cell r="L717" t="str">
            <v>0509559563</v>
          </cell>
          <cell r="M717" t="str">
            <v/>
          </cell>
          <cell r="N717" t="str">
            <v>المملكة العربية السعودية</v>
          </cell>
          <cell r="O717" t="str">
            <v>50001448</v>
          </cell>
          <cell r="P717" t="str">
            <v>طبيب بيطري</v>
          </cell>
          <cell r="Q717" t="str">
            <v>الدرجة 4</v>
          </cell>
          <cell r="R717" t="str">
            <v>Class A</v>
          </cell>
          <cell r="S717" t="str">
            <v/>
          </cell>
          <cell r="T717" t="str">
            <v>محافظة الجوف</v>
          </cell>
          <cell r="U717" t="str">
            <v>عمليات الفروع</v>
          </cell>
          <cell r="V717" t="str">
            <v>الفروع</v>
          </cell>
          <cell r="W717" t="str">
            <v>Dumat al-Jandal</v>
          </cell>
          <cell r="X717" t="str">
            <v xml:space="preserve">الفرع </v>
          </cell>
          <cell r="Y717">
            <v>45901</v>
          </cell>
          <cell r="Z717">
            <v>0.79</v>
          </cell>
          <cell r="AA717">
            <v>289</v>
          </cell>
          <cell r="AB717" t="str">
            <v>نشط</v>
          </cell>
          <cell r="AC717" t="str">
            <v>100063</v>
          </cell>
          <cell r="AD717" t="str">
            <v>Hazza Alruwaili</v>
          </cell>
          <cell r="AE717" t="str">
            <v>إعارة</v>
          </cell>
          <cell r="AF717" t="str">
            <v/>
          </cell>
          <cell r="AG717" t="str">
            <v/>
          </cell>
          <cell r="AH717" t="str">
            <v/>
          </cell>
          <cell r="AI717" t="str">
            <v/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 t="str">
            <v/>
          </cell>
          <cell r="AO717" t="str">
            <v>عمليات الفروع</v>
          </cell>
          <cell r="AP717" t="str">
            <v>Al Rajhi Bank</v>
          </cell>
          <cell r="AQ717" t="str">
            <v>SA9280000250608010125190</v>
          </cell>
          <cell r="AR717">
            <v>9375</v>
          </cell>
          <cell r="AS717" t="str">
            <v/>
          </cell>
          <cell r="AT717">
            <v>437.5</v>
          </cell>
          <cell r="AU717">
            <v>2343.75</v>
          </cell>
          <cell r="AV717" t="str">
            <v/>
          </cell>
        </row>
        <row r="718">
          <cell r="A718">
            <v>400541</v>
          </cell>
          <cell r="B718" t="str">
            <v>1066722024</v>
          </cell>
          <cell r="C718" t="str">
            <v>السيد</v>
          </cell>
          <cell r="D718" t="str">
            <v>Ibrahim Salih Alkhamis</v>
          </cell>
          <cell r="E718" t="str">
            <v>ابراهيم صالح  الخميس</v>
          </cell>
          <cell r="F718" t="str">
            <v>Male</v>
          </cell>
          <cell r="G718" t="str">
            <v/>
          </cell>
          <cell r="H718">
            <v>33069</v>
          </cell>
          <cell r="I718">
            <v>36</v>
          </cell>
          <cell r="J718">
            <v>13121</v>
          </cell>
          <cell r="K718" t="str">
            <v>Ibrahim.Alkhamis@agriserv.sa</v>
          </cell>
          <cell r="L718" t="str">
            <v>0530642003</v>
          </cell>
          <cell r="M718" t="str">
            <v/>
          </cell>
          <cell r="N718" t="str">
            <v>المملكة العربية السعودية</v>
          </cell>
          <cell r="O718" t="str">
            <v>50001445</v>
          </cell>
          <cell r="P718" t="str">
            <v>طبيب بيطري</v>
          </cell>
          <cell r="Q718" t="str">
            <v>الدرجة 4</v>
          </cell>
          <cell r="R718" t="str">
            <v>Class A</v>
          </cell>
          <cell r="S718" t="str">
            <v/>
          </cell>
          <cell r="T718" t="str">
            <v>إدارة فروع العمليات – عسير</v>
          </cell>
          <cell r="U718" t="str">
            <v>عمليات الفروع</v>
          </cell>
          <cell r="V718" t="str">
            <v>الفروع</v>
          </cell>
          <cell r="W718" t="str">
            <v>Sarat Abidah</v>
          </cell>
          <cell r="X718" t="str">
            <v xml:space="preserve">الفرع </v>
          </cell>
          <cell r="Y718">
            <v>45901</v>
          </cell>
          <cell r="Z718">
            <v>0.79</v>
          </cell>
          <cell r="AA718">
            <v>289</v>
          </cell>
          <cell r="AB718" t="str">
            <v>نشط</v>
          </cell>
          <cell r="AC718" t="str">
            <v>400548</v>
          </cell>
          <cell r="AD718" t="str">
            <v>Abdullah Alshahrani</v>
          </cell>
          <cell r="AE718" t="str">
            <v>إعارة</v>
          </cell>
          <cell r="AF718" t="str">
            <v/>
          </cell>
          <cell r="AG718" t="str">
            <v/>
          </cell>
          <cell r="AH718" t="str">
            <v/>
          </cell>
          <cell r="AI718" t="str">
            <v/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 t="str">
            <v/>
          </cell>
          <cell r="AO718" t="str">
            <v>عمليات الفروع</v>
          </cell>
          <cell r="AP718" t="str">
            <v>Riyad Bank</v>
          </cell>
          <cell r="AQ718" t="str">
            <v>SA0520000003182442519940</v>
          </cell>
          <cell r="AR718">
            <v>9839</v>
          </cell>
          <cell r="AS718" t="str">
            <v/>
          </cell>
          <cell r="AT718">
            <v>483.9</v>
          </cell>
          <cell r="AU718">
            <v>2459.75</v>
          </cell>
          <cell r="AV718" t="str">
            <v/>
          </cell>
        </row>
        <row r="719">
          <cell r="A719">
            <v>400542</v>
          </cell>
          <cell r="B719" t="str">
            <v>1083283273</v>
          </cell>
          <cell r="C719" t="str">
            <v>السيد</v>
          </cell>
          <cell r="D719" t="str">
            <v>Abdulsamad Ali Bohassan</v>
          </cell>
          <cell r="E719" t="str">
            <v>عبدالصمد علي  بوحسن</v>
          </cell>
          <cell r="F719" t="str">
            <v>Male</v>
          </cell>
          <cell r="G719" t="str">
            <v/>
          </cell>
          <cell r="H719">
            <v>34555</v>
          </cell>
          <cell r="I719">
            <v>32</v>
          </cell>
          <cell r="J719">
            <v>11635</v>
          </cell>
          <cell r="K719" t="str">
            <v>Abdulsamad.Bohassan@agriserv.sa</v>
          </cell>
          <cell r="L719" t="str">
            <v>0541753667</v>
          </cell>
          <cell r="M719" t="str">
            <v/>
          </cell>
          <cell r="N719" t="str">
            <v>المملكة العربية السعودية</v>
          </cell>
          <cell r="O719" t="str">
            <v>50001446</v>
          </cell>
          <cell r="P719" t="str">
            <v>طبيب بيطري</v>
          </cell>
          <cell r="Q719" t="str">
            <v>الدرجة 4</v>
          </cell>
          <cell r="R719" t="str">
            <v>Class A</v>
          </cell>
          <cell r="S719" t="str">
            <v/>
          </cell>
          <cell r="T719" t="str">
            <v>إدارة فروع العمليات – عسير</v>
          </cell>
          <cell r="U719" t="str">
            <v>عمليات الفروع</v>
          </cell>
          <cell r="V719" t="str">
            <v>الفروع</v>
          </cell>
          <cell r="W719" t="str">
            <v>Sarat Abidah</v>
          </cell>
          <cell r="X719" t="str">
            <v xml:space="preserve">الفرع </v>
          </cell>
          <cell r="Y719">
            <v>45901</v>
          </cell>
          <cell r="Z719">
            <v>0.79</v>
          </cell>
          <cell r="AA719">
            <v>289</v>
          </cell>
          <cell r="AB719" t="str">
            <v>نشط</v>
          </cell>
          <cell r="AC719" t="str">
            <v>400541</v>
          </cell>
          <cell r="AD719" t="str">
            <v>Ibrahim Alkhamis</v>
          </cell>
          <cell r="AE719" t="str">
            <v>إعارة</v>
          </cell>
          <cell r="AF719" t="str">
            <v/>
          </cell>
          <cell r="AG719" t="str">
            <v/>
          </cell>
          <cell r="AH719" t="str">
            <v/>
          </cell>
          <cell r="AI719" t="str">
            <v/>
          </cell>
          <cell r="AJ719">
            <v>1</v>
          </cell>
          <cell r="AK719">
            <v>0</v>
          </cell>
          <cell r="AL719">
            <v>1</v>
          </cell>
          <cell r="AM719">
            <v>0</v>
          </cell>
          <cell r="AN719" t="str">
            <v/>
          </cell>
          <cell r="AO719" t="str">
            <v>عمليات الفروع</v>
          </cell>
          <cell r="AP719" t="str">
            <v>Riyad Bank</v>
          </cell>
          <cell r="AQ719" t="str">
            <v>SA3620000003330328099940</v>
          </cell>
          <cell r="AR719">
            <v>9467</v>
          </cell>
          <cell r="AS719" t="str">
            <v/>
          </cell>
          <cell r="AT719">
            <v>446.7</v>
          </cell>
          <cell r="AU719">
            <v>2366.75</v>
          </cell>
          <cell r="AV719" t="str">
            <v/>
          </cell>
        </row>
        <row r="720">
          <cell r="A720">
            <v>400543</v>
          </cell>
          <cell r="B720" t="str">
            <v>1056639592</v>
          </cell>
          <cell r="C720" t="str">
            <v>السيد</v>
          </cell>
          <cell r="D720" t="str">
            <v>Ahmad Taher Alssarnookh</v>
          </cell>
          <cell r="E720" t="str">
            <v>احمد طاهر  الصرنوخ</v>
          </cell>
          <cell r="F720" t="str">
            <v>Male</v>
          </cell>
          <cell r="G720" t="str">
            <v/>
          </cell>
          <cell r="H720">
            <v>31534</v>
          </cell>
          <cell r="I720">
            <v>40</v>
          </cell>
          <cell r="J720">
            <v>14656</v>
          </cell>
          <cell r="K720" t="str">
            <v>Ahmad.Alssarnookh@agriserv.sa</v>
          </cell>
          <cell r="L720" t="str">
            <v>0563064809</v>
          </cell>
          <cell r="M720" t="str">
            <v/>
          </cell>
          <cell r="N720" t="str">
            <v>المملكة العربية السعودية</v>
          </cell>
          <cell r="O720" t="str">
            <v>50001437</v>
          </cell>
          <cell r="P720" t="str">
            <v>مساعد طبيب بيطرى</v>
          </cell>
          <cell r="Q720" t="str">
            <v>2B الدرجة</v>
          </cell>
          <cell r="R720" t="str">
            <v>Class A</v>
          </cell>
          <cell r="S720" t="str">
            <v/>
          </cell>
          <cell r="T720" t="str">
            <v>فروع العمليات - المنطقة الشرقية</v>
          </cell>
          <cell r="U720" t="str">
            <v>عمليات الفروع</v>
          </cell>
          <cell r="V720" t="str">
            <v>الفروع</v>
          </cell>
          <cell r="W720" t="str">
            <v>Al Ahsa</v>
          </cell>
          <cell r="X720" t="str">
            <v xml:space="preserve">الفرع </v>
          </cell>
          <cell r="Y720">
            <v>45901</v>
          </cell>
          <cell r="Z720">
            <v>0.79</v>
          </cell>
          <cell r="AA720">
            <v>289</v>
          </cell>
          <cell r="AB720" t="str">
            <v>نشط</v>
          </cell>
          <cell r="AC720" t="str">
            <v>400501</v>
          </cell>
          <cell r="AD720" t="str">
            <v>Ahmad Alramdhan</v>
          </cell>
          <cell r="AE720" t="str">
            <v>إعارة</v>
          </cell>
          <cell r="AF720" t="str">
            <v/>
          </cell>
          <cell r="AG720" t="str">
            <v/>
          </cell>
          <cell r="AH720" t="str">
            <v/>
          </cell>
          <cell r="AI720" t="str">
            <v/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 t="str">
            <v/>
          </cell>
          <cell r="AO720" t="str">
            <v>عمليات الفروع</v>
          </cell>
          <cell r="AP720" t="str">
            <v>Riyad Bank</v>
          </cell>
          <cell r="AQ720" t="str">
            <v>SA3420000003052628779940</v>
          </cell>
          <cell r="AR720">
            <v>10295</v>
          </cell>
          <cell r="AS720" t="str">
            <v/>
          </cell>
          <cell r="AT720">
            <v>100</v>
          </cell>
          <cell r="AU720">
            <v>2573.75</v>
          </cell>
          <cell r="AV720" t="str">
            <v/>
          </cell>
        </row>
        <row r="721">
          <cell r="A721">
            <v>400544</v>
          </cell>
          <cell r="B721" t="str">
            <v>1085058657</v>
          </cell>
          <cell r="C721" t="str">
            <v>السيد</v>
          </cell>
          <cell r="D721" t="str">
            <v>Mohaammed Saleh Alshammri</v>
          </cell>
          <cell r="E721" t="str">
            <v>محمد صالح  الشمري</v>
          </cell>
          <cell r="F721" t="str">
            <v>Male</v>
          </cell>
          <cell r="G721" t="str">
            <v/>
          </cell>
          <cell r="H721">
            <v>34774</v>
          </cell>
          <cell r="I721">
            <v>31</v>
          </cell>
          <cell r="J721">
            <v>11416</v>
          </cell>
          <cell r="K721" t="str">
            <v>Mohaammed.Alshammri@agriserv.sa</v>
          </cell>
          <cell r="L721" t="str">
            <v>0531414919</v>
          </cell>
          <cell r="M721" t="str">
            <v/>
          </cell>
          <cell r="N721" t="str">
            <v>المملكة العربية السعودية</v>
          </cell>
          <cell r="O721" t="str">
            <v>50001425</v>
          </cell>
          <cell r="P721" t="str">
            <v>طبيب بيطرى</v>
          </cell>
          <cell r="Q721" t="str">
            <v>الدرجة 4</v>
          </cell>
          <cell r="R721" t="str">
            <v>Class A</v>
          </cell>
          <cell r="S721" t="str">
            <v/>
          </cell>
          <cell r="T721" t="str">
            <v>فروع العمليات القصيم</v>
          </cell>
          <cell r="U721" t="str">
            <v>عمليات الفروع</v>
          </cell>
          <cell r="V721" t="str">
            <v>الفروع</v>
          </cell>
          <cell r="W721" t="str">
            <v>Al-BadaiA</v>
          </cell>
          <cell r="X721" t="str">
            <v xml:space="preserve">الفرع </v>
          </cell>
          <cell r="Y721">
            <v>45901</v>
          </cell>
          <cell r="Z721">
            <v>0.79</v>
          </cell>
          <cell r="AA721">
            <v>289</v>
          </cell>
          <cell r="AB721" t="str">
            <v>نشط</v>
          </cell>
          <cell r="AC721" t="str">
            <v>400510</v>
          </cell>
          <cell r="AD721" t="str">
            <v>Omar Alharbi</v>
          </cell>
          <cell r="AE721" t="str">
            <v>إعارة</v>
          </cell>
          <cell r="AF721" t="str">
            <v/>
          </cell>
          <cell r="AG721" t="str">
            <v/>
          </cell>
          <cell r="AH721" t="str">
            <v/>
          </cell>
          <cell r="AI721" t="str">
            <v/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 t="str">
            <v/>
          </cell>
          <cell r="AO721" t="str">
            <v>عمليات الفروع</v>
          </cell>
          <cell r="AP721" t="str">
            <v>Al Rajhi Bank</v>
          </cell>
          <cell r="AQ721" t="str">
            <v>SA8380000120608010654585</v>
          </cell>
          <cell r="AR721">
            <v>12095</v>
          </cell>
          <cell r="AS721" t="str">
            <v/>
          </cell>
          <cell r="AT721">
            <v>509.5</v>
          </cell>
          <cell r="AU721">
            <v>3023.75</v>
          </cell>
          <cell r="AV721" t="str">
            <v/>
          </cell>
        </row>
        <row r="722">
          <cell r="A722">
            <v>400545</v>
          </cell>
          <cell r="B722" t="str">
            <v>1065012203</v>
          </cell>
          <cell r="C722" t="str">
            <v>السيد</v>
          </cell>
          <cell r="D722" t="str">
            <v>Mohammd Abdalrahman Albarikan</v>
          </cell>
          <cell r="E722" t="str">
            <v>محمد عبدالرحمن  البريكان</v>
          </cell>
          <cell r="F722" t="str">
            <v>Male</v>
          </cell>
          <cell r="G722" t="str">
            <v/>
          </cell>
          <cell r="H722">
            <v>32346</v>
          </cell>
          <cell r="I722">
            <v>38</v>
          </cell>
          <cell r="J722">
            <v>13844</v>
          </cell>
          <cell r="K722" t="str">
            <v>Mohammd.Albarikan@agriserv.sa</v>
          </cell>
          <cell r="L722" t="str">
            <v>0508945553</v>
          </cell>
          <cell r="M722" t="str">
            <v/>
          </cell>
          <cell r="N722" t="str">
            <v>المملكة العربية السعودية</v>
          </cell>
          <cell r="O722" t="str">
            <v>50001426</v>
          </cell>
          <cell r="P722" t="str">
            <v>طبيب بيطرى</v>
          </cell>
          <cell r="Q722" t="str">
            <v>الدرجة 4</v>
          </cell>
          <cell r="R722" t="str">
            <v>Class A</v>
          </cell>
          <cell r="S722" t="str">
            <v/>
          </cell>
          <cell r="T722" t="str">
            <v>فروع العمليات القصيم</v>
          </cell>
          <cell r="U722" t="str">
            <v>عمليات الفروع</v>
          </cell>
          <cell r="V722" t="str">
            <v>الفروع</v>
          </cell>
          <cell r="W722" t="str">
            <v>Al-BadaiA</v>
          </cell>
          <cell r="X722" t="str">
            <v xml:space="preserve">الفرع </v>
          </cell>
          <cell r="Y722">
            <v>45901</v>
          </cell>
          <cell r="Z722">
            <v>0.79</v>
          </cell>
          <cell r="AA722">
            <v>289</v>
          </cell>
          <cell r="AB722" t="str">
            <v>نشط</v>
          </cell>
          <cell r="AC722" t="str">
            <v>400510</v>
          </cell>
          <cell r="AD722" t="str">
            <v>Omar Alharbi</v>
          </cell>
          <cell r="AE722" t="str">
            <v>إعارة</v>
          </cell>
          <cell r="AF722" t="str">
            <v/>
          </cell>
          <cell r="AG722" t="str">
            <v/>
          </cell>
          <cell r="AH722" t="str">
            <v/>
          </cell>
          <cell r="AI722" t="str">
            <v/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 t="str">
            <v/>
          </cell>
          <cell r="AO722" t="str">
            <v>عمليات الفروع</v>
          </cell>
          <cell r="AP722" t="str">
            <v>Al Rajhi Bank</v>
          </cell>
          <cell r="AQ722" t="str">
            <v>SA6280000265608010059020</v>
          </cell>
          <cell r="AR722">
            <v>11745</v>
          </cell>
          <cell r="AS722" t="str">
            <v/>
          </cell>
          <cell r="AT722">
            <v>474.5</v>
          </cell>
          <cell r="AU722">
            <v>2936.25</v>
          </cell>
          <cell r="AV722" t="str">
            <v/>
          </cell>
        </row>
        <row r="723">
          <cell r="A723">
            <v>400546</v>
          </cell>
          <cell r="B723" t="str">
            <v>1033144013</v>
          </cell>
          <cell r="C723" t="str">
            <v>السيد</v>
          </cell>
          <cell r="D723" t="str">
            <v>ABDUALRUHMAN SANAD Alhuseni</v>
          </cell>
          <cell r="E723" t="str">
            <v>عبدالرحمن سند  الحصيني</v>
          </cell>
          <cell r="F723" t="str">
            <v>Male</v>
          </cell>
          <cell r="G723" t="str">
            <v/>
          </cell>
          <cell r="H723">
            <v>29134</v>
          </cell>
          <cell r="I723">
            <v>47</v>
          </cell>
          <cell r="J723">
            <v>17056</v>
          </cell>
          <cell r="K723" t="str">
            <v>ABDUALRUHMAN.Alhuseni@agriserv.sa</v>
          </cell>
          <cell r="L723" t="str">
            <v>0541137775</v>
          </cell>
          <cell r="M723" t="str">
            <v/>
          </cell>
          <cell r="N723" t="str">
            <v>المملكة العربية السعودية</v>
          </cell>
          <cell r="O723" t="str">
            <v>50001410</v>
          </cell>
          <cell r="P723" t="str">
            <v>طبيب بيطري</v>
          </cell>
          <cell r="Q723" t="str">
            <v>الدرجة 4</v>
          </cell>
          <cell r="R723" t="str">
            <v>Class A</v>
          </cell>
          <cell r="S723" t="str">
            <v/>
          </cell>
          <cell r="T723" t="str">
            <v>عمليات الفروع مكة</v>
          </cell>
          <cell r="U723" t="str">
            <v>عمليات الفروع</v>
          </cell>
          <cell r="V723" t="str">
            <v>الفروع</v>
          </cell>
          <cell r="W723" t="str">
            <v>Makkah</v>
          </cell>
          <cell r="X723" t="str">
            <v xml:space="preserve">الفرع </v>
          </cell>
          <cell r="Y723">
            <v>45901</v>
          </cell>
          <cell r="Z723">
            <v>0.79</v>
          </cell>
          <cell r="AA723">
            <v>289</v>
          </cell>
          <cell r="AB723" t="str">
            <v>نشط</v>
          </cell>
          <cell r="AC723" t="str">
            <v>100174</v>
          </cell>
          <cell r="AD723" t="str">
            <v>Adil Alshaikh</v>
          </cell>
          <cell r="AE723" t="str">
            <v>إعارة</v>
          </cell>
          <cell r="AF723" t="str">
            <v/>
          </cell>
          <cell r="AG723" t="str">
            <v/>
          </cell>
          <cell r="AH723" t="str">
            <v/>
          </cell>
          <cell r="AI723" t="str">
            <v/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 t="str">
            <v/>
          </cell>
          <cell r="AO723" t="str">
            <v>عمليات الفروع</v>
          </cell>
          <cell r="AP723" t="str">
            <v>Saudi Awwal Bank</v>
          </cell>
          <cell r="AQ723" t="str">
            <v>SA5545000000825056807001</v>
          </cell>
          <cell r="AR723">
            <v>17415</v>
          </cell>
          <cell r="AS723" t="str">
            <v/>
          </cell>
          <cell r="AT723">
            <v>1041.5</v>
          </cell>
          <cell r="AU723">
            <v>4353.75</v>
          </cell>
          <cell r="AV723" t="str">
            <v/>
          </cell>
        </row>
        <row r="724">
          <cell r="A724">
            <v>400548</v>
          </cell>
          <cell r="B724" t="str">
            <v>1077842225</v>
          </cell>
          <cell r="C724" t="str">
            <v>السيد</v>
          </cell>
          <cell r="D724" t="str">
            <v>Abdullah Safar Alshahrani</v>
          </cell>
          <cell r="E724" t="str">
            <v>عبدالله سفر  الشهراني</v>
          </cell>
          <cell r="F724" t="str">
            <v>Male</v>
          </cell>
          <cell r="G724" t="str">
            <v/>
          </cell>
          <cell r="H724">
            <v>29781</v>
          </cell>
          <cell r="I724">
            <v>45</v>
          </cell>
          <cell r="J724">
            <v>16409</v>
          </cell>
          <cell r="K724" t="str">
            <v>Abdullah.Alshahrani@agriserv.sa</v>
          </cell>
          <cell r="L724" t="str">
            <v>0503988732</v>
          </cell>
          <cell r="M724" t="str">
            <v/>
          </cell>
          <cell r="N724" t="str">
            <v>المملكة العربية السعودية</v>
          </cell>
          <cell r="O724" t="str">
            <v>50001419</v>
          </cell>
          <cell r="P724" t="str">
            <v>طبيب بيطري</v>
          </cell>
          <cell r="Q724" t="str">
            <v>الدرجة 4</v>
          </cell>
          <cell r="R724" t="str">
            <v>Class A</v>
          </cell>
          <cell r="S724" t="str">
            <v/>
          </cell>
          <cell r="T724" t="str">
            <v>عمليات الفروع أبها</v>
          </cell>
          <cell r="U724" t="str">
            <v>عمليات الفروع</v>
          </cell>
          <cell r="V724" t="str">
            <v>الفروع</v>
          </cell>
          <cell r="W724" t="str">
            <v>Abha</v>
          </cell>
          <cell r="X724" t="str">
            <v xml:space="preserve">الفرع </v>
          </cell>
          <cell r="Y724">
            <v>45901</v>
          </cell>
          <cell r="Z724">
            <v>0.79</v>
          </cell>
          <cell r="AA724">
            <v>289</v>
          </cell>
          <cell r="AB724" t="str">
            <v>نشط</v>
          </cell>
          <cell r="AC724" t="str">
            <v>100063</v>
          </cell>
          <cell r="AD724" t="str">
            <v>Hazza Alruwaili</v>
          </cell>
          <cell r="AE724" t="str">
            <v>إعارة</v>
          </cell>
          <cell r="AF724" t="str">
            <v/>
          </cell>
          <cell r="AG724" t="str">
            <v/>
          </cell>
          <cell r="AH724" t="str">
            <v/>
          </cell>
          <cell r="AI724" t="str">
            <v/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 t="str">
            <v/>
          </cell>
          <cell r="AO724" t="str">
            <v>عمليات الفروع</v>
          </cell>
          <cell r="AP724" t="str">
            <v>Al Rajhi Bank</v>
          </cell>
          <cell r="AQ724" t="str">
            <v>SA9280000119608010381224</v>
          </cell>
          <cell r="AR724">
            <v>19705</v>
          </cell>
          <cell r="AS724" t="str">
            <v/>
          </cell>
          <cell r="AT724">
            <v>1070.5</v>
          </cell>
          <cell r="AU724">
            <v>4926.25</v>
          </cell>
          <cell r="AV724" t="str">
            <v/>
          </cell>
        </row>
        <row r="725">
          <cell r="A725">
            <v>400549</v>
          </cell>
          <cell r="B725" t="str">
            <v>1098710252</v>
          </cell>
          <cell r="C725" t="str">
            <v>السيد</v>
          </cell>
          <cell r="D725" t="str">
            <v>Mohammed Saeed Almusallam</v>
          </cell>
          <cell r="E725" t="str">
            <v>محمد سعيد  المسلم</v>
          </cell>
          <cell r="F725" t="str">
            <v>Male</v>
          </cell>
          <cell r="G725" t="str">
            <v/>
          </cell>
          <cell r="H725">
            <v>35896</v>
          </cell>
          <cell r="I725">
            <v>28</v>
          </cell>
          <cell r="J725">
            <v>10294</v>
          </cell>
          <cell r="K725" t="str">
            <v>M.Almusallam@agriserv.sa</v>
          </cell>
          <cell r="L725" t="str">
            <v>0566212733</v>
          </cell>
          <cell r="M725" t="str">
            <v/>
          </cell>
          <cell r="N725" t="str">
            <v>المملكة العربية السعودية</v>
          </cell>
          <cell r="O725" t="str">
            <v>50001432</v>
          </cell>
          <cell r="P725" t="str">
            <v>مساعد طبيب بيطرى</v>
          </cell>
          <cell r="Q725" t="str">
            <v>2B الدرجة</v>
          </cell>
          <cell r="R725" t="str">
            <v>Class A</v>
          </cell>
          <cell r="S725" t="str">
            <v/>
          </cell>
          <cell r="T725" t="str">
            <v>إدارة فروع العمليات – عسير</v>
          </cell>
          <cell r="U725" t="str">
            <v>عمليات الفروع</v>
          </cell>
          <cell r="V725" t="str">
            <v>الفروع</v>
          </cell>
          <cell r="W725" t="str">
            <v>Abha</v>
          </cell>
          <cell r="X725" t="str">
            <v xml:space="preserve">الفرع </v>
          </cell>
          <cell r="Y725">
            <v>45901</v>
          </cell>
          <cell r="Z725">
            <v>0.79</v>
          </cell>
          <cell r="AA725">
            <v>289</v>
          </cell>
          <cell r="AB725" t="str">
            <v>نشط</v>
          </cell>
          <cell r="AC725" t="str">
            <v>400548</v>
          </cell>
          <cell r="AD725" t="str">
            <v>Abdullah Alshahrani</v>
          </cell>
          <cell r="AE725" t="str">
            <v>إعارة</v>
          </cell>
          <cell r="AF725" t="str">
            <v/>
          </cell>
          <cell r="AG725" t="str">
            <v/>
          </cell>
          <cell r="AH725" t="str">
            <v/>
          </cell>
          <cell r="AI725" t="str">
            <v/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 t="str">
            <v/>
          </cell>
          <cell r="AO725" t="str">
            <v>عمليات الفروع</v>
          </cell>
          <cell r="AP725" t="str">
            <v>Saudi National Bank</v>
          </cell>
          <cell r="AQ725" t="str">
            <v>SA4810000009300000096707</v>
          </cell>
          <cell r="AR725">
            <v>6248</v>
          </cell>
          <cell r="AS725" t="str">
            <v/>
          </cell>
          <cell r="AT725">
            <v>124.8</v>
          </cell>
          <cell r="AU725">
            <v>1562</v>
          </cell>
          <cell r="AV725" t="str">
            <v/>
          </cell>
        </row>
        <row r="726">
          <cell r="A726">
            <v>400550</v>
          </cell>
          <cell r="B726" t="str">
            <v>1023103953</v>
          </cell>
          <cell r="C726" t="str">
            <v>السيد</v>
          </cell>
          <cell r="D726" t="str">
            <v>Nawwaf Saud Alsherari</v>
          </cell>
          <cell r="E726" t="str">
            <v>نواف سعود  الشراري</v>
          </cell>
          <cell r="F726" t="str">
            <v>Male</v>
          </cell>
          <cell r="G726" t="str">
            <v/>
          </cell>
          <cell r="H726">
            <v>30232</v>
          </cell>
          <cell r="I726">
            <v>44</v>
          </cell>
          <cell r="J726">
            <v>15958</v>
          </cell>
          <cell r="K726" t="str">
            <v>Nawwaf.Alsherari@agriserv.sa</v>
          </cell>
          <cell r="L726" t="str">
            <v>0502261001</v>
          </cell>
          <cell r="M726" t="str">
            <v/>
          </cell>
          <cell r="N726" t="str">
            <v>المملكة العربية السعودية</v>
          </cell>
          <cell r="O726" t="str">
            <v>50001438</v>
          </cell>
          <cell r="P726" t="str">
            <v>مساعد طبيب بيطرى</v>
          </cell>
          <cell r="Q726" t="str">
            <v>2B الدرجة</v>
          </cell>
          <cell r="R726" t="str">
            <v>Class A</v>
          </cell>
          <cell r="S726" t="str">
            <v/>
          </cell>
          <cell r="T726" t="str">
            <v>محافظة الجوف</v>
          </cell>
          <cell r="U726" t="str">
            <v>عمليات الفروع</v>
          </cell>
          <cell r="V726" t="str">
            <v>الفروع</v>
          </cell>
          <cell r="W726" t="str">
            <v>Al-Qurayyat</v>
          </cell>
          <cell r="X726" t="str">
            <v xml:space="preserve">الفرع </v>
          </cell>
          <cell r="Y726">
            <v>45901</v>
          </cell>
          <cell r="Z726">
            <v>0.79</v>
          </cell>
          <cell r="AA726">
            <v>289</v>
          </cell>
          <cell r="AB726" t="str">
            <v>نشط</v>
          </cell>
          <cell r="AC726" t="str">
            <v>400531</v>
          </cell>
          <cell r="AD726" t="str">
            <v>Suliman Alsharari</v>
          </cell>
          <cell r="AE726" t="str">
            <v>إعارة</v>
          </cell>
          <cell r="AF726">
            <v>46196</v>
          </cell>
          <cell r="AG726" t="str">
            <v/>
          </cell>
          <cell r="AH726" t="str">
            <v/>
          </cell>
          <cell r="AI726" t="str">
            <v/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 t="str">
            <v/>
          </cell>
          <cell r="AO726" t="str">
            <v>عمليات الفروع</v>
          </cell>
          <cell r="AP726" t="str">
            <v>Al Rajhi Bank</v>
          </cell>
          <cell r="AQ726" t="str">
            <v>SA7080000210608010174049</v>
          </cell>
          <cell r="AR726">
            <v>10295</v>
          </cell>
          <cell r="AS726" t="str">
            <v/>
          </cell>
          <cell r="AT726">
            <v>100</v>
          </cell>
          <cell r="AU726">
            <v>2573.75</v>
          </cell>
          <cell r="AV726" t="str">
            <v/>
          </cell>
        </row>
        <row r="727">
          <cell r="A727">
            <v>400553</v>
          </cell>
          <cell r="B727" t="str">
            <v>1006604720</v>
          </cell>
          <cell r="C727" t="str">
            <v>السيد</v>
          </cell>
          <cell r="D727" t="str">
            <v>Hasan Hamzah Alawadh</v>
          </cell>
          <cell r="E727" t="str">
            <v>حسن حمزه  العوض</v>
          </cell>
          <cell r="F727" t="str">
            <v>Male</v>
          </cell>
          <cell r="G727" t="str">
            <v/>
          </cell>
          <cell r="H727">
            <v>29475</v>
          </cell>
          <cell r="I727">
            <v>46</v>
          </cell>
          <cell r="J727">
            <v>16715</v>
          </cell>
          <cell r="K727" t="str">
            <v>Hasan.Alawadh@agriserv.sa</v>
          </cell>
          <cell r="L727" t="str">
            <v>0541887710</v>
          </cell>
          <cell r="M727" t="str">
            <v/>
          </cell>
          <cell r="N727" t="str">
            <v>المملكة العربية السعودية</v>
          </cell>
          <cell r="O727" t="str">
            <v>50001443</v>
          </cell>
          <cell r="P727" t="str">
            <v>طبيب بيطري</v>
          </cell>
          <cell r="Q727" t="str">
            <v>الدرجة 4</v>
          </cell>
          <cell r="R727" t="str">
            <v>Class A</v>
          </cell>
          <cell r="S727" t="str">
            <v/>
          </cell>
          <cell r="T727" t="str">
            <v>محافظة مليجة</v>
          </cell>
          <cell r="U727" t="str">
            <v>عمليات الفروع</v>
          </cell>
          <cell r="V727" t="str">
            <v>الفروع</v>
          </cell>
          <cell r="W727" t="str">
            <v>Al-Malida</v>
          </cell>
          <cell r="X727" t="str">
            <v xml:space="preserve">الفرع </v>
          </cell>
          <cell r="Y727">
            <v>45901</v>
          </cell>
          <cell r="Z727">
            <v>0.79</v>
          </cell>
          <cell r="AA727">
            <v>289</v>
          </cell>
          <cell r="AB727" t="str">
            <v>نشط</v>
          </cell>
          <cell r="AC727" t="str">
            <v>400536</v>
          </cell>
          <cell r="AD727" t="str">
            <v>Hassan Alkhalaf</v>
          </cell>
          <cell r="AE727" t="str">
            <v>إعارة</v>
          </cell>
          <cell r="AF727" t="str">
            <v/>
          </cell>
          <cell r="AG727" t="str">
            <v/>
          </cell>
          <cell r="AH727" t="str">
            <v/>
          </cell>
          <cell r="AI727" t="str">
            <v/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 t="str">
            <v/>
          </cell>
          <cell r="AO727" t="str">
            <v>عمليات الفروع</v>
          </cell>
          <cell r="AP727" t="str">
            <v>Riyad Bank</v>
          </cell>
          <cell r="AQ727" t="str">
            <v>SA5320000003400929209940</v>
          </cell>
          <cell r="AR727">
            <v>17415</v>
          </cell>
          <cell r="AS727" t="str">
            <v/>
          </cell>
          <cell r="AT727">
            <v>1041.5</v>
          </cell>
          <cell r="AU727">
            <v>4353.75</v>
          </cell>
          <cell r="AV727" t="str">
            <v/>
          </cell>
        </row>
        <row r="728">
          <cell r="A728">
            <v>400554</v>
          </cell>
          <cell r="B728" t="str">
            <v>1104186505</v>
          </cell>
          <cell r="C728" t="str">
            <v>السيد</v>
          </cell>
          <cell r="D728" t="str">
            <v>Rakan Mussa Aldhiyab</v>
          </cell>
          <cell r="E728" t="str">
            <v>راكان موسى  الذياب</v>
          </cell>
          <cell r="F728" t="str">
            <v>Male</v>
          </cell>
          <cell r="G728" t="str">
            <v/>
          </cell>
          <cell r="H728">
            <v>35968</v>
          </cell>
          <cell r="I728">
            <v>28</v>
          </cell>
          <cell r="J728">
            <v>10222</v>
          </cell>
          <cell r="K728" t="str">
            <v>Rakan.Aldhiyab@agriserv.sa</v>
          </cell>
          <cell r="L728" t="str">
            <v>0501960337</v>
          </cell>
          <cell r="M728" t="str">
            <v/>
          </cell>
          <cell r="N728" t="str">
            <v>المملكة العربية السعودية</v>
          </cell>
          <cell r="O728" t="str">
            <v>50001451</v>
          </cell>
          <cell r="P728" t="str">
            <v>طبيب بيطري</v>
          </cell>
          <cell r="Q728" t="str">
            <v>الدرجة 4</v>
          </cell>
          <cell r="R728" t="str">
            <v>Class A</v>
          </cell>
          <cell r="S728" t="str">
            <v/>
          </cell>
          <cell r="T728" t="str">
            <v>فروع العمليات القصيم</v>
          </cell>
          <cell r="U728" t="str">
            <v>عمليات الفروع</v>
          </cell>
          <cell r="V728" t="str">
            <v>الفروع</v>
          </cell>
          <cell r="W728" t="str">
            <v>Al-Bukayriyah</v>
          </cell>
          <cell r="X728" t="str">
            <v xml:space="preserve">الفرع </v>
          </cell>
          <cell r="Y728">
            <v>45901</v>
          </cell>
          <cell r="Z728">
            <v>0.79</v>
          </cell>
          <cell r="AA728">
            <v>289</v>
          </cell>
          <cell r="AB728" t="str">
            <v>نشط</v>
          </cell>
          <cell r="AC728" t="str">
            <v>100063</v>
          </cell>
          <cell r="AD728" t="str">
            <v>Hazza Alruwaili</v>
          </cell>
          <cell r="AE728" t="str">
            <v>إعارة</v>
          </cell>
          <cell r="AF728" t="str">
            <v/>
          </cell>
          <cell r="AG728" t="str">
            <v/>
          </cell>
          <cell r="AH728" t="str">
            <v/>
          </cell>
          <cell r="AI728" t="str">
            <v/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 t="str">
            <v/>
          </cell>
          <cell r="AO728" t="str">
            <v>عمليات الفروع</v>
          </cell>
          <cell r="AP728" t="str">
            <v>Saudi National Bank</v>
          </cell>
          <cell r="AQ728" t="str">
            <v>SA7110000040800000221109</v>
          </cell>
          <cell r="AR728">
            <v>9191</v>
          </cell>
          <cell r="AS728" t="str">
            <v/>
          </cell>
          <cell r="AT728">
            <v>419.1</v>
          </cell>
          <cell r="AU728">
            <v>2297.75</v>
          </cell>
          <cell r="AV728" t="str">
            <v/>
          </cell>
        </row>
        <row r="729">
          <cell r="A729">
            <v>400555</v>
          </cell>
          <cell r="B729" t="str">
            <v>1042780369</v>
          </cell>
          <cell r="C729" t="str">
            <v>السيد</v>
          </cell>
          <cell r="D729" t="str">
            <v>Mohammed Shaddad Khalil Alzaylai</v>
          </cell>
          <cell r="E729" t="str">
            <v>محمد شداد خليل الزيلعي</v>
          </cell>
          <cell r="F729" t="str">
            <v>Male</v>
          </cell>
          <cell r="G729" t="str">
            <v/>
          </cell>
          <cell r="H729">
            <v>28135</v>
          </cell>
          <cell r="I729">
            <v>49</v>
          </cell>
          <cell r="J729">
            <v>18055</v>
          </cell>
          <cell r="K729" t="str">
            <v>Mohammed.Alzaylai@agriserv.sa</v>
          </cell>
          <cell r="L729" t="str">
            <v>0557183158</v>
          </cell>
          <cell r="M729" t="str">
            <v/>
          </cell>
          <cell r="N729" t="str">
            <v>المملكة العربية السعودية</v>
          </cell>
          <cell r="O729" t="str">
            <v>50001411</v>
          </cell>
          <cell r="P729" t="str">
            <v>طبيب بيطري</v>
          </cell>
          <cell r="Q729" t="str">
            <v>الدرجة 4</v>
          </cell>
          <cell r="R729" t="str">
            <v>Class A</v>
          </cell>
          <cell r="S729" t="str">
            <v/>
          </cell>
          <cell r="T729" t="str">
            <v>عمليات الفروع مكة</v>
          </cell>
          <cell r="U729" t="str">
            <v>عمليات الفروع</v>
          </cell>
          <cell r="V729" t="str">
            <v>الفروع</v>
          </cell>
          <cell r="W729" t="str">
            <v>Al-Qunfudhah</v>
          </cell>
          <cell r="X729" t="str">
            <v xml:space="preserve">الفرع </v>
          </cell>
          <cell r="Y729">
            <v>45924</v>
          </cell>
          <cell r="Z729">
            <v>0.73</v>
          </cell>
          <cell r="AA729">
            <v>266</v>
          </cell>
          <cell r="AB729" t="str">
            <v>نشط</v>
          </cell>
          <cell r="AC729" t="str">
            <v>400548</v>
          </cell>
          <cell r="AD729" t="str">
            <v>Abdullah Alshahrani</v>
          </cell>
          <cell r="AE729" t="str">
            <v>إعارة</v>
          </cell>
          <cell r="AF729" t="str">
            <v/>
          </cell>
          <cell r="AG729" t="str">
            <v/>
          </cell>
          <cell r="AH729" t="str">
            <v/>
          </cell>
          <cell r="AI729" t="str">
            <v/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 t="str">
            <v/>
          </cell>
          <cell r="AO729" t="str">
            <v>عمليات الفروع</v>
          </cell>
          <cell r="AP729" t="str">
            <v>Al Rajhi Bank</v>
          </cell>
          <cell r="AQ729" t="str">
            <v>SA6480000263608010193235</v>
          </cell>
          <cell r="AR729">
            <v>20275</v>
          </cell>
          <cell r="AS729" t="str">
            <v/>
          </cell>
          <cell r="AT729">
            <v>1100</v>
          </cell>
          <cell r="AU729">
            <v>5068.75</v>
          </cell>
          <cell r="AV729" t="str">
            <v/>
          </cell>
        </row>
        <row r="730">
          <cell r="A730">
            <v>400556</v>
          </cell>
          <cell r="B730" t="str">
            <v>1055631095</v>
          </cell>
          <cell r="C730" t="str">
            <v>السيد</v>
          </cell>
          <cell r="D730" t="str">
            <v>Ali Yassen Alnasser</v>
          </cell>
          <cell r="E730" t="str">
            <v>علي ياسين  الناصر</v>
          </cell>
          <cell r="F730" t="str">
            <v>Male</v>
          </cell>
          <cell r="G730" t="str">
            <v/>
          </cell>
          <cell r="H730">
            <v>30685</v>
          </cell>
          <cell r="I730">
            <v>42</v>
          </cell>
          <cell r="J730">
            <v>15505</v>
          </cell>
          <cell r="K730" t="str">
            <v>Ali.Alnasser@agriserv.sa</v>
          </cell>
          <cell r="L730" t="str">
            <v>0534146422</v>
          </cell>
          <cell r="M730" t="str">
            <v/>
          </cell>
          <cell r="N730" t="str">
            <v>المملكة العربية السعودية</v>
          </cell>
          <cell r="O730" t="str">
            <v>50001514</v>
          </cell>
          <cell r="P730" t="str">
            <v>طبيب بيطري</v>
          </cell>
          <cell r="Q730" t="str">
            <v>الدرجة 4</v>
          </cell>
          <cell r="R730" t="str">
            <v>Class A</v>
          </cell>
          <cell r="S730" t="str">
            <v/>
          </cell>
          <cell r="T730" t="str">
            <v>فروع العمليات - المنطقة الشرقية</v>
          </cell>
          <cell r="U730" t="str">
            <v>عمليات الفروع</v>
          </cell>
          <cell r="V730" t="str">
            <v>الفروع</v>
          </cell>
          <cell r="W730" t="str">
            <v>Qaryat al-Ulya</v>
          </cell>
          <cell r="X730" t="str">
            <v xml:space="preserve">الفرع </v>
          </cell>
          <cell r="Y730">
            <v>45963</v>
          </cell>
          <cell r="Z730">
            <v>0.62</v>
          </cell>
          <cell r="AA730">
            <v>227</v>
          </cell>
          <cell r="AB730" t="str">
            <v>نشط</v>
          </cell>
          <cell r="AC730" t="str">
            <v>400557</v>
          </cell>
          <cell r="AD730" t="str">
            <v>Fawzi Altammar</v>
          </cell>
          <cell r="AE730" t="str">
            <v>إعارة</v>
          </cell>
          <cell r="AF730" t="str">
            <v/>
          </cell>
          <cell r="AG730" t="str">
            <v/>
          </cell>
          <cell r="AH730" t="str">
            <v/>
          </cell>
          <cell r="AI730" t="str">
            <v/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 t="str">
            <v/>
          </cell>
          <cell r="AO730" t="str">
            <v>عمليات الفروع</v>
          </cell>
          <cell r="AP730" t="str">
            <v>Banque Saudi Fransi</v>
          </cell>
          <cell r="AQ730" t="str">
            <v>SA5655000000025477800101</v>
          </cell>
          <cell r="AR730">
            <v>14445</v>
          </cell>
          <cell r="AS730" t="str">
            <v/>
          </cell>
          <cell r="AT730">
            <v>744.5</v>
          </cell>
          <cell r="AU730">
            <v>3611.25</v>
          </cell>
          <cell r="AV730" t="str">
            <v/>
          </cell>
        </row>
        <row r="731">
          <cell r="A731">
            <v>400557</v>
          </cell>
          <cell r="B731" t="str">
            <v>1013472798</v>
          </cell>
          <cell r="C731" t="str">
            <v>السيد</v>
          </cell>
          <cell r="D731" t="str">
            <v>Fawzi Habeb Altammar</v>
          </cell>
          <cell r="E731" t="str">
            <v>فوزي حبيب  التمار</v>
          </cell>
          <cell r="F731" t="str">
            <v>Male</v>
          </cell>
          <cell r="G731" t="str">
            <v/>
          </cell>
          <cell r="H731">
            <v>26326</v>
          </cell>
          <cell r="I731">
            <v>54</v>
          </cell>
          <cell r="J731">
            <v>19864</v>
          </cell>
          <cell r="K731" t="str">
            <v>Fawzi.Altammar@agriserv.sa</v>
          </cell>
          <cell r="L731" t="str">
            <v>0500044316</v>
          </cell>
          <cell r="M731" t="str">
            <v/>
          </cell>
          <cell r="N731" t="str">
            <v>المملكة العربية السعودية</v>
          </cell>
          <cell r="O731" t="str">
            <v>50001515</v>
          </cell>
          <cell r="P731" t="str">
            <v>مساعد طبيب بيطري</v>
          </cell>
          <cell r="Q731" t="str">
            <v>2B الدرجة</v>
          </cell>
          <cell r="R731" t="str">
            <v>Class A</v>
          </cell>
          <cell r="S731" t="str">
            <v/>
          </cell>
          <cell r="T731" t="str">
            <v>فروع العمليات - المنطقة الشرقية</v>
          </cell>
          <cell r="U731" t="str">
            <v>عمليات الفروع</v>
          </cell>
          <cell r="V731" t="str">
            <v>الفروع</v>
          </cell>
          <cell r="W731" t="str">
            <v>Qaryat al-Ulya</v>
          </cell>
          <cell r="X731" t="str">
            <v xml:space="preserve">الفرع </v>
          </cell>
          <cell r="Y731">
            <v>45963</v>
          </cell>
          <cell r="Z731">
            <v>0.62</v>
          </cell>
          <cell r="AA731">
            <v>227</v>
          </cell>
          <cell r="AB731" t="str">
            <v>نشط</v>
          </cell>
          <cell r="AC731" t="str">
            <v>100063</v>
          </cell>
          <cell r="AD731" t="str">
            <v>Hazza Alruwaili</v>
          </cell>
          <cell r="AE731" t="str">
            <v>إعارة</v>
          </cell>
          <cell r="AF731" t="str">
            <v/>
          </cell>
          <cell r="AG731" t="str">
            <v/>
          </cell>
          <cell r="AH731" t="str">
            <v/>
          </cell>
          <cell r="AI731" t="str">
            <v/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 t="str">
            <v/>
          </cell>
          <cell r="AO731" t="str">
            <v>عمليات الفروع</v>
          </cell>
          <cell r="AP731" t="str">
            <v>Saudi National Bank</v>
          </cell>
          <cell r="AQ731" t="str">
            <v>SA0310000098400002590909</v>
          </cell>
          <cell r="AR731">
            <v>13975</v>
          </cell>
          <cell r="AS731" t="str">
            <v/>
          </cell>
          <cell r="AT731">
            <v>100</v>
          </cell>
          <cell r="AU731">
            <v>3493.75</v>
          </cell>
          <cell r="AV731" t="str">
            <v/>
          </cell>
        </row>
        <row r="732">
          <cell r="A732">
            <v>400558</v>
          </cell>
          <cell r="B732" t="str">
            <v>1031904616</v>
          </cell>
          <cell r="C732" t="str">
            <v>السيد</v>
          </cell>
          <cell r="D732" t="str">
            <v>Hashim Jaffar ALshulah</v>
          </cell>
          <cell r="E732" t="str">
            <v>هاشم جعفر  الشعله</v>
          </cell>
          <cell r="F732" t="str">
            <v>Male</v>
          </cell>
          <cell r="G732" t="str">
            <v/>
          </cell>
          <cell r="H732">
            <v>26227</v>
          </cell>
          <cell r="I732">
            <v>55</v>
          </cell>
          <cell r="J732">
            <v>19963</v>
          </cell>
          <cell r="K732" t="str">
            <v>Hashim.ALshulah@agriserv.sa</v>
          </cell>
          <cell r="L732" t="str">
            <v>0563091942</v>
          </cell>
          <cell r="M732" t="str">
            <v/>
          </cell>
          <cell r="N732" t="str">
            <v>المملكة العربية السعودية</v>
          </cell>
          <cell r="O732" t="str">
            <v>50001513</v>
          </cell>
          <cell r="P732" t="str">
            <v>طبيب بيطري</v>
          </cell>
          <cell r="Q732" t="str">
            <v>الدرجة 4</v>
          </cell>
          <cell r="R732" t="str">
            <v>Class A</v>
          </cell>
          <cell r="S732" t="str">
            <v/>
          </cell>
          <cell r="T732" t="str">
            <v>فروع العمليات - المنطقة الشرقية</v>
          </cell>
          <cell r="U732" t="str">
            <v>عمليات الفروع</v>
          </cell>
          <cell r="V732" t="str">
            <v>الفروع</v>
          </cell>
          <cell r="W732" t="str">
            <v>Qaryat al-Ulya</v>
          </cell>
          <cell r="X732" t="str">
            <v xml:space="preserve">الفرع </v>
          </cell>
          <cell r="Y732">
            <v>45963</v>
          </cell>
          <cell r="Z732">
            <v>0.62</v>
          </cell>
          <cell r="AA732">
            <v>227</v>
          </cell>
          <cell r="AB732" t="str">
            <v>نشط</v>
          </cell>
          <cell r="AC732" t="str">
            <v>400557</v>
          </cell>
          <cell r="AD732" t="str">
            <v>Fawzi Altammar</v>
          </cell>
          <cell r="AE732" t="str">
            <v>إعارة</v>
          </cell>
          <cell r="AF732" t="str">
            <v/>
          </cell>
          <cell r="AG732" t="str">
            <v/>
          </cell>
          <cell r="AH732" t="str">
            <v/>
          </cell>
          <cell r="AI732" t="str">
            <v/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 t="str">
            <v/>
          </cell>
          <cell r="AO732" t="str">
            <v>عمليات الفروع</v>
          </cell>
          <cell r="AP732" t="str">
            <v>Riyad Bank</v>
          </cell>
          <cell r="AQ732" t="str">
            <v>SA3520000003460124789940</v>
          </cell>
          <cell r="AR732">
            <v>18705</v>
          </cell>
          <cell r="AS732" t="str">
            <v/>
          </cell>
          <cell r="AT732">
            <v>970.5</v>
          </cell>
          <cell r="AU732">
            <v>4676.25</v>
          </cell>
          <cell r="AV732" t="str">
            <v/>
          </cell>
        </row>
        <row r="733">
          <cell r="A733">
            <v>400559</v>
          </cell>
          <cell r="B733" t="str">
            <v>1079254809</v>
          </cell>
          <cell r="C733" t="str">
            <v>السيد</v>
          </cell>
          <cell r="D733" t="str">
            <v>Ali Yousef ALsaleh</v>
          </cell>
          <cell r="E733" t="str">
            <v>علي يوسف  الصالح</v>
          </cell>
          <cell r="F733" t="str">
            <v>Male</v>
          </cell>
          <cell r="G733" t="str">
            <v/>
          </cell>
          <cell r="H733">
            <v>34144</v>
          </cell>
          <cell r="I733">
            <v>33</v>
          </cell>
          <cell r="J733">
            <v>12046</v>
          </cell>
          <cell r="K733" t="str">
            <v>Ali.ALsaleh@agriserv.sa</v>
          </cell>
          <cell r="L733" t="str">
            <v>0540534353</v>
          </cell>
          <cell r="M733" t="str">
            <v/>
          </cell>
          <cell r="N733" t="str">
            <v>المملكة العربية السعودية</v>
          </cell>
          <cell r="O733" t="str">
            <v>50001489</v>
          </cell>
          <cell r="P733" t="str">
            <v>مساعد طبيب بيطري</v>
          </cell>
          <cell r="Q733" t="str">
            <v>2B الدرجة</v>
          </cell>
          <cell r="R733" t="str">
            <v>Class A</v>
          </cell>
          <cell r="S733" t="str">
            <v/>
          </cell>
          <cell r="T733" t="str">
            <v>فروع العمليات - المنطقة الشرقية</v>
          </cell>
          <cell r="U733" t="str">
            <v>عمليات الفروع</v>
          </cell>
          <cell r="V733" t="str">
            <v>الفروع</v>
          </cell>
          <cell r="W733" t="str">
            <v>Al-Khafji</v>
          </cell>
          <cell r="X733" t="str">
            <v xml:space="preserve">الفرع </v>
          </cell>
          <cell r="Y733">
            <v>45963</v>
          </cell>
          <cell r="Z733">
            <v>0.62</v>
          </cell>
          <cell r="AA733">
            <v>227</v>
          </cell>
          <cell r="AB733" t="str">
            <v>نشط</v>
          </cell>
          <cell r="AC733" t="str">
            <v>400560</v>
          </cell>
          <cell r="AD733" t="str">
            <v>Maytham ALhejji</v>
          </cell>
          <cell r="AE733" t="str">
            <v>إعارة</v>
          </cell>
          <cell r="AF733" t="str">
            <v/>
          </cell>
          <cell r="AG733" t="str">
            <v/>
          </cell>
          <cell r="AH733" t="str">
            <v/>
          </cell>
          <cell r="AI733" t="str">
            <v/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 t="str">
            <v/>
          </cell>
          <cell r="AO733" t="str">
            <v>عمليات الفروع</v>
          </cell>
          <cell r="AP733" t="str">
            <v>Riyad Bank</v>
          </cell>
          <cell r="AQ733" t="str">
            <v>SA2820000003363678799940</v>
          </cell>
          <cell r="AR733">
            <v>6072</v>
          </cell>
          <cell r="AS733" t="str">
            <v/>
          </cell>
          <cell r="AT733">
            <v>107.2</v>
          </cell>
          <cell r="AU733">
            <v>1518</v>
          </cell>
          <cell r="AV733" t="str">
            <v/>
          </cell>
        </row>
        <row r="734">
          <cell r="A734">
            <v>400560</v>
          </cell>
          <cell r="B734" t="str">
            <v>1029689229</v>
          </cell>
          <cell r="C734" t="str">
            <v>السيد</v>
          </cell>
          <cell r="D734" t="str">
            <v>Maytham Ali ALhejji</v>
          </cell>
          <cell r="E734" t="str">
            <v>ميثم علي  الحجي</v>
          </cell>
          <cell r="F734" t="str">
            <v>Male</v>
          </cell>
          <cell r="G734" t="str">
            <v/>
          </cell>
          <cell r="H734">
            <v>28857</v>
          </cell>
          <cell r="I734">
            <v>47</v>
          </cell>
          <cell r="J734">
            <v>17333</v>
          </cell>
          <cell r="K734" t="str">
            <v>Maytham.ALhejji@agriserv.sa</v>
          </cell>
          <cell r="L734" t="str">
            <v>0569595580</v>
          </cell>
          <cell r="M734" t="str">
            <v/>
          </cell>
          <cell r="N734" t="str">
            <v>المملكة العربية السعودية</v>
          </cell>
          <cell r="O734" t="str">
            <v>50001488</v>
          </cell>
          <cell r="P734" t="str">
            <v>مساعد طبيب بيطري</v>
          </cell>
          <cell r="Q734" t="str">
            <v>2B الدرجة</v>
          </cell>
          <cell r="R734" t="str">
            <v>Class A</v>
          </cell>
          <cell r="S734" t="str">
            <v/>
          </cell>
          <cell r="T734" t="str">
            <v>فروع العمليات - المنطقة الشرقية</v>
          </cell>
          <cell r="U734" t="str">
            <v>عمليات الفروع</v>
          </cell>
          <cell r="V734" t="str">
            <v>الفروع</v>
          </cell>
          <cell r="W734" t="str">
            <v>Al-Khafji</v>
          </cell>
          <cell r="X734" t="str">
            <v xml:space="preserve">الفرع </v>
          </cell>
          <cell r="Y734">
            <v>45963</v>
          </cell>
          <cell r="Z734">
            <v>0.62</v>
          </cell>
          <cell r="AA734">
            <v>227</v>
          </cell>
          <cell r="AB734" t="str">
            <v>نشط</v>
          </cell>
          <cell r="AC734" t="str">
            <v>100063</v>
          </cell>
          <cell r="AD734" t="str">
            <v>Hazza Alruwaili</v>
          </cell>
          <cell r="AE734" t="str">
            <v>إعارة</v>
          </cell>
          <cell r="AF734" t="str">
            <v/>
          </cell>
          <cell r="AG734" t="str">
            <v/>
          </cell>
          <cell r="AH734" t="str">
            <v/>
          </cell>
          <cell r="AI734" t="str">
            <v/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 t="str">
            <v/>
          </cell>
          <cell r="AO734" t="str">
            <v>عمليات الفروع</v>
          </cell>
          <cell r="AP734" t="str">
            <v>Al Rajhi Bank</v>
          </cell>
          <cell r="AQ734" t="str">
            <v>SA7480000128608010208632</v>
          </cell>
          <cell r="AR734">
            <v>10915</v>
          </cell>
          <cell r="AS734" t="str">
            <v/>
          </cell>
          <cell r="AT734">
            <v>100</v>
          </cell>
          <cell r="AU734">
            <v>2728.75</v>
          </cell>
          <cell r="AV734" t="str">
            <v/>
          </cell>
        </row>
        <row r="735">
          <cell r="A735">
            <v>400561</v>
          </cell>
          <cell r="B735" t="str">
            <v>1008525642</v>
          </cell>
          <cell r="C735" t="str">
            <v>السيد</v>
          </cell>
          <cell r="D735" t="str">
            <v>Hani Abdullah ALMZYDI</v>
          </cell>
          <cell r="E735" t="str">
            <v>هاني اعبدالله  المزيدي</v>
          </cell>
          <cell r="F735" t="str">
            <v>Male</v>
          </cell>
          <cell r="G735" t="str">
            <v/>
          </cell>
          <cell r="H735">
            <v>30331</v>
          </cell>
          <cell r="I735">
            <v>43</v>
          </cell>
          <cell r="J735">
            <v>15859</v>
          </cell>
          <cell r="K735" t="str">
            <v>Hani.ALMZYDI@agriserv.sa</v>
          </cell>
          <cell r="L735" t="str">
            <v>0557931022</v>
          </cell>
          <cell r="M735" t="str">
            <v/>
          </cell>
          <cell r="N735" t="str">
            <v>المملكة العربية السعودية</v>
          </cell>
          <cell r="O735" t="str">
            <v>50001517</v>
          </cell>
          <cell r="P735" t="str">
            <v>طبيب بيطري</v>
          </cell>
          <cell r="Q735" t="str">
            <v>الدرجة 4</v>
          </cell>
          <cell r="R735" t="str">
            <v>Class A</v>
          </cell>
          <cell r="S735" t="str">
            <v/>
          </cell>
          <cell r="T735" t="str">
            <v>فروع العمليات - المنطقة الشرقية</v>
          </cell>
          <cell r="U735" t="str">
            <v>عمليات الفروع</v>
          </cell>
          <cell r="V735" t="str">
            <v>الفروع</v>
          </cell>
          <cell r="W735" t="str">
            <v>Yabreen</v>
          </cell>
          <cell r="X735" t="str">
            <v xml:space="preserve">الفرع </v>
          </cell>
          <cell r="Y735">
            <v>45963</v>
          </cell>
          <cell r="Z735">
            <v>0.62</v>
          </cell>
          <cell r="AA735">
            <v>227</v>
          </cell>
          <cell r="AB735" t="str">
            <v>غير نشط</v>
          </cell>
          <cell r="AC735" t="str">
            <v>100036</v>
          </cell>
          <cell r="AD735" t="str">
            <v>Ibrahim Alkhuzam</v>
          </cell>
          <cell r="AE735" t="str">
            <v>إعارة</v>
          </cell>
          <cell r="AF735">
            <v>45963</v>
          </cell>
          <cell r="AG735" t="str">
            <v/>
          </cell>
          <cell r="AH735" t="str">
            <v/>
          </cell>
          <cell r="AI735" t="str">
            <v/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 t="str">
            <v/>
          </cell>
          <cell r="AO735" t="str">
            <v>Operation Department</v>
          </cell>
          <cell r="AP735" t="str">
            <v>Riyad Bank</v>
          </cell>
          <cell r="AQ735" t="str">
            <v>SA8020000003180881259940</v>
          </cell>
          <cell r="AR735">
            <v>13505</v>
          </cell>
          <cell r="AS735" t="str">
            <v/>
          </cell>
          <cell r="AT735">
            <v>650.5</v>
          </cell>
          <cell r="AU735">
            <v>3376.25</v>
          </cell>
          <cell r="AV735" t="str">
            <v/>
          </cell>
        </row>
        <row r="736">
          <cell r="A736">
            <v>400562</v>
          </cell>
          <cell r="B736" t="str">
            <v>1044634929</v>
          </cell>
          <cell r="C736" t="str">
            <v>السيد</v>
          </cell>
          <cell r="D736" t="str">
            <v>Abdalah Ali Buizran</v>
          </cell>
          <cell r="E736" t="str">
            <v>عبدالله علي  بوعزران</v>
          </cell>
          <cell r="F736" t="str">
            <v>Male</v>
          </cell>
          <cell r="G736" t="str">
            <v/>
          </cell>
          <cell r="H736">
            <v>31687</v>
          </cell>
          <cell r="I736">
            <v>40</v>
          </cell>
          <cell r="J736">
            <v>14503</v>
          </cell>
          <cell r="K736" t="str">
            <v>Abdalah.Buizran@agriserv.sa</v>
          </cell>
          <cell r="L736" t="str">
            <v>0541455221</v>
          </cell>
          <cell r="M736" t="str">
            <v/>
          </cell>
          <cell r="N736" t="str">
            <v>المملكة العربية السعودية</v>
          </cell>
          <cell r="O736" t="str">
            <v>50001519</v>
          </cell>
          <cell r="P736" t="str">
            <v>طبيب بيطري</v>
          </cell>
          <cell r="Q736" t="str">
            <v>الدرجة 4</v>
          </cell>
          <cell r="R736" t="str">
            <v>Class A</v>
          </cell>
          <cell r="S736" t="str">
            <v/>
          </cell>
          <cell r="T736" t="str">
            <v>فروع العمليات - المنطقة الشرقية</v>
          </cell>
          <cell r="U736" t="str">
            <v>عمليات الفروع</v>
          </cell>
          <cell r="V736" t="str">
            <v>الفروع</v>
          </cell>
          <cell r="W736" t="str">
            <v>Yabreen</v>
          </cell>
          <cell r="X736" t="str">
            <v xml:space="preserve">الفرع </v>
          </cell>
          <cell r="Y736">
            <v>45963</v>
          </cell>
          <cell r="Z736">
            <v>0.62</v>
          </cell>
          <cell r="AA736">
            <v>227</v>
          </cell>
          <cell r="AB736" t="str">
            <v>نشط</v>
          </cell>
          <cell r="AC736" t="str">
            <v>400563</v>
          </cell>
          <cell r="AD736" t="str">
            <v>Muhammed Alsumail</v>
          </cell>
          <cell r="AE736" t="str">
            <v>إعارة</v>
          </cell>
          <cell r="AF736" t="str">
            <v/>
          </cell>
          <cell r="AG736" t="str">
            <v/>
          </cell>
          <cell r="AH736" t="str">
            <v/>
          </cell>
          <cell r="AI736" t="str">
            <v/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 t="str">
            <v/>
          </cell>
          <cell r="AO736" t="str">
            <v>عمليات الفروع</v>
          </cell>
          <cell r="AP736" t="str">
            <v>Al Rajhi Bank</v>
          </cell>
          <cell r="AQ736" t="str">
            <v>SA7780000153608010313349</v>
          </cell>
          <cell r="AR736">
            <v>13975</v>
          </cell>
          <cell r="AS736" t="str">
            <v/>
          </cell>
          <cell r="AT736">
            <v>697.5</v>
          </cell>
          <cell r="AU736">
            <v>3493.75</v>
          </cell>
          <cell r="AV736" t="str">
            <v/>
          </cell>
        </row>
        <row r="737">
          <cell r="A737">
            <v>400563</v>
          </cell>
          <cell r="B737" t="str">
            <v>1046580484</v>
          </cell>
          <cell r="C737" t="str">
            <v>السيد</v>
          </cell>
          <cell r="D737" t="str">
            <v>Muhammed Haji Alsumail</v>
          </cell>
          <cell r="E737" t="str">
            <v>محمد حجي  السماعيل</v>
          </cell>
          <cell r="F737" t="str">
            <v>Male</v>
          </cell>
          <cell r="G737" t="str">
            <v/>
          </cell>
          <cell r="H737">
            <v>29293</v>
          </cell>
          <cell r="I737">
            <v>46</v>
          </cell>
          <cell r="J737">
            <v>16897</v>
          </cell>
          <cell r="K737" t="str">
            <v>Muhammed.ALSMAEEL@agriserv.sa</v>
          </cell>
          <cell r="L737" t="str">
            <v>0504137018</v>
          </cell>
          <cell r="M737" t="str">
            <v/>
          </cell>
          <cell r="N737" t="str">
            <v>المملكة العربية السعودية</v>
          </cell>
          <cell r="O737" t="str">
            <v>50001518</v>
          </cell>
          <cell r="P737" t="str">
            <v>طبيب بيطري</v>
          </cell>
          <cell r="Q737" t="str">
            <v>الدرجة 4</v>
          </cell>
          <cell r="R737" t="str">
            <v>Class A</v>
          </cell>
          <cell r="S737" t="str">
            <v/>
          </cell>
          <cell r="T737" t="str">
            <v>فروع العمليات - المنطقة الشرقية</v>
          </cell>
          <cell r="U737" t="str">
            <v>عمليات الفروع</v>
          </cell>
          <cell r="V737" t="str">
            <v>الفروع</v>
          </cell>
          <cell r="W737" t="str">
            <v>Yabreen</v>
          </cell>
          <cell r="X737" t="str">
            <v xml:space="preserve">الفرع </v>
          </cell>
          <cell r="Y737">
            <v>45963</v>
          </cell>
          <cell r="Z737">
            <v>0.62</v>
          </cell>
          <cell r="AA737">
            <v>227</v>
          </cell>
          <cell r="AB737" t="str">
            <v>نشط</v>
          </cell>
          <cell r="AC737" t="str">
            <v>100063</v>
          </cell>
          <cell r="AD737" t="str">
            <v>Hazza Alruwaili</v>
          </cell>
          <cell r="AE737" t="str">
            <v>إعارة</v>
          </cell>
          <cell r="AF737" t="str">
            <v/>
          </cell>
          <cell r="AG737" t="str">
            <v/>
          </cell>
          <cell r="AH737" t="str">
            <v/>
          </cell>
          <cell r="AI737" t="str">
            <v/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 t="str">
            <v/>
          </cell>
          <cell r="AO737" t="str">
            <v>عمليات الفروع</v>
          </cell>
          <cell r="AP737" t="str">
            <v>Riyad Bank</v>
          </cell>
          <cell r="AQ737" t="str">
            <v>SA8020000005030141639940</v>
          </cell>
          <cell r="AR737">
            <v>16905</v>
          </cell>
          <cell r="AS737" t="str">
            <v/>
          </cell>
          <cell r="AT737">
            <v>990.5</v>
          </cell>
          <cell r="AU737">
            <v>4226.25</v>
          </cell>
          <cell r="AV737" t="str">
            <v/>
          </cell>
        </row>
        <row r="738">
          <cell r="A738">
            <v>400564</v>
          </cell>
          <cell r="B738" t="str">
            <v>1080166729</v>
          </cell>
          <cell r="C738" t="str">
            <v>السيد</v>
          </cell>
          <cell r="D738" t="str">
            <v>Hamid Fahad Alhotah</v>
          </cell>
          <cell r="E738" t="str">
            <v>حامد فهد  الهوته</v>
          </cell>
          <cell r="F738" t="str">
            <v>Male</v>
          </cell>
          <cell r="G738" t="str">
            <v/>
          </cell>
          <cell r="H738">
            <v>32342</v>
          </cell>
          <cell r="I738">
            <v>38</v>
          </cell>
          <cell r="J738">
            <v>13848</v>
          </cell>
          <cell r="K738" t="str">
            <v>Hamid.Alhotah@agriserv.sa</v>
          </cell>
          <cell r="L738" t="str">
            <v>0597390007</v>
          </cell>
          <cell r="M738" t="str">
            <v/>
          </cell>
          <cell r="N738" t="str">
            <v>المملكة العربية السعودية</v>
          </cell>
          <cell r="O738" t="str">
            <v>50001501</v>
          </cell>
          <cell r="P738" t="str">
            <v>طبيب بيطري</v>
          </cell>
          <cell r="Q738" t="str">
            <v>الدرجة 4</v>
          </cell>
          <cell r="R738" t="str">
            <v>Class A</v>
          </cell>
          <cell r="S738" t="str">
            <v/>
          </cell>
          <cell r="T738" t="str">
            <v>عمليات الفروع  بريدة</v>
          </cell>
          <cell r="U738" t="str">
            <v>عمليات الفروع</v>
          </cell>
          <cell r="V738" t="str">
            <v>الفروع</v>
          </cell>
          <cell r="W738" t="str">
            <v>Buraydah</v>
          </cell>
          <cell r="X738" t="str">
            <v xml:space="preserve">الفرع </v>
          </cell>
          <cell r="Y738">
            <v>45963</v>
          </cell>
          <cell r="Z738">
            <v>0.62</v>
          </cell>
          <cell r="AA738">
            <v>227</v>
          </cell>
          <cell r="AB738" t="str">
            <v>نشط</v>
          </cell>
          <cell r="AC738" t="str">
            <v>400236</v>
          </cell>
          <cell r="AD738" t="str">
            <v>Jehad Aldhubayi</v>
          </cell>
          <cell r="AE738" t="str">
            <v>إعارة</v>
          </cell>
          <cell r="AF738" t="str">
            <v/>
          </cell>
          <cell r="AG738" t="str">
            <v/>
          </cell>
          <cell r="AH738" t="str">
            <v/>
          </cell>
          <cell r="AI738" t="str">
            <v/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 t="str">
            <v/>
          </cell>
          <cell r="AO738" t="str">
            <v>عمليات الفروع</v>
          </cell>
          <cell r="AP738" t="str">
            <v>Al Rajhi Bank</v>
          </cell>
          <cell r="AQ738" t="str">
            <v>SA7980000517608010024871</v>
          </cell>
          <cell r="AR738">
            <v>12095</v>
          </cell>
          <cell r="AS738" t="str">
            <v/>
          </cell>
          <cell r="AT738">
            <v>509.5</v>
          </cell>
          <cell r="AU738">
            <v>3023.75</v>
          </cell>
          <cell r="AV738" t="str">
            <v/>
          </cell>
        </row>
        <row r="739">
          <cell r="A739">
            <v>400565</v>
          </cell>
          <cell r="B739" t="str">
            <v>1097890907</v>
          </cell>
          <cell r="C739" t="str">
            <v>السيد</v>
          </cell>
          <cell r="D739" t="str">
            <v>Ahmed Ali ALdughayyim</v>
          </cell>
          <cell r="E739" t="str">
            <v>احمد علي  الدغيم</v>
          </cell>
          <cell r="F739" t="str">
            <v>Male</v>
          </cell>
          <cell r="G739" t="str">
            <v/>
          </cell>
          <cell r="H739">
            <v>35818</v>
          </cell>
          <cell r="I739">
            <v>28</v>
          </cell>
          <cell r="J739">
            <v>10372</v>
          </cell>
          <cell r="K739" t="str">
            <v>Ahmed.ALdughayyim@agriserv.sa</v>
          </cell>
          <cell r="L739" t="str">
            <v>0557188844</v>
          </cell>
          <cell r="M739" t="str">
            <v/>
          </cell>
          <cell r="N739" t="str">
            <v>المملكة العربية السعودية</v>
          </cell>
          <cell r="O739" t="str">
            <v>50001490</v>
          </cell>
          <cell r="P739" t="str">
            <v>طبيب بيطري</v>
          </cell>
          <cell r="Q739" t="str">
            <v>الدرجة 4</v>
          </cell>
          <cell r="R739" t="str">
            <v>Class A</v>
          </cell>
          <cell r="S739" t="str">
            <v/>
          </cell>
          <cell r="T739" t="str">
            <v>فروع العمليات القصيم</v>
          </cell>
          <cell r="U739" t="str">
            <v>عمليات الفروع</v>
          </cell>
          <cell r="V739" t="str">
            <v>الفروع</v>
          </cell>
          <cell r="W739" t="str">
            <v>Ar-Rass</v>
          </cell>
          <cell r="X739" t="str">
            <v xml:space="preserve">الفرع </v>
          </cell>
          <cell r="Y739">
            <v>45963</v>
          </cell>
          <cell r="Z739">
            <v>0.62</v>
          </cell>
          <cell r="AA739">
            <v>227</v>
          </cell>
          <cell r="AB739" t="str">
            <v>نشط</v>
          </cell>
          <cell r="AC739" t="str">
            <v>400510</v>
          </cell>
          <cell r="AD739" t="str">
            <v>Omar Alharbi</v>
          </cell>
          <cell r="AE739" t="str">
            <v>إعارة</v>
          </cell>
          <cell r="AF739" t="str">
            <v/>
          </cell>
          <cell r="AG739" t="str">
            <v/>
          </cell>
          <cell r="AH739" t="str">
            <v/>
          </cell>
          <cell r="AI739" t="str">
            <v/>
          </cell>
          <cell r="AJ739">
            <v>1</v>
          </cell>
          <cell r="AK739">
            <v>0</v>
          </cell>
          <cell r="AL739">
            <v>1</v>
          </cell>
          <cell r="AM739">
            <v>0</v>
          </cell>
          <cell r="AN739" t="str">
            <v/>
          </cell>
          <cell r="AO739" t="str">
            <v>عمليات الفروع</v>
          </cell>
          <cell r="AP739" t="str">
            <v>Al Rajhi Bank</v>
          </cell>
          <cell r="AQ739" t="str">
            <v>SA6680000280608010090208</v>
          </cell>
          <cell r="AR739">
            <v>9280</v>
          </cell>
          <cell r="AS739" t="str">
            <v/>
          </cell>
          <cell r="AT739">
            <v>428</v>
          </cell>
          <cell r="AU739">
            <v>2320</v>
          </cell>
          <cell r="AV739" t="str">
            <v/>
          </cell>
        </row>
        <row r="740">
          <cell r="A740">
            <v>400566</v>
          </cell>
          <cell r="B740" t="str">
            <v>1099120832</v>
          </cell>
          <cell r="C740" t="str">
            <v>السيد</v>
          </cell>
          <cell r="D740" t="str">
            <v>Bandar Saleh ALammar</v>
          </cell>
          <cell r="E740" t="str">
            <v>بندر صالح  العمار</v>
          </cell>
          <cell r="F740" t="str">
            <v>Male</v>
          </cell>
          <cell r="G740" t="str">
            <v/>
          </cell>
          <cell r="H740">
            <v>34943</v>
          </cell>
          <cell r="I740">
            <v>31</v>
          </cell>
          <cell r="J740">
            <v>11247</v>
          </cell>
          <cell r="K740" t="str">
            <v>Bandar.ALammar@agriserv.sa</v>
          </cell>
          <cell r="L740" t="str">
            <v>0534104471</v>
          </cell>
          <cell r="M740" t="str">
            <v/>
          </cell>
          <cell r="N740" t="str">
            <v>المملكة العربية السعودية</v>
          </cell>
          <cell r="O740" t="str">
            <v>50001527</v>
          </cell>
          <cell r="P740" t="str">
            <v>طبيب بيطري</v>
          </cell>
          <cell r="Q740" t="str">
            <v>الدرجة 4</v>
          </cell>
          <cell r="R740" t="str">
            <v>Class A</v>
          </cell>
          <cell r="S740" t="str">
            <v/>
          </cell>
          <cell r="T740" t="str">
            <v>فروع العمليات القصيم</v>
          </cell>
          <cell r="U740" t="str">
            <v>عمليات الفروع</v>
          </cell>
          <cell r="V740" t="str">
            <v>الفروع</v>
          </cell>
          <cell r="W740" t="str">
            <v>Alasyah</v>
          </cell>
          <cell r="X740" t="str">
            <v xml:space="preserve">الفرع </v>
          </cell>
          <cell r="Y740">
            <v>45963</v>
          </cell>
          <cell r="Z740">
            <v>0.62</v>
          </cell>
          <cell r="AA740">
            <v>227</v>
          </cell>
          <cell r="AB740" t="str">
            <v>نشط</v>
          </cell>
          <cell r="AC740" t="str">
            <v>400567</v>
          </cell>
          <cell r="AD740" t="str">
            <v>Hamdan Alanazi</v>
          </cell>
          <cell r="AE740" t="str">
            <v>إعارة</v>
          </cell>
          <cell r="AF740" t="str">
            <v/>
          </cell>
          <cell r="AG740" t="str">
            <v/>
          </cell>
          <cell r="AH740" t="str">
            <v/>
          </cell>
          <cell r="AI740" t="str">
            <v/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 t="str">
            <v/>
          </cell>
          <cell r="AO740" t="str">
            <v>عمليات الفروع</v>
          </cell>
          <cell r="AP740" t="str">
            <v>Al Rajhi Bank</v>
          </cell>
          <cell r="AQ740" t="str">
            <v>SA5880000517608010062400</v>
          </cell>
          <cell r="AR740">
            <v>8927</v>
          </cell>
          <cell r="AS740" t="str">
            <v/>
          </cell>
          <cell r="AT740">
            <v>392.7</v>
          </cell>
          <cell r="AU740">
            <v>2231.75</v>
          </cell>
          <cell r="AV740" t="str">
            <v/>
          </cell>
        </row>
        <row r="741">
          <cell r="A741">
            <v>400567</v>
          </cell>
          <cell r="B741" t="str">
            <v>1134233111</v>
          </cell>
          <cell r="C741" t="str">
            <v>السيد</v>
          </cell>
          <cell r="D741" t="str">
            <v>Hamdan Attia Alanazi</v>
          </cell>
          <cell r="E741" t="str">
            <v>حمدان عطيه  العنزي</v>
          </cell>
          <cell r="F741" t="str">
            <v>Male</v>
          </cell>
          <cell r="G741" t="str">
            <v/>
          </cell>
          <cell r="H741">
            <v>33213</v>
          </cell>
          <cell r="I741">
            <v>36</v>
          </cell>
          <cell r="J741">
            <v>12977</v>
          </cell>
          <cell r="K741" t="str">
            <v>Hamdan.Alanazi@agriserv.sa</v>
          </cell>
          <cell r="L741" t="str">
            <v>0599762011</v>
          </cell>
          <cell r="M741" t="str">
            <v/>
          </cell>
          <cell r="N741" t="str">
            <v>المملكة العربية السعودية</v>
          </cell>
          <cell r="O741" t="str">
            <v>50001486</v>
          </cell>
          <cell r="P741" t="str">
            <v>طبيب بيطري</v>
          </cell>
          <cell r="Q741" t="str">
            <v>الدرجة 4</v>
          </cell>
          <cell r="R741" t="str">
            <v>Class A</v>
          </cell>
          <cell r="S741" t="str">
            <v/>
          </cell>
          <cell r="T741" t="str">
            <v>فروع العمليات القصيم</v>
          </cell>
          <cell r="U741" t="str">
            <v>عمليات الفروع</v>
          </cell>
          <cell r="V741" t="str">
            <v>الفروع</v>
          </cell>
          <cell r="W741" t="str">
            <v>Alasyah</v>
          </cell>
          <cell r="X741" t="str">
            <v xml:space="preserve">الفرع </v>
          </cell>
          <cell r="Y741">
            <v>45963</v>
          </cell>
          <cell r="Z741">
            <v>0.62</v>
          </cell>
          <cell r="AA741">
            <v>227</v>
          </cell>
          <cell r="AB741" t="str">
            <v>نشط</v>
          </cell>
          <cell r="AC741" t="str">
            <v>100063</v>
          </cell>
          <cell r="AD741" t="str">
            <v>Hazza Alruwaili</v>
          </cell>
          <cell r="AE741" t="str">
            <v>إعارة</v>
          </cell>
          <cell r="AF741" t="str">
            <v/>
          </cell>
          <cell r="AG741" t="str">
            <v/>
          </cell>
          <cell r="AH741" t="str">
            <v/>
          </cell>
          <cell r="AI741" t="str">
            <v/>
          </cell>
          <cell r="AJ741">
            <v>1</v>
          </cell>
          <cell r="AK741">
            <v>1</v>
          </cell>
          <cell r="AL741">
            <v>0</v>
          </cell>
          <cell r="AM741">
            <v>0</v>
          </cell>
          <cell r="AN741" t="str">
            <v/>
          </cell>
          <cell r="AO741" t="str">
            <v>عمليات الفروع</v>
          </cell>
          <cell r="AP741" t="str">
            <v>Al Rajhi Bank</v>
          </cell>
          <cell r="AQ741" t="str">
            <v>SA6580000495608010071134</v>
          </cell>
          <cell r="AR741">
            <v>12565</v>
          </cell>
          <cell r="AS741" t="str">
            <v/>
          </cell>
          <cell r="AT741">
            <v>556.5</v>
          </cell>
          <cell r="AU741">
            <v>3141.25</v>
          </cell>
          <cell r="AV741" t="str">
            <v/>
          </cell>
        </row>
        <row r="742">
          <cell r="A742">
            <v>400568</v>
          </cell>
          <cell r="B742" t="str">
            <v>1039689334</v>
          </cell>
          <cell r="C742" t="str">
            <v>السيد</v>
          </cell>
          <cell r="D742" t="str">
            <v>Saleh Abdullah Alanazy</v>
          </cell>
          <cell r="E742" t="str">
            <v>صالح عبد  العنزي</v>
          </cell>
          <cell r="F742" t="str">
            <v>Male</v>
          </cell>
          <cell r="G742" t="str">
            <v/>
          </cell>
          <cell r="H742">
            <v>31781</v>
          </cell>
          <cell r="I742">
            <v>39</v>
          </cell>
          <cell r="J742">
            <v>14409</v>
          </cell>
          <cell r="K742" t="str">
            <v>Saleh.Alanazy@agriserv.sa</v>
          </cell>
          <cell r="L742" t="str">
            <v>0565787730</v>
          </cell>
          <cell r="M742" t="str">
            <v/>
          </cell>
          <cell r="N742" t="str">
            <v>المملكة العربية السعودية</v>
          </cell>
          <cell r="O742" t="str">
            <v>50001497</v>
          </cell>
          <cell r="P742" t="str">
            <v>مساعد طبيب بيطري</v>
          </cell>
          <cell r="Q742" t="str">
            <v>2B الدرجة</v>
          </cell>
          <cell r="R742" t="str">
            <v>Class A</v>
          </cell>
          <cell r="S742" t="str">
            <v/>
          </cell>
          <cell r="T742" t="str">
            <v>فروع العمليات القصيم</v>
          </cell>
          <cell r="U742" t="str">
            <v>عمليات الفروع</v>
          </cell>
          <cell r="V742" t="str">
            <v>الفروع</v>
          </cell>
          <cell r="W742" t="str">
            <v>AL Nabhaniyah</v>
          </cell>
          <cell r="X742" t="str">
            <v xml:space="preserve">الفرع </v>
          </cell>
          <cell r="Y742">
            <v>45963</v>
          </cell>
          <cell r="Z742">
            <v>0.62</v>
          </cell>
          <cell r="AA742">
            <v>227</v>
          </cell>
          <cell r="AB742" t="str">
            <v>نشط</v>
          </cell>
          <cell r="AC742" t="str">
            <v>100063</v>
          </cell>
          <cell r="AD742" t="str">
            <v>Hazza Alruwaili</v>
          </cell>
          <cell r="AE742" t="str">
            <v>إعارة</v>
          </cell>
          <cell r="AF742" t="str">
            <v/>
          </cell>
          <cell r="AG742" t="str">
            <v/>
          </cell>
          <cell r="AH742" t="str">
            <v/>
          </cell>
          <cell r="AI742" t="str">
            <v/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 t="str">
            <v/>
          </cell>
          <cell r="AO742" t="str">
            <v>عمليات الفروع</v>
          </cell>
          <cell r="AP742" t="str">
            <v>Al Rajhi Bank</v>
          </cell>
          <cell r="AQ742" t="str">
            <v>SA1680000468608010015845</v>
          </cell>
          <cell r="AR742">
            <v>9565</v>
          </cell>
          <cell r="AS742" t="str">
            <v/>
          </cell>
          <cell r="AT742">
            <v>100</v>
          </cell>
          <cell r="AU742">
            <v>2391.25</v>
          </cell>
          <cell r="AV742" t="str">
            <v/>
          </cell>
        </row>
        <row r="743">
          <cell r="A743">
            <v>400569</v>
          </cell>
          <cell r="B743" t="str">
            <v>1046936199</v>
          </cell>
          <cell r="C743" t="str">
            <v>السيد</v>
          </cell>
          <cell r="D743" t="str">
            <v>Yasser Abdullh Alharbi</v>
          </cell>
          <cell r="E743" t="str">
            <v>ياسر عبدالله  الحربي</v>
          </cell>
          <cell r="F743" t="str">
            <v>Male</v>
          </cell>
          <cell r="G743" t="str">
            <v/>
          </cell>
          <cell r="H743">
            <v>30729</v>
          </cell>
          <cell r="I743">
            <v>42</v>
          </cell>
          <cell r="J743">
            <v>15461</v>
          </cell>
          <cell r="K743" t="str">
            <v>Yasser.Alharbi@agriserv.sa</v>
          </cell>
          <cell r="L743" t="str">
            <v>0535855730</v>
          </cell>
          <cell r="M743" t="str">
            <v/>
          </cell>
          <cell r="N743" t="str">
            <v>المملكة العربية السعودية</v>
          </cell>
          <cell r="O743" t="str">
            <v>50001496</v>
          </cell>
          <cell r="P743" t="str">
            <v>طبيب بيطري</v>
          </cell>
          <cell r="Q743" t="str">
            <v>الدرجة 4</v>
          </cell>
          <cell r="R743" t="str">
            <v>Class A</v>
          </cell>
          <cell r="S743" t="str">
            <v/>
          </cell>
          <cell r="T743" t="str">
            <v>فروع العمليات القصيم</v>
          </cell>
          <cell r="U743" t="str">
            <v>عمليات الفروع</v>
          </cell>
          <cell r="V743" t="str">
            <v>الفروع</v>
          </cell>
          <cell r="W743" t="str">
            <v>AL Nabhaniyah</v>
          </cell>
          <cell r="X743" t="str">
            <v xml:space="preserve">الفرع </v>
          </cell>
          <cell r="Y743">
            <v>45963</v>
          </cell>
          <cell r="Z743">
            <v>0.62</v>
          </cell>
          <cell r="AA743">
            <v>227</v>
          </cell>
          <cell r="AB743" t="str">
            <v>نشط</v>
          </cell>
          <cell r="AC743" t="str">
            <v>400568</v>
          </cell>
          <cell r="AD743" t="str">
            <v>Saleh Alanazy</v>
          </cell>
          <cell r="AE743" t="str">
            <v>إعارة</v>
          </cell>
          <cell r="AF743" t="str">
            <v/>
          </cell>
          <cell r="AG743" t="str">
            <v/>
          </cell>
          <cell r="AH743" t="str">
            <v/>
          </cell>
          <cell r="AI743" t="str">
            <v/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 t="str">
            <v/>
          </cell>
          <cell r="AO743" t="str">
            <v>عمليات الفروع</v>
          </cell>
          <cell r="AP743" t="str">
            <v>Al Rajhi Bank</v>
          </cell>
          <cell r="AQ743" t="str">
            <v>SA7280000275608010053005</v>
          </cell>
          <cell r="AR743">
            <v>16585</v>
          </cell>
          <cell r="AS743" t="str">
            <v/>
          </cell>
          <cell r="AT743">
            <v>758.5</v>
          </cell>
          <cell r="AU743">
            <v>4146.25</v>
          </cell>
          <cell r="AV743" t="str">
            <v/>
          </cell>
        </row>
        <row r="744">
          <cell r="A744">
            <v>400570</v>
          </cell>
          <cell r="B744" t="str">
            <v>1094910583</v>
          </cell>
          <cell r="C744" t="str">
            <v>السيد</v>
          </cell>
          <cell r="D744" t="str">
            <v>Faisal Awadh AlHarbi</v>
          </cell>
          <cell r="E744" t="str">
            <v>فيصل عوض  الحربي</v>
          </cell>
          <cell r="F744" t="str">
            <v>Male</v>
          </cell>
          <cell r="G744" t="str">
            <v/>
          </cell>
          <cell r="H744">
            <v>33806</v>
          </cell>
          <cell r="I744">
            <v>34</v>
          </cell>
          <cell r="J744">
            <v>12384</v>
          </cell>
          <cell r="K744" t="str">
            <v>Faisal.AlHarbi@agriserv.sa</v>
          </cell>
          <cell r="L744" t="str">
            <v>0509151770</v>
          </cell>
          <cell r="M744" t="str">
            <v/>
          </cell>
          <cell r="N744" t="str">
            <v>المملكة العربية السعودية</v>
          </cell>
          <cell r="O744" t="str">
            <v>50001516</v>
          </cell>
          <cell r="P744" t="str">
            <v>طبيب بيطري</v>
          </cell>
          <cell r="Q744" t="str">
            <v>الدرجة 4</v>
          </cell>
          <cell r="R744" t="str">
            <v>Class A</v>
          </cell>
          <cell r="S744" t="str">
            <v/>
          </cell>
          <cell r="T744" t="str">
            <v>فروع العمليات القصيم</v>
          </cell>
          <cell r="U744" t="str">
            <v>عمليات الفروع</v>
          </cell>
          <cell r="V744" t="str">
            <v>الفروع</v>
          </cell>
          <cell r="W744" t="str">
            <v>Ad-Diriyah</v>
          </cell>
          <cell r="X744" t="str">
            <v xml:space="preserve">الفرع </v>
          </cell>
          <cell r="Y744">
            <v>45963</v>
          </cell>
          <cell r="Z744">
            <v>0.62</v>
          </cell>
          <cell r="AA744">
            <v>227</v>
          </cell>
          <cell r="AB744" t="str">
            <v>نشط</v>
          </cell>
          <cell r="AC744" t="str">
            <v>100063</v>
          </cell>
          <cell r="AD744" t="str">
            <v>Hazza Alruwaili</v>
          </cell>
          <cell r="AE744" t="str">
            <v>إعارة</v>
          </cell>
          <cell r="AF744" t="str">
            <v/>
          </cell>
          <cell r="AG744" t="str">
            <v/>
          </cell>
          <cell r="AH744" t="str">
            <v/>
          </cell>
          <cell r="AI744" t="str">
            <v/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 t="str">
            <v/>
          </cell>
          <cell r="AO744" t="str">
            <v>عمليات الفروع</v>
          </cell>
          <cell r="AP744" t="str">
            <v>Saudi Awwal Bank</v>
          </cell>
          <cell r="AQ744" t="str">
            <v>SA7845000000019199165001</v>
          </cell>
          <cell r="AR744">
            <v>9744</v>
          </cell>
          <cell r="AS744" t="str">
            <v/>
          </cell>
          <cell r="AT744">
            <v>474.4</v>
          </cell>
          <cell r="AU744">
            <v>2436</v>
          </cell>
          <cell r="AV744" t="str">
            <v/>
          </cell>
        </row>
        <row r="745">
          <cell r="A745">
            <v>400571</v>
          </cell>
          <cell r="B745" t="str">
            <v>1073818542</v>
          </cell>
          <cell r="C745" t="str">
            <v>السيد</v>
          </cell>
          <cell r="D745" t="str">
            <v>Khalid Mohammed Alsini</v>
          </cell>
          <cell r="E745" t="str">
            <v>خالد محمد  الصيني</v>
          </cell>
          <cell r="F745" t="str">
            <v>Male</v>
          </cell>
          <cell r="G745" t="str">
            <v/>
          </cell>
          <cell r="H745">
            <v>33665</v>
          </cell>
          <cell r="I745">
            <v>34</v>
          </cell>
          <cell r="J745">
            <v>12525</v>
          </cell>
          <cell r="K745" t="str">
            <v>Khalid.Alsini@agriserv.sa</v>
          </cell>
          <cell r="L745" t="str">
            <v>0558432456</v>
          </cell>
          <cell r="M745" t="str">
            <v/>
          </cell>
          <cell r="N745" t="str">
            <v>المملكة العربية السعودية</v>
          </cell>
          <cell r="O745" t="str">
            <v>50001487</v>
          </cell>
          <cell r="P745" t="str">
            <v>طبيب بيطري</v>
          </cell>
          <cell r="Q745" t="str">
            <v>الدرجة 4</v>
          </cell>
          <cell r="R745" t="str">
            <v>Class A</v>
          </cell>
          <cell r="S745" t="str">
            <v/>
          </cell>
          <cell r="T745" t="str">
            <v>عمليات الفروع مكة</v>
          </cell>
          <cell r="U745" t="str">
            <v>عمليات الفروع</v>
          </cell>
          <cell r="V745" t="str">
            <v>الفروع</v>
          </cell>
          <cell r="W745" t="str">
            <v>Al-Khurmah</v>
          </cell>
          <cell r="X745" t="str">
            <v xml:space="preserve">الفرع </v>
          </cell>
          <cell r="Y745">
            <v>45963</v>
          </cell>
          <cell r="Z745">
            <v>0.62</v>
          </cell>
          <cell r="AA745">
            <v>227</v>
          </cell>
          <cell r="AB745" t="str">
            <v>نشط</v>
          </cell>
          <cell r="AC745" t="str">
            <v>100174</v>
          </cell>
          <cell r="AD745" t="str">
            <v>Adil Alshaikh</v>
          </cell>
          <cell r="AE745" t="str">
            <v>إعارة</v>
          </cell>
          <cell r="AF745" t="str">
            <v/>
          </cell>
          <cell r="AG745" t="str">
            <v/>
          </cell>
          <cell r="AH745" t="str">
            <v/>
          </cell>
          <cell r="AI745" t="str">
            <v/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 t="str">
            <v/>
          </cell>
          <cell r="AO745" t="str">
            <v>عمليات الفروع</v>
          </cell>
          <cell r="AP745" t="str">
            <v>Banque Saudi Fransi</v>
          </cell>
          <cell r="AQ745" t="str">
            <v>SA82550000000L6481600178</v>
          </cell>
          <cell r="AR745">
            <v>9745</v>
          </cell>
          <cell r="AS745" t="str">
            <v/>
          </cell>
          <cell r="AT745">
            <v>474.5</v>
          </cell>
          <cell r="AU745">
            <v>2436.25</v>
          </cell>
          <cell r="AV745" t="str">
            <v/>
          </cell>
        </row>
        <row r="746">
          <cell r="A746">
            <v>400572</v>
          </cell>
          <cell r="B746" t="str">
            <v>1026035541</v>
          </cell>
          <cell r="C746" t="str">
            <v>السيد</v>
          </cell>
          <cell r="D746" t="str">
            <v>Humood Hamdan Alharbi</v>
          </cell>
          <cell r="E746" t="str">
            <v>حمود حمدان  الحربي</v>
          </cell>
          <cell r="F746" t="str">
            <v>Male</v>
          </cell>
          <cell r="G746" t="str">
            <v/>
          </cell>
          <cell r="H746">
            <v>28183</v>
          </cell>
          <cell r="I746">
            <v>49</v>
          </cell>
          <cell r="J746">
            <v>18007</v>
          </cell>
          <cell r="K746" t="str">
            <v>Humood.Alharbi@agriserv.sa</v>
          </cell>
          <cell r="L746" t="str">
            <v>0551936223</v>
          </cell>
          <cell r="M746" t="str">
            <v/>
          </cell>
          <cell r="N746" t="str">
            <v>المملكة العربية السعودية</v>
          </cell>
          <cell r="O746" t="str">
            <v>50001505</v>
          </cell>
          <cell r="P746" t="str">
            <v>مساعد طبيب بيطري</v>
          </cell>
          <cell r="Q746" t="str">
            <v>2B الدرجة</v>
          </cell>
          <cell r="R746" t="str">
            <v>Class A</v>
          </cell>
          <cell r="S746" t="str">
            <v/>
          </cell>
          <cell r="T746" t="str">
            <v>عمليات الفروع مكة</v>
          </cell>
          <cell r="U746" t="str">
            <v>عمليات الفروع</v>
          </cell>
          <cell r="V746" t="str">
            <v>الفروع</v>
          </cell>
          <cell r="W746" t="str">
            <v>RAbigh</v>
          </cell>
          <cell r="X746" t="str">
            <v xml:space="preserve">الفرع </v>
          </cell>
          <cell r="Y746">
            <v>45963</v>
          </cell>
          <cell r="Z746">
            <v>0.62</v>
          </cell>
          <cell r="AA746">
            <v>227</v>
          </cell>
          <cell r="AB746" t="str">
            <v>نشط</v>
          </cell>
          <cell r="AC746" t="str">
            <v>100174</v>
          </cell>
          <cell r="AD746" t="str">
            <v>Adil Alshaikh</v>
          </cell>
          <cell r="AE746" t="str">
            <v>إعارة</v>
          </cell>
          <cell r="AF746" t="str">
            <v/>
          </cell>
          <cell r="AG746" t="str">
            <v/>
          </cell>
          <cell r="AH746" t="str">
            <v/>
          </cell>
          <cell r="AI746" t="str">
            <v/>
          </cell>
          <cell r="AJ746">
            <v>5</v>
          </cell>
          <cell r="AK746">
            <v>4</v>
          </cell>
          <cell r="AL746">
            <v>1</v>
          </cell>
          <cell r="AM746">
            <v>0</v>
          </cell>
          <cell r="AN746" t="str">
            <v/>
          </cell>
          <cell r="AO746" t="str">
            <v>عمليات الفروع</v>
          </cell>
          <cell r="AP746" t="str">
            <v>Saudi National Bank</v>
          </cell>
          <cell r="AQ746" t="str">
            <v>SA8810000015100001676603</v>
          </cell>
          <cell r="AR746">
            <v>9930</v>
          </cell>
          <cell r="AS746" t="str">
            <v/>
          </cell>
          <cell r="AT746">
            <v>100</v>
          </cell>
          <cell r="AU746">
            <v>2482.5</v>
          </cell>
          <cell r="AV746" t="str">
            <v/>
          </cell>
        </row>
        <row r="747">
          <cell r="A747">
            <v>400573</v>
          </cell>
          <cell r="B747" t="str">
            <v>1037006648</v>
          </cell>
          <cell r="C747" t="str">
            <v>السيد</v>
          </cell>
          <cell r="D747" t="str">
            <v>Omar Faraj Alzabbaly</v>
          </cell>
          <cell r="E747" t="str">
            <v>عمر فرج  الزبالي</v>
          </cell>
          <cell r="F747" t="str">
            <v>Male</v>
          </cell>
          <cell r="G747" t="str">
            <v/>
          </cell>
          <cell r="H747">
            <v>27759</v>
          </cell>
          <cell r="I747">
            <v>50</v>
          </cell>
          <cell r="J747">
            <v>18431</v>
          </cell>
          <cell r="K747" t="str">
            <v>Omar.Alzabbaly@agriserv.sa</v>
          </cell>
          <cell r="L747" t="str">
            <v>0540077675</v>
          </cell>
          <cell r="M747" t="str">
            <v/>
          </cell>
          <cell r="N747" t="str">
            <v>المملكة العربية السعودية</v>
          </cell>
          <cell r="O747" t="str">
            <v>50001506</v>
          </cell>
          <cell r="P747" t="str">
            <v>مساعد طبيب بيطري</v>
          </cell>
          <cell r="Q747" t="str">
            <v>2B الدرجة</v>
          </cell>
          <cell r="R747" t="str">
            <v>Class A</v>
          </cell>
          <cell r="S747" t="str">
            <v/>
          </cell>
          <cell r="T747" t="str">
            <v>عمليات الفروع مكة</v>
          </cell>
          <cell r="U747" t="str">
            <v>عمليات الفروع</v>
          </cell>
          <cell r="V747" t="str">
            <v>الفروع</v>
          </cell>
          <cell r="W747" t="str">
            <v>RAbigh</v>
          </cell>
          <cell r="X747" t="str">
            <v xml:space="preserve">الفرع </v>
          </cell>
          <cell r="Y747">
            <v>45963</v>
          </cell>
          <cell r="Z747">
            <v>0.62</v>
          </cell>
          <cell r="AA747">
            <v>227</v>
          </cell>
          <cell r="AB747" t="str">
            <v>نشط</v>
          </cell>
          <cell r="AC747" t="str">
            <v>400572</v>
          </cell>
          <cell r="AD747" t="str">
            <v>Humood Alharbi</v>
          </cell>
          <cell r="AE747" t="str">
            <v>إعارة</v>
          </cell>
          <cell r="AF747" t="str">
            <v/>
          </cell>
          <cell r="AG747" t="str">
            <v/>
          </cell>
          <cell r="AH747" t="str">
            <v/>
          </cell>
          <cell r="AI747" t="str">
            <v/>
          </cell>
          <cell r="AJ747">
            <v>1</v>
          </cell>
          <cell r="AK747">
            <v>0</v>
          </cell>
          <cell r="AL747">
            <v>0</v>
          </cell>
          <cell r="AM747">
            <v>1</v>
          </cell>
          <cell r="AN747" t="str">
            <v/>
          </cell>
          <cell r="AO747" t="str">
            <v>عمليات الفروع</v>
          </cell>
          <cell r="AP747" t="str">
            <v>Al Rajhi Bank</v>
          </cell>
          <cell r="AQ747" t="str">
            <v>SA2980000377608010068661</v>
          </cell>
          <cell r="AR747">
            <v>14445</v>
          </cell>
          <cell r="AS747" t="str">
            <v/>
          </cell>
          <cell r="AT747">
            <v>100</v>
          </cell>
          <cell r="AU747">
            <v>3611.25</v>
          </cell>
          <cell r="AV747" t="str">
            <v/>
          </cell>
        </row>
        <row r="748">
          <cell r="A748">
            <v>400574</v>
          </cell>
          <cell r="B748" t="str">
            <v>1003067830</v>
          </cell>
          <cell r="C748" t="str">
            <v>السيد</v>
          </cell>
          <cell r="D748" t="str">
            <v>Mohammed Abdulrahim Qasem</v>
          </cell>
          <cell r="E748" t="str">
            <v>محمد عبدالرحيم  قاسم</v>
          </cell>
          <cell r="F748" t="str">
            <v>Male</v>
          </cell>
          <cell r="G748" t="str">
            <v/>
          </cell>
          <cell r="H748">
            <v>28734</v>
          </cell>
          <cell r="I748">
            <v>48</v>
          </cell>
          <cell r="J748">
            <v>17456</v>
          </cell>
          <cell r="K748" t="str">
            <v>Mohammed.Qasem@agriserv.sa</v>
          </cell>
          <cell r="L748" t="str">
            <v>0500605100</v>
          </cell>
          <cell r="M748" t="str">
            <v/>
          </cell>
          <cell r="N748" t="str">
            <v>المملكة العربية السعودية</v>
          </cell>
          <cell r="O748" t="str">
            <v>50001495</v>
          </cell>
          <cell r="P748" t="str">
            <v>أخصائي مختبرات</v>
          </cell>
          <cell r="Q748" t="str">
            <v>الدرجة 4</v>
          </cell>
          <cell r="R748" t="str">
            <v>Class A</v>
          </cell>
          <cell r="S748" t="str">
            <v/>
          </cell>
          <cell r="T748" t="str">
            <v>عمليات الفروع  المدينة</v>
          </cell>
          <cell r="U748" t="str">
            <v>عمليات الفروع</v>
          </cell>
          <cell r="V748" t="str">
            <v>الفروع</v>
          </cell>
          <cell r="W748" t="str">
            <v>Al-Madinah</v>
          </cell>
          <cell r="X748" t="str">
            <v xml:space="preserve">الفرع </v>
          </cell>
          <cell r="Y748">
            <v>45963</v>
          </cell>
          <cell r="Z748">
            <v>0.62</v>
          </cell>
          <cell r="AA748">
            <v>227</v>
          </cell>
          <cell r="AB748" t="str">
            <v>نشط</v>
          </cell>
          <cell r="AC748" t="str">
            <v>100063</v>
          </cell>
          <cell r="AD748" t="str">
            <v>Hazza Alruwaili</v>
          </cell>
          <cell r="AE748" t="str">
            <v>إعارة</v>
          </cell>
          <cell r="AF748" t="str">
            <v/>
          </cell>
          <cell r="AG748" t="str">
            <v/>
          </cell>
          <cell r="AH748" t="str">
            <v/>
          </cell>
          <cell r="AI748" t="str">
            <v/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 t="str">
            <v/>
          </cell>
          <cell r="AO748" t="str">
            <v>عمليات الفروع</v>
          </cell>
          <cell r="AP748" t="str">
            <v>Saudi National Bank</v>
          </cell>
          <cell r="AQ748" t="str">
            <v>SA5710000033000000029400</v>
          </cell>
          <cell r="AR748">
            <v>12095</v>
          </cell>
          <cell r="AS748" t="str">
            <v/>
          </cell>
          <cell r="AT748">
            <v>509.5</v>
          </cell>
          <cell r="AU748">
            <v>3023.75</v>
          </cell>
          <cell r="AV748" t="str">
            <v/>
          </cell>
        </row>
        <row r="749">
          <cell r="A749">
            <v>400575</v>
          </cell>
          <cell r="B749" t="str">
            <v>1011602214</v>
          </cell>
          <cell r="C749" t="str">
            <v>السيد</v>
          </cell>
          <cell r="D749" t="str">
            <v>Fahad Eid Alharbi</v>
          </cell>
          <cell r="E749" t="str">
            <v>فهد عيد  الحربي</v>
          </cell>
          <cell r="F749" t="str">
            <v>Male</v>
          </cell>
          <cell r="G749" t="str">
            <v/>
          </cell>
          <cell r="H749">
            <v>30492</v>
          </cell>
          <cell r="I749">
            <v>43</v>
          </cell>
          <cell r="J749">
            <v>15698</v>
          </cell>
          <cell r="K749" t="str">
            <v>Fahad.Alharbi@agriserv.sa</v>
          </cell>
          <cell r="L749" t="str">
            <v>0556131954</v>
          </cell>
          <cell r="M749" t="str">
            <v/>
          </cell>
          <cell r="N749" t="str">
            <v>المملكة العربية السعودية</v>
          </cell>
          <cell r="O749" t="str">
            <v>50001512</v>
          </cell>
          <cell r="P749" t="str">
            <v>طبيب بيطري</v>
          </cell>
          <cell r="Q749" t="str">
            <v>الدرجة 4</v>
          </cell>
          <cell r="R749" t="str">
            <v>Class A</v>
          </cell>
          <cell r="S749" t="str">
            <v/>
          </cell>
          <cell r="T749" t="str">
            <v>عمليات الفروع  المدينة</v>
          </cell>
          <cell r="U749" t="str">
            <v>عمليات الفروع</v>
          </cell>
          <cell r="V749" t="str">
            <v>الفروع</v>
          </cell>
          <cell r="W749" t="str">
            <v>Yanbu al-BaHr</v>
          </cell>
          <cell r="X749" t="str">
            <v xml:space="preserve">الفرع </v>
          </cell>
          <cell r="Y749">
            <v>45963</v>
          </cell>
          <cell r="Z749">
            <v>0.62</v>
          </cell>
          <cell r="AA749">
            <v>227</v>
          </cell>
          <cell r="AB749" t="str">
            <v>نشط</v>
          </cell>
          <cell r="AC749" t="str">
            <v>400574</v>
          </cell>
          <cell r="AD749" t="str">
            <v>Mohammed Qasem</v>
          </cell>
          <cell r="AE749" t="str">
            <v>إعارة</v>
          </cell>
          <cell r="AF749" t="str">
            <v/>
          </cell>
          <cell r="AG749" t="str">
            <v/>
          </cell>
          <cell r="AH749" t="str">
            <v/>
          </cell>
          <cell r="AI749" t="str">
            <v/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 t="str">
            <v/>
          </cell>
          <cell r="AO749" t="str">
            <v>عمليات الفروع</v>
          </cell>
          <cell r="AP749" t="str">
            <v>Al Rajhi Bank</v>
          </cell>
          <cell r="AQ749" t="str">
            <v>SA4580000230608010083774</v>
          </cell>
          <cell r="AR749">
            <v>17425</v>
          </cell>
          <cell r="AS749" t="str">
            <v/>
          </cell>
          <cell r="AT749">
            <v>842.5</v>
          </cell>
          <cell r="AU749">
            <v>4356.25</v>
          </cell>
          <cell r="AV749" t="str">
            <v/>
          </cell>
        </row>
        <row r="750">
          <cell r="A750">
            <v>400576</v>
          </cell>
          <cell r="B750" t="str">
            <v>1047615230</v>
          </cell>
          <cell r="C750" t="str">
            <v>السيد</v>
          </cell>
          <cell r="D750" t="str">
            <v>Massad Attaallah AlHubaishi</v>
          </cell>
          <cell r="E750" t="str">
            <v>مسعد عطاءالله  الحبيشي</v>
          </cell>
          <cell r="F750" t="str">
            <v>Male</v>
          </cell>
          <cell r="G750" t="str">
            <v/>
          </cell>
          <cell r="H750">
            <v>31038</v>
          </cell>
          <cell r="I750">
            <v>41</v>
          </cell>
          <cell r="J750">
            <v>15152</v>
          </cell>
          <cell r="K750" t="str">
            <v>Massad.AlHubaishi@agriserv.sa</v>
          </cell>
          <cell r="L750" t="str">
            <v>0544510004</v>
          </cell>
          <cell r="M750" t="str">
            <v/>
          </cell>
          <cell r="N750" t="str">
            <v>المملكة العربية السعودية</v>
          </cell>
          <cell r="O750" t="str">
            <v>50001493</v>
          </cell>
          <cell r="P750" t="str">
            <v>طبيب بيطري</v>
          </cell>
          <cell r="Q750" t="str">
            <v>الدرجة 4</v>
          </cell>
          <cell r="R750" t="str">
            <v>Class A</v>
          </cell>
          <cell r="S750" t="str">
            <v/>
          </cell>
          <cell r="T750" t="str">
            <v>عمليات الفروع  المدينة</v>
          </cell>
          <cell r="U750" t="str">
            <v>عمليات الفروع</v>
          </cell>
          <cell r="V750" t="str">
            <v>الفروع</v>
          </cell>
          <cell r="W750" t="str">
            <v>Al-Ais</v>
          </cell>
          <cell r="X750" t="str">
            <v xml:space="preserve">الفرع </v>
          </cell>
          <cell r="Y750">
            <v>45963</v>
          </cell>
          <cell r="Z750">
            <v>0.62</v>
          </cell>
          <cell r="AA750">
            <v>227</v>
          </cell>
          <cell r="AB750" t="str">
            <v>نشط</v>
          </cell>
          <cell r="AC750" t="str">
            <v>400574</v>
          </cell>
          <cell r="AD750" t="str">
            <v>Mohammed Qasem</v>
          </cell>
          <cell r="AE750" t="str">
            <v>إعارة</v>
          </cell>
          <cell r="AF750" t="str">
            <v/>
          </cell>
          <cell r="AG750" t="str">
            <v/>
          </cell>
          <cell r="AH750" t="str">
            <v/>
          </cell>
          <cell r="AI750" t="str">
            <v/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 t="str">
            <v/>
          </cell>
          <cell r="AO750" t="str">
            <v>عمليات الفروع</v>
          </cell>
          <cell r="AP750" t="str">
            <v>Al Rajhi Bank</v>
          </cell>
          <cell r="AQ750" t="str">
            <v>SA4480000394608010034076</v>
          </cell>
          <cell r="AR750">
            <v>15375</v>
          </cell>
          <cell r="AS750" t="str">
            <v/>
          </cell>
          <cell r="AT750">
            <v>837.5</v>
          </cell>
          <cell r="AU750">
            <v>3843.75</v>
          </cell>
          <cell r="AV750" t="str">
            <v/>
          </cell>
        </row>
        <row r="751">
          <cell r="A751">
            <v>400577</v>
          </cell>
          <cell r="B751" t="str">
            <v>1087859342</v>
          </cell>
          <cell r="C751" t="str">
            <v>السيد</v>
          </cell>
          <cell r="D751" t="str">
            <v>Omer Mohammed Alshaya</v>
          </cell>
          <cell r="E751" t="str">
            <v>عمر محمد  الشايع</v>
          </cell>
          <cell r="F751" t="str">
            <v>Male</v>
          </cell>
          <cell r="G751" t="str">
            <v/>
          </cell>
          <cell r="H751">
            <v>32773</v>
          </cell>
          <cell r="I751">
            <v>37</v>
          </cell>
          <cell r="J751">
            <v>13417</v>
          </cell>
          <cell r="K751" t="str">
            <v>Omer.ALSHAUH@agriserv.sa</v>
          </cell>
          <cell r="L751" t="str">
            <v>0564215733</v>
          </cell>
          <cell r="M751" t="str">
            <v/>
          </cell>
          <cell r="N751" t="str">
            <v>المملكة العربية السعودية</v>
          </cell>
          <cell r="O751" t="str">
            <v>50001492</v>
          </cell>
          <cell r="P751" t="str">
            <v>طبيب بيطري</v>
          </cell>
          <cell r="Q751" t="str">
            <v>الدرجة 4</v>
          </cell>
          <cell r="R751" t="str">
            <v>Class A</v>
          </cell>
          <cell r="S751" t="str">
            <v/>
          </cell>
          <cell r="T751" t="str">
            <v>عمليات الفروع  حائل</v>
          </cell>
          <cell r="U751" t="str">
            <v>عمليات الفروع</v>
          </cell>
          <cell r="V751" t="str">
            <v>الفروع</v>
          </cell>
          <cell r="W751" t="str">
            <v>Hail</v>
          </cell>
          <cell r="X751" t="str">
            <v xml:space="preserve">الفرع </v>
          </cell>
          <cell r="Y751">
            <v>45963</v>
          </cell>
          <cell r="Z751">
            <v>0.62</v>
          </cell>
          <cell r="AA751">
            <v>227</v>
          </cell>
          <cell r="AB751" t="str">
            <v>نشط</v>
          </cell>
          <cell r="AC751" t="str">
            <v>400482</v>
          </cell>
          <cell r="AD751" t="str">
            <v>Muath Alhrbi</v>
          </cell>
          <cell r="AE751" t="str">
            <v>إعارة</v>
          </cell>
          <cell r="AF751" t="str">
            <v/>
          </cell>
          <cell r="AG751" t="str">
            <v/>
          </cell>
          <cell r="AH751" t="str">
            <v/>
          </cell>
          <cell r="AI751" t="str">
            <v/>
          </cell>
          <cell r="AJ751">
            <v>1</v>
          </cell>
          <cell r="AK751">
            <v>1</v>
          </cell>
          <cell r="AL751">
            <v>0</v>
          </cell>
          <cell r="AM751">
            <v>0</v>
          </cell>
          <cell r="AN751" t="str">
            <v/>
          </cell>
          <cell r="AO751" t="str">
            <v>عمليات الفروع</v>
          </cell>
          <cell r="AP751" t="str">
            <v>Al Rajhi Bank</v>
          </cell>
          <cell r="AQ751" t="str">
            <v>SA8780000371608010059187</v>
          </cell>
          <cell r="AR751">
            <v>13035</v>
          </cell>
          <cell r="AS751" t="str">
            <v/>
          </cell>
          <cell r="AT751">
            <v>603.5</v>
          </cell>
          <cell r="AU751">
            <v>3258.75</v>
          </cell>
          <cell r="AV751" t="str">
            <v/>
          </cell>
        </row>
        <row r="752">
          <cell r="A752">
            <v>400578</v>
          </cell>
          <cell r="B752" t="str">
            <v>1066156405</v>
          </cell>
          <cell r="C752" t="str">
            <v>السيد</v>
          </cell>
          <cell r="D752" t="str">
            <v>Mohammed Abbas Albuarish</v>
          </cell>
          <cell r="E752" t="str">
            <v>محمد عباس  البوعريش</v>
          </cell>
          <cell r="F752" t="str">
            <v>Male</v>
          </cell>
          <cell r="G752" t="str">
            <v/>
          </cell>
          <cell r="H752">
            <v>32882</v>
          </cell>
          <cell r="I752">
            <v>36</v>
          </cell>
          <cell r="J752">
            <v>13308</v>
          </cell>
          <cell r="K752" t="str">
            <v>Mohammed.Albuarish@agriserv.sa</v>
          </cell>
          <cell r="L752" t="str">
            <v>0548099929</v>
          </cell>
          <cell r="M752" t="str">
            <v/>
          </cell>
          <cell r="N752" t="str">
            <v>المملكة العربية السعودية</v>
          </cell>
          <cell r="O752" t="str">
            <v>50001510</v>
          </cell>
          <cell r="P752" t="str">
            <v>طبيب بيطري</v>
          </cell>
          <cell r="Q752" t="str">
            <v>الدرجة 4</v>
          </cell>
          <cell r="R752" t="str">
            <v>Class A</v>
          </cell>
          <cell r="S752" t="str">
            <v/>
          </cell>
          <cell r="T752" t="str">
            <v>إدارة فروع العمليات – عسير</v>
          </cell>
          <cell r="U752" t="str">
            <v>عمليات الفروع</v>
          </cell>
          <cell r="V752" t="str">
            <v>الفروع</v>
          </cell>
          <cell r="W752" t="str">
            <v>Dhahran Al Janub</v>
          </cell>
          <cell r="X752" t="str">
            <v xml:space="preserve">الفرع </v>
          </cell>
          <cell r="Y752">
            <v>45963</v>
          </cell>
          <cell r="Z752">
            <v>0.62</v>
          </cell>
          <cell r="AA752">
            <v>227</v>
          </cell>
          <cell r="AB752" t="str">
            <v>نشط</v>
          </cell>
          <cell r="AC752" t="str">
            <v>400579</v>
          </cell>
          <cell r="AD752" t="str">
            <v>Mahdi almakinah</v>
          </cell>
          <cell r="AE752" t="str">
            <v>إعارة</v>
          </cell>
          <cell r="AF752" t="str">
            <v/>
          </cell>
          <cell r="AG752" t="str">
            <v/>
          </cell>
          <cell r="AH752" t="str">
            <v/>
          </cell>
          <cell r="AI752" t="str">
            <v/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 t="str">
            <v/>
          </cell>
          <cell r="AO752" t="str">
            <v>عمليات الفروع</v>
          </cell>
          <cell r="AP752" t="str">
            <v>Bank Al Jazirah</v>
          </cell>
          <cell r="AQ752" t="str">
            <v>SA2160000000025681267001</v>
          </cell>
          <cell r="AR752">
            <v>14995</v>
          </cell>
          <cell r="AS752" t="str">
            <v/>
          </cell>
          <cell r="AT752">
            <v>599.5</v>
          </cell>
          <cell r="AU752">
            <v>3748.75</v>
          </cell>
          <cell r="AV752" t="str">
            <v/>
          </cell>
        </row>
        <row r="753">
          <cell r="A753">
            <v>400579</v>
          </cell>
          <cell r="B753" t="str">
            <v>1085787693</v>
          </cell>
          <cell r="C753" t="str">
            <v>السيد</v>
          </cell>
          <cell r="D753" t="str">
            <v>Mahdi Ahmad almakinah</v>
          </cell>
          <cell r="E753" t="str">
            <v>مهدي احمد  المكينه</v>
          </cell>
          <cell r="F753" t="str">
            <v>Male</v>
          </cell>
          <cell r="G753" t="str">
            <v/>
          </cell>
          <cell r="H753">
            <v>34196</v>
          </cell>
          <cell r="I753">
            <v>33</v>
          </cell>
          <cell r="J753">
            <v>11994</v>
          </cell>
          <cell r="K753" t="str">
            <v>Mahdi.almakinah@agriserv.sa</v>
          </cell>
          <cell r="L753" t="str">
            <v>0541424872</v>
          </cell>
          <cell r="M753" t="str">
            <v/>
          </cell>
          <cell r="N753" t="str">
            <v>المملكة العربية السعودية</v>
          </cell>
          <cell r="O753" t="str">
            <v>50001509</v>
          </cell>
          <cell r="P753" t="str">
            <v>طبيب بيطري</v>
          </cell>
          <cell r="Q753" t="str">
            <v>الدرجة 4</v>
          </cell>
          <cell r="R753" t="str">
            <v>Class A</v>
          </cell>
          <cell r="S753" t="str">
            <v/>
          </cell>
          <cell r="T753" t="str">
            <v>إدارة فروع العمليات – عسير</v>
          </cell>
          <cell r="U753" t="str">
            <v>عمليات الفروع</v>
          </cell>
          <cell r="V753" t="str">
            <v>الفروع</v>
          </cell>
          <cell r="W753" t="str">
            <v>Dhahran Al Janub</v>
          </cell>
          <cell r="X753" t="str">
            <v xml:space="preserve">الفرع </v>
          </cell>
          <cell r="Y753">
            <v>45963</v>
          </cell>
          <cell r="Z753">
            <v>0.62</v>
          </cell>
          <cell r="AA753">
            <v>227</v>
          </cell>
          <cell r="AB753" t="str">
            <v>نشط</v>
          </cell>
          <cell r="AC753" t="str">
            <v>400548</v>
          </cell>
          <cell r="AD753" t="str">
            <v>Abdullah Alshahrani</v>
          </cell>
          <cell r="AE753" t="str">
            <v>إعارة</v>
          </cell>
          <cell r="AF753" t="str">
            <v/>
          </cell>
          <cell r="AG753" t="str">
            <v/>
          </cell>
          <cell r="AH753" t="str">
            <v/>
          </cell>
          <cell r="AI753" t="str">
            <v/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 t="str">
            <v/>
          </cell>
          <cell r="AO753" t="str">
            <v>عمليات الفروع</v>
          </cell>
          <cell r="AP753" t="str">
            <v>Riyad Bank</v>
          </cell>
          <cell r="AQ753" t="str">
            <v>SA4520000003361930519940</v>
          </cell>
          <cell r="AR753">
            <v>9102</v>
          </cell>
          <cell r="AS753" t="str">
            <v/>
          </cell>
          <cell r="AT753">
            <v>410.2</v>
          </cell>
          <cell r="AU753">
            <v>2275.5</v>
          </cell>
          <cell r="AV753" t="str">
            <v/>
          </cell>
        </row>
        <row r="754">
          <cell r="A754">
            <v>400580</v>
          </cell>
          <cell r="B754" t="str">
            <v>1004806228</v>
          </cell>
          <cell r="C754" t="str">
            <v>السيد</v>
          </cell>
          <cell r="D754" t="str">
            <v>Abdulaziz Mohammed Albrahim</v>
          </cell>
          <cell r="E754" t="str">
            <v>عبدالعزيز امحمد  البراهيم</v>
          </cell>
          <cell r="F754" t="str">
            <v>Male</v>
          </cell>
          <cell r="G754" t="str">
            <v/>
          </cell>
          <cell r="H754">
            <v>28879</v>
          </cell>
          <cell r="I754">
            <v>47</v>
          </cell>
          <cell r="J754">
            <v>17311</v>
          </cell>
          <cell r="K754" t="str">
            <v>Abdulaziz.Albrahim@agriserv.sa</v>
          </cell>
          <cell r="L754" t="str">
            <v>0556728429</v>
          </cell>
          <cell r="M754" t="str">
            <v/>
          </cell>
          <cell r="N754" t="str">
            <v>المملكة العربية السعودية</v>
          </cell>
          <cell r="O754" t="str">
            <v>50001508</v>
          </cell>
          <cell r="P754" t="str">
            <v>طبيب بيطري</v>
          </cell>
          <cell r="Q754" t="str">
            <v>الدرجة 4</v>
          </cell>
          <cell r="R754" t="str">
            <v>Class A</v>
          </cell>
          <cell r="S754" t="str">
            <v/>
          </cell>
          <cell r="T754" t="str">
            <v>إدارة فروع العمليات – عسير</v>
          </cell>
          <cell r="U754" t="str">
            <v>عمليات الفروع</v>
          </cell>
          <cell r="V754" t="str">
            <v>الفروع</v>
          </cell>
          <cell r="W754" t="str">
            <v>Dhahran Al Janub</v>
          </cell>
          <cell r="X754" t="str">
            <v xml:space="preserve">الفرع </v>
          </cell>
          <cell r="Y754">
            <v>45963</v>
          </cell>
          <cell r="Z754">
            <v>0.62</v>
          </cell>
          <cell r="AA754">
            <v>227</v>
          </cell>
          <cell r="AB754" t="str">
            <v>نشط</v>
          </cell>
          <cell r="AC754" t="str">
            <v>400522</v>
          </cell>
          <cell r="AD754" t="str">
            <v>Mohammed Asiri</v>
          </cell>
          <cell r="AE754" t="str">
            <v>إعارة</v>
          </cell>
          <cell r="AF754" t="str">
            <v/>
          </cell>
          <cell r="AG754" t="str">
            <v/>
          </cell>
          <cell r="AH754" t="str">
            <v/>
          </cell>
          <cell r="AI754" t="str">
            <v/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 t="str">
            <v/>
          </cell>
          <cell r="AO754" t="str">
            <v>عمليات الفروع</v>
          </cell>
          <cell r="AP754" t="str">
            <v>Riyad Bank</v>
          </cell>
          <cell r="AQ754" t="str">
            <v>SA8020000003180603839940</v>
          </cell>
          <cell r="AR754">
            <v>14445</v>
          </cell>
          <cell r="AS754" t="str">
            <v/>
          </cell>
          <cell r="AT754">
            <v>744.5</v>
          </cell>
          <cell r="AU754">
            <v>3611.25</v>
          </cell>
          <cell r="AV754" t="str">
            <v/>
          </cell>
        </row>
        <row r="755">
          <cell r="A755">
            <v>400581</v>
          </cell>
          <cell r="B755" t="str">
            <v>1087042816</v>
          </cell>
          <cell r="C755" t="str">
            <v>السيد</v>
          </cell>
          <cell r="D755" t="str">
            <v>Saud Khalaf ALomayri</v>
          </cell>
          <cell r="E755" t="str">
            <v>سعود خلف  العميري</v>
          </cell>
          <cell r="F755" t="str">
            <v>Male</v>
          </cell>
          <cell r="G755" t="str">
            <v/>
          </cell>
          <cell r="H755">
            <v>34914</v>
          </cell>
          <cell r="I755">
            <v>31</v>
          </cell>
          <cell r="J755">
            <v>11276</v>
          </cell>
          <cell r="K755" t="str">
            <v>Saud.ALomayri@agriserv.sa</v>
          </cell>
          <cell r="L755" t="str">
            <v>0532660121</v>
          </cell>
          <cell r="M755" t="str">
            <v/>
          </cell>
          <cell r="N755" t="str">
            <v>المملكة العربية السعودية</v>
          </cell>
          <cell r="O755" t="str">
            <v>50001503</v>
          </cell>
          <cell r="P755" t="str">
            <v>طبيب بيطري</v>
          </cell>
          <cell r="Q755" t="str">
            <v>الدرجة 4</v>
          </cell>
          <cell r="R755" t="str">
            <v>Class A</v>
          </cell>
          <cell r="S755" t="str">
            <v/>
          </cell>
          <cell r="T755" t="str">
            <v>إدارة فروع العمليات – عسير</v>
          </cell>
          <cell r="U755" t="str">
            <v>عمليات الفروع</v>
          </cell>
          <cell r="V755" t="str">
            <v>الفروع</v>
          </cell>
          <cell r="W755" t="str">
            <v>Balgarn</v>
          </cell>
          <cell r="X755" t="str">
            <v xml:space="preserve">الفرع </v>
          </cell>
          <cell r="Y755">
            <v>45963</v>
          </cell>
          <cell r="Z755">
            <v>0.62</v>
          </cell>
          <cell r="AA755">
            <v>227</v>
          </cell>
          <cell r="AB755" t="str">
            <v>نشط</v>
          </cell>
          <cell r="AC755" t="str">
            <v>400548</v>
          </cell>
          <cell r="AD755" t="str">
            <v>Abdullah Alshahrani</v>
          </cell>
          <cell r="AE755" t="str">
            <v>إعارة</v>
          </cell>
          <cell r="AF755" t="str">
            <v/>
          </cell>
          <cell r="AG755" t="str">
            <v/>
          </cell>
          <cell r="AH755" t="str">
            <v/>
          </cell>
          <cell r="AI755" t="str">
            <v/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 t="str">
            <v/>
          </cell>
          <cell r="AO755" t="str">
            <v>عمليات الفروع</v>
          </cell>
          <cell r="AP755" t="str">
            <v>Al Rajhi Bank</v>
          </cell>
          <cell r="AQ755" t="str">
            <v>SA2080000599608010051321</v>
          </cell>
          <cell r="AR755">
            <v>9280</v>
          </cell>
          <cell r="AS755" t="str">
            <v/>
          </cell>
          <cell r="AT755">
            <v>428</v>
          </cell>
          <cell r="AU755">
            <v>2320</v>
          </cell>
          <cell r="AV755" t="str">
            <v/>
          </cell>
        </row>
        <row r="756">
          <cell r="A756">
            <v>400582</v>
          </cell>
          <cell r="B756" t="str">
            <v>1096240153</v>
          </cell>
          <cell r="C756" t="str">
            <v>السيد</v>
          </cell>
          <cell r="D756" t="str">
            <v>Faris Saud Alrashidi</v>
          </cell>
          <cell r="E756" t="str">
            <v>فارس سعود  الرشيدي</v>
          </cell>
          <cell r="F756" t="str">
            <v>Male</v>
          </cell>
          <cell r="G756" t="str">
            <v/>
          </cell>
          <cell r="H756">
            <v>34921</v>
          </cell>
          <cell r="I756">
            <v>31</v>
          </cell>
          <cell r="J756">
            <v>11269</v>
          </cell>
          <cell r="K756" t="str">
            <v>Faris.Alrashidi@agriserv.sa</v>
          </cell>
          <cell r="L756" t="str">
            <v>0550946828</v>
          </cell>
          <cell r="M756" t="str">
            <v/>
          </cell>
          <cell r="N756" t="str">
            <v>المملكة العربية السعودية</v>
          </cell>
          <cell r="O756" t="str">
            <v>50001502</v>
          </cell>
          <cell r="P756" t="str">
            <v>طبيب بيطري</v>
          </cell>
          <cell r="Q756" t="str">
            <v>الدرجة 4</v>
          </cell>
          <cell r="R756" t="str">
            <v>Class A</v>
          </cell>
          <cell r="S756" t="str">
            <v/>
          </cell>
          <cell r="T756" t="str">
            <v>إدارة فروع العمليات – عسير</v>
          </cell>
          <cell r="U756" t="str">
            <v>عمليات الفروع</v>
          </cell>
          <cell r="V756" t="str">
            <v>الفروع</v>
          </cell>
          <cell r="W756" t="str">
            <v>Balgarn</v>
          </cell>
          <cell r="X756" t="str">
            <v xml:space="preserve">الفرع </v>
          </cell>
          <cell r="Y756">
            <v>45963</v>
          </cell>
          <cell r="Z756">
            <v>0.62</v>
          </cell>
          <cell r="AA756">
            <v>227</v>
          </cell>
          <cell r="AB756" t="str">
            <v>نشط</v>
          </cell>
          <cell r="AC756" t="str">
            <v>400581</v>
          </cell>
          <cell r="AD756" t="str">
            <v>Saud ALomayri</v>
          </cell>
          <cell r="AE756" t="str">
            <v>إعارة</v>
          </cell>
          <cell r="AF756" t="str">
            <v/>
          </cell>
          <cell r="AG756" t="str">
            <v/>
          </cell>
          <cell r="AH756" t="str">
            <v/>
          </cell>
          <cell r="AI756" t="str">
            <v/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 t="str">
            <v/>
          </cell>
          <cell r="AO756" t="str">
            <v>عمليات الفروع</v>
          </cell>
          <cell r="AP756" t="str">
            <v>Al Rajhi Bank</v>
          </cell>
          <cell r="AQ756" t="str">
            <v>SA1080000275608010130266</v>
          </cell>
          <cell r="AR756">
            <v>9191</v>
          </cell>
          <cell r="AS756" t="str">
            <v/>
          </cell>
          <cell r="AT756">
            <v>419.1</v>
          </cell>
          <cell r="AU756">
            <v>2297.75</v>
          </cell>
          <cell r="AV756" t="str">
            <v/>
          </cell>
        </row>
        <row r="757">
          <cell r="A757">
            <v>400583</v>
          </cell>
          <cell r="B757" t="str">
            <v>1130370917</v>
          </cell>
          <cell r="C757" t="str">
            <v>السيد</v>
          </cell>
          <cell r="D757" t="str">
            <v>Raef Majed Zagan</v>
          </cell>
          <cell r="E757" t="str">
            <v>رائف ماجد  زعقان</v>
          </cell>
          <cell r="F757" t="str">
            <v>Male</v>
          </cell>
          <cell r="G757" t="str">
            <v/>
          </cell>
          <cell r="H757">
            <v>37770</v>
          </cell>
          <cell r="I757">
            <v>23</v>
          </cell>
          <cell r="J757">
            <v>8420</v>
          </cell>
          <cell r="K757" t="str">
            <v>Raef.Zagan@agriserv.sa</v>
          </cell>
          <cell r="L757" t="str">
            <v>0538840999</v>
          </cell>
          <cell r="M757" t="str">
            <v/>
          </cell>
          <cell r="N757" t="str">
            <v>المملكة العربية السعودية</v>
          </cell>
          <cell r="O757" t="str">
            <v>50001500</v>
          </cell>
          <cell r="P757" t="str">
            <v>مساعد طبيب بيطري</v>
          </cell>
          <cell r="Q757" t="str">
            <v>2B الدرجة</v>
          </cell>
          <cell r="R757" t="str">
            <v>Class A</v>
          </cell>
          <cell r="S757" t="str">
            <v/>
          </cell>
          <cell r="T757" t="str">
            <v>إدارة فروع العمليات – عسير</v>
          </cell>
          <cell r="U757" t="str">
            <v>عمليات الفروع</v>
          </cell>
          <cell r="V757" t="str">
            <v>الفروع</v>
          </cell>
          <cell r="W757" t="str">
            <v>An-Nimas[Namas]</v>
          </cell>
          <cell r="X757" t="str">
            <v xml:space="preserve">الفرع </v>
          </cell>
          <cell r="Y757">
            <v>45963</v>
          </cell>
          <cell r="Z757">
            <v>0.62</v>
          </cell>
          <cell r="AA757">
            <v>227</v>
          </cell>
          <cell r="AB757" t="str">
            <v>غير نشط</v>
          </cell>
          <cell r="AC757" t="str">
            <v>100036</v>
          </cell>
          <cell r="AD757" t="str">
            <v>Ibrahim Alkhuzam</v>
          </cell>
          <cell r="AE757" t="str">
            <v>إعارة</v>
          </cell>
          <cell r="AF757">
            <v>45963</v>
          </cell>
          <cell r="AG757" t="str">
            <v/>
          </cell>
          <cell r="AH757" t="str">
            <v/>
          </cell>
          <cell r="AI757" t="str">
            <v/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 t="str">
            <v/>
          </cell>
          <cell r="AO757" t="str">
            <v>Operation Department</v>
          </cell>
          <cell r="AP757" t="str">
            <v>Al Rajhi Bank</v>
          </cell>
          <cell r="AQ757" t="str">
            <v>SA8580000603608010100585</v>
          </cell>
          <cell r="AR757">
            <v>5559</v>
          </cell>
          <cell r="AS757" t="str">
            <v/>
          </cell>
          <cell r="AT757">
            <v>55.9</v>
          </cell>
          <cell r="AU757">
            <v>1389.75</v>
          </cell>
          <cell r="AV757" t="str">
            <v/>
          </cell>
        </row>
        <row r="758">
          <cell r="A758">
            <v>400584</v>
          </cell>
          <cell r="B758" t="str">
            <v>1006073314</v>
          </cell>
          <cell r="C758" t="str">
            <v>السيد</v>
          </cell>
          <cell r="D758" t="str">
            <v>Muhmmad Mansur Alasmari</v>
          </cell>
          <cell r="E758" t="str">
            <v>محمد منصور  الاسمري</v>
          </cell>
          <cell r="F758" t="str">
            <v>Male</v>
          </cell>
          <cell r="G758" t="str">
            <v/>
          </cell>
          <cell r="H758">
            <v>30685</v>
          </cell>
          <cell r="I758">
            <v>42</v>
          </cell>
          <cell r="J758">
            <v>15505</v>
          </cell>
          <cell r="K758" t="str">
            <v>Muhmmad.Alasmari@agriserv.sa</v>
          </cell>
          <cell r="L758" t="str">
            <v>0503088002</v>
          </cell>
          <cell r="M758" t="str">
            <v/>
          </cell>
          <cell r="N758" t="str">
            <v>المملكة العربية السعودية</v>
          </cell>
          <cell r="O758" t="str">
            <v>50001499</v>
          </cell>
          <cell r="P758" t="str">
            <v>مساعد طبيب بيطري</v>
          </cell>
          <cell r="Q758" t="str">
            <v>2B الدرجة</v>
          </cell>
          <cell r="R758" t="str">
            <v>Class A</v>
          </cell>
          <cell r="S758" t="str">
            <v/>
          </cell>
          <cell r="T758" t="str">
            <v>إدارة فروع العمليات – عسير</v>
          </cell>
          <cell r="U758" t="str">
            <v>عمليات الفروع</v>
          </cell>
          <cell r="V758" t="str">
            <v>الفروع</v>
          </cell>
          <cell r="W758" t="str">
            <v>An-Nimas[Namas]</v>
          </cell>
          <cell r="X758" t="str">
            <v xml:space="preserve">الفرع </v>
          </cell>
          <cell r="Y758">
            <v>45963</v>
          </cell>
          <cell r="Z758">
            <v>0.62</v>
          </cell>
          <cell r="AA758">
            <v>227</v>
          </cell>
          <cell r="AB758" t="str">
            <v>نشط</v>
          </cell>
          <cell r="AC758" t="str">
            <v>400548</v>
          </cell>
          <cell r="AD758" t="str">
            <v>Abdullah Alshahrani</v>
          </cell>
          <cell r="AE758" t="str">
            <v>إعارة</v>
          </cell>
          <cell r="AF758" t="str">
            <v/>
          </cell>
          <cell r="AG758" t="str">
            <v/>
          </cell>
          <cell r="AH758" t="str">
            <v/>
          </cell>
          <cell r="AI758" t="str">
            <v/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 t="str">
            <v/>
          </cell>
          <cell r="AO758" t="str">
            <v>عمليات الفروع</v>
          </cell>
          <cell r="AP758" t="str">
            <v>Al Rajhi Bank</v>
          </cell>
          <cell r="AQ758" t="str">
            <v>SA5680000210608010172167</v>
          </cell>
          <cell r="AR758">
            <v>14865</v>
          </cell>
          <cell r="AS758" t="str">
            <v/>
          </cell>
          <cell r="AT758">
            <v>100</v>
          </cell>
          <cell r="AU758">
            <v>3716.25</v>
          </cell>
          <cell r="AV758" t="str">
            <v/>
          </cell>
        </row>
        <row r="759">
          <cell r="A759">
            <v>400585</v>
          </cell>
          <cell r="B759" t="str">
            <v>1104197775</v>
          </cell>
          <cell r="C759" t="str">
            <v>السيد</v>
          </cell>
          <cell r="D759" t="str">
            <v>Nawaf Mohammad Alsubhi</v>
          </cell>
          <cell r="E759" t="str">
            <v>نواف محمد  الصبحي</v>
          </cell>
          <cell r="F759" t="str">
            <v>Male</v>
          </cell>
          <cell r="G759" t="str">
            <v/>
          </cell>
          <cell r="H759">
            <v>35635</v>
          </cell>
          <cell r="I759">
            <v>29</v>
          </cell>
          <cell r="J759">
            <v>10555</v>
          </cell>
          <cell r="K759" t="str">
            <v>Nawaf.Alsubhi@agriserv.sa</v>
          </cell>
          <cell r="L759" t="str">
            <v>0538507659</v>
          </cell>
          <cell r="M759" t="str">
            <v/>
          </cell>
          <cell r="N759" t="str">
            <v>المملكة العربية السعودية</v>
          </cell>
          <cell r="O759" t="str">
            <v>50001504</v>
          </cell>
          <cell r="P759" t="str">
            <v>مساعد طبيب بيطري</v>
          </cell>
          <cell r="Q759" t="str">
            <v>2B الدرجة</v>
          </cell>
          <cell r="R759" t="str">
            <v>Class A</v>
          </cell>
          <cell r="S759" t="str">
            <v/>
          </cell>
          <cell r="T759" t="str">
            <v>إدارة فروع العمليات – عسير</v>
          </cell>
          <cell r="U759" t="str">
            <v>عمليات الفروع</v>
          </cell>
          <cell r="V759" t="str">
            <v>الفروع</v>
          </cell>
          <cell r="W759" t="str">
            <v>Bani Amr</v>
          </cell>
          <cell r="X759" t="str">
            <v xml:space="preserve">الفرع </v>
          </cell>
          <cell r="Y759">
            <v>45963</v>
          </cell>
          <cell r="Z759">
            <v>0.62</v>
          </cell>
          <cell r="AA759">
            <v>227</v>
          </cell>
          <cell r="AB759" t="str">
            <v>نشط</v>
          </cell>
          <cell r="AC759" t="str">
            <v>400548</v>
          </cell>
          <cell r="AD759" t="str">
            <v>Abdullah Alshahrani</v>
          </cell>
          <cell r="AE759" t="str">
            <v>إعارة</v>
          </cell>
          <cell r="AF759" t="str">
            <v/>
          </cell>
          <cell r="AG759" t="str">
            <v/>
          </cell>
          <cell r="AH759" t="str">
            <v/>
          </cell>
          <cell r="AI759" t="str">
            <v/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 t="str">
            <v/>
          </cell>
          <cell r="AO759" t="str">
            <v>عمليات الفروع</v>
          </cell>
          <cell r="AP759" t="str">
            <v>Al Rajhi Bank</v>
          </cell>
          <cell r="AQ759" t="str">
            <v>SA4880000230608016055719</v>
          </cell>
          <cell r="AR759">
            <v>6189</v>
          </cell>
          <cell r="AS759" t="str">
            <v/>
          </cell>
          <cell r="AT759">
            <v>118.9</v>
          </cell>
          <cell r="AU759">
            <v>1547.25</v>
          </cell>
          <cell r="AV759" t="str">
            <v/>
          </cell>
        </row>
        <row r="760">
          <cell r="A760">
            <v>400586</v>
          </cell>
          <cell r="B760" t="str">
            <v>1079421630</v>
          </cell>
          <cell r="C760" t="str">
            <v>السيد</v>
          </cell>
          <cell r="D760" t="str">
            <v>Abdulaziz Ali Albader</v>
          </cell>
          <cell r="E760" t="str">
            <v>عبدالعزيز علي  البدر</v>
          </cell>
          <cell r="F760" t="str">
            <v>Male</v>
          </cell>
          <cell r="G760" t="str">
            <v/>
          </cell>
          <cell r="H760">
            <v>34287</v>
          </cell>
          <cell r="I760">
            <v>33</v>
          </cell>
          <cell r="J760">
            <v>11903</v>
          </cell>
          <cell r="K760" t="str">
            <v>Abdulaziz.Albader@agriserv.sa</v>
          </cell>
          <cell r="L760" t="str">
            <v>0567423331</v>
          </cell>
          <cell r="M760" t="str">
            <v/>
          </cell>
          <cell r="N760" t="str">
            <v>المملكة العربية السعودية</v>
          </cell>
          <cell r="O760" t="str">
            <v>50001507</v>
          </cell>
          <cell r="P760" t="str">
            <v>مساعد طبيب بيطري</v>
          </cell>
          <cell r="Q760" t="str">
            <v>2B الدرجة</v>
          </cell>
          <cell r="R760" t="str">
            <v>Class A</v>
          </cell>
          <cell r="S760" t="str">
            <v/>
          </cell>
          <cell r="T760" t="str">
            <v>إدارة فروع العمليات – عسير</v>
          </cell>
          <cell r="U760" t="str">
            <v>عمليات الفروع</v>
          </cell>
          <cell r="V760" t="str">
            <v>الفروع</v>
          </cell>
          <cell r="W760" t="str">
            <v>Rijal Almaa</v>
          </cell>
          <cell r="X760" t="str">
            <v xml:space="preserve">الفرع </v>
          </cell>
          <cell r="Y760">
            <v>45963</v>
          </cell>
          <cell r="Z760">
            <v>0.62</v>
          </cell>
          <cell r="AA760">
            <v>227</v>
          </cell>
          <cell r="AB760" t="str">
            <v>نشط</v>
          </cell>
          <cell r="AC760" t="str">
            <v>400548</v>
          </cell>
          <cell r="AD760" t="str">
            <v>Abdullah Alshahrani</v>
          </cell>
          <cell r="AE760" t="str">
            <v>إعارة</v>
          </cell>
          <cell r="AF760" t="str">
            <v/>
          </cell>
          <cell r="AG760" t="str">
            <v/>
          </cell>
          <cell r="AH760" t="str">
            <v/>
          </cell>
          <cell r="AI760" t="str">
            <v/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 t="str">
            <v/>
          </cell>
          <cell r="AO760" t="str">
            <v>عمليات الفروع</v>
          </cell>
          <cell r="AP760" t="str">
            <v>Riyad Bank</v>
          </cell>
          <cell r="AQ760" t="str">
            <v>SA4520000003362695849940</v>
          </cell>
          <cell r="AR760">
            <v>6013</v>
          </cell>
          <cell r="AS760" t="str">
            <v/>
          </cell>
          <cell r="AT760">
            <v>101.3</v>
          </cell>
          <cell r="AU760">
            <v>1503.25</v>
          </cell>
          <cell r="AV760" t="str">
            <v/>
          </cell>
        </row>
        <row r="761">
          <cell r="A761">
            <v>400587</v>
          </cell>
          <cell r="B761" t="str">
            <v>1114490806</v>
          </cell>
          <cell r="C761" t="str">
            <v>السيد</v>
          </cell>
          <cell r="D761" t="str">
            <v>Alridha Ali Alsamail</v>
          </cell>
          <cell r="E761" t="str">
            <v>الرضا علي  السماعيل</v>
          </cell>
          <cell r="F761" t="str">
            <v>Male</v>
          </cell>
          <cell r="G761" t="str">
            <v/>
          </cell>
          <cell r="H761">
            <v>37246</v>
          </cell>
          <cell r="I761">
            <v>24</v>
          </cell>
          <cell r="J761">
            <v>8944</v>
          </cell>
          <cell r="K761" t="str">
            <v>Alradda.alsamaeil@agriserv.sa</v>
          </cell>
          <cell r="L761" t="str">
            <v>0543825642</v>
          </cell>
          <cell r="M761" t="str">
            <v/>
          </cell>
          <cell r="N761" t="str">
            <v>المملكة العربية السعودية</v>
          </cell>
          <cell r="O761" t="str">
            <v>50001494</v>
          </cell>
          <cell r="P761" t="str">
            <v>مساعد طبيب بيطري</v>
          </cell>
          <cell r="Q761" t="str">
            <v>2B الدرجة</v>
          </cell>
          <cell r="R761" t="str">
            <v>Class A</v>
          </cell>
          <cell r="S761" t="str">
            <v/>
          </cell>
          <cell r="T761" t="str">
            <v>إدارة فروع العمليات – عسير</v>
          </cell>
          <cell r="U761" t="str">
            <v>عمليات الفروع</v>
          </cell>
          <cell r="V761" t="str">
            <v>الفروع</v>
          </cell>
          <cell r="W761" t="str">
            <v>Al-Majaridah</v>
          </cell>
          <cell r="X761" t="str">
            <v xml:space="preserve">الفرع </v>
          </cell>
          <cell r="Y761">
            <v>45963</v>
          </cell>
          <cell r="Z761">
            <v>0.62</v>
          </cell>
          <cell r="AA761">
            <v>227</v>
          </cell>
          <cell r="AB761" t="str">
            <v>نشط</v>
          </cell>
          <cell r="AC761" t="str">
            <v>400548</v>
          </cell>
          <cell r="AD761" t="str">
            <v>Abdullah Alshahrani</v>
          </cell>
          <cell r="AE761" t="str">
            <v>إعارة</v>
          </cell>
          <cell r="AF761" t="str">
            <v/>
          </cell>
          <cell r="AG761" t="str">
            <v/>
          </cell>
          <cell r="AH761" t="str">
            <v/>
          </cell>
          <cell r="AI761" t="str">
            <v/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 t="str">
            <v/>
          </cell>
          <cell r="AO761" t="str">
            <v>عمليات الفروع</v>
          </cell>
          <cell r="AP761" t="str">
            <v>Saudi National Bank</v>
          </cell>
          <cell r="AQ761" t="str">
            <v>SA1710000011100150100400</v>
          </cell>
          <cell r="AR761">
            <v>5954</v>
          </cell>
          <cell r="AS761" t="str">
            <v/>
          </cell>
          <cell r="AT761">
            <v>95.4</v>
          </cell>
          <cell r="AU761">
            <v>1488.5</v>
          </cell>
          <cell r="AV761" t="str">
            <v/>
          </cell>
        </row>
        <row r="762">
          <cell r="A762">
            <v>400588</v>
          </cell>
          <cell r="B762" t="str">
            <v>1045259379</v>
          </cell>
          <cell r="C762" t="str">
            <v>السيد</v>
          </cell>
          <cell r="D762" t="str">
            <v>Nasser Ali Mubarki</v>
          </cell>
          <cell r="E762" t="str">
            <v>ناصر علي  مباركي</v>
          </cell>
          <cell r="F762" t="str">
            <v>Male</v>
          </cell>
          <cell r="G762" t="str">
            <v/>
          </cell>
          <cell r="H762">
            <v>29120</v>
          </cell>
          <cell r="I762">
            <v>47</v>
          </cell>
          <cell r="J762">
            <v>17070</v>
          </cell>
          <cell r="K762" t="str">
            <v>Nasser.Mubarki@agriserv.sa</v>
          </cell>
          <cell r="L762" t="str">
            <v>0553518200</v>
          </cell>
          <cell r="M762" t="str">
            <v/>
          </cell>
          <cell r="N762" t="str">
            <v>المملكة العربية السعودية</v>
          </cell>
          <cell r="O762" t="str">
            <v>50001485</v>
          </cell>
          <cell r="P762" t="str">
            <v>طبيب بيطري</v>
          </cell>
          <cell r="Q762" t="str">
            <v>الدرجة 4</v>
          </cell>
          <cell r="R762" t="str">
            <v>Class A</v>
          </cell>
          <cell r="S762" t="str">
            <v/>
          </cell>
          <cell r="T762" t="str">
            <v>عمليات الفروع  جيزان</v>
          </cell>
          <cell r="U762" t="str">
            <v>عمليات الفروع</v>
          </cell>
          <cell r="V762" t="str">
            <v>الفروع</v>
          </cell>
          <cell r="W762" t="str">
            <v>Abu arish</v>
          </cell>
          <cell r="X762" t="str">
            <v xml:space="preserve">الفرع </v>
          </cell>
          <cell r="Y762">
            <v>45963</v>
          </cell>
          <cell r="Z762">
            <v>0.62</v>
          </cell>
          <cell r="AA762">
            <v>227</v>
          </cell>
          <cell r="AB762" t="str">
            <v>نشط</v>
          </cell>
          <cell r="AC762" t="str">
            <v>400500</v>
          </cell>
          <cell r="AD762" t="str">
            <v>Mohsen Krairi</v>
          </cell>
          <cell r="AE762" t="str">
            <v>إعارة</v>
          </cell>
          <cell r="AF762" t="str">
            <v/>
          </cell>
          <cell r="AG762" t="str">
            <v/>
          </cell>
          <cell r="AH762" t="str">
            <v/>
          </cell>
          <cell r="AI762" t="str">
            <v/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 t="str">
            <v/>
          </cell>
          <cell r="AO762" t="str">
            <v>عمليات الفروع</v>
          </cell>
          <cell r="AP762" t="str">
            <v>Al Rajhi Bank</v>
          </cell>
          <cell r="AQ762" t="str">
            <v>SA3080000417608010041520</v>
          </cell>
          <cell r="AR762">
            <v>21835</v>
          </cell>
          <cell r="AS762" t="str">
            <v/>
          </cell>
          <cell r="AT762">
            <v>1100</v>
          </cell>
          <cell r="AU762">
            <v>5458.75</v>
          </cell>
          <cell r="AV762" t="str">
            <v/>
          </cell>
        </row>
        <row r="763">
          <cell r="A763">
            <v>400589</v>
          </cell>
          <cell r="B763" t="str">
            <v>1081032474</v>
          </cell>
          <cell r="C763" t="str">
            <v>السيد</v>
          </cell>
          <cell r="D763" t="str">
            <v>Ahmad Abdullah alhumaid</v>
          </cell>
          <cell r="E763" t="str">
            <v>احمد عبدالله  الحميد</v>
          </cell>
          <cell r="F763" t="str">
            <v>Male</v>
          </cell>
          <cell r="G763" t="str">
            <v/>
          </cell>
          <cell r="H763">
            <v>34421</v>
          </cell>
          <cell r="I763">
            <v>32</v>
          </cell>
          <cell r="J763">
            <v>11769</v>
          </cell>
          <cell r="K763" t="str">
            <v>Ahmad.alhumaid@agriserv.sa</v>
          </cell>
          <cell r="L763" t="str">
            <v>0539373882</v>
          </cell>
          <cell r="M763" t="str">
            <v/>
          </cell>
          <cell r="N763" t="str">
            <v>المملكة العربية السعودية</v>
          </cell>
          <cell r="O763" t="str">
            <v>50001491</v>
          </cell>
          <cell r="P763" t="str">
            <v>طبيب بيطري</v>
          </cell>
          <cell r="Q763" t="str">
            <v>الدرجة 4</v>
          </cell>
          <cell r="R763" t="str">
            <v>Class A</v>
          </cell>
          <cell r="S763" t="str">
            <v/>
          </cell>
          <cell r="T763" t="str">
            <v>عمليات الفروع  جيزان</v>
          </cell>
          <cell r="U763" t="str">
            <v>عمليات الفروع</v>
          </cell>
          <cell r="V763" t="str">
            <v>الفروع</v>
          </cell>
          <cell r="W763" t="str">
            <v>Shuqaiq</v>
          </cell>
          <cell r="X763" t="str">
            <v xml:space="preserve">الفرع </v>
          </cell>
          <cell r="Y763">
            <v>45963</v>
          </cell>
          <cell r="Z763">
            <v>0.62</v>
          </cell>
          <cell r="AA763">
            <v>227</v>
          </cell>
          <cell r="AB763" t="str">
            <v>نشط</v>
          </cell>
          <cell r="AC763" t="str">
            <v>400500</v>
          </cell>
          <cell r="AD763" t="str">
            <v>Mohsen Krairi</v>
          </cell>
          <cell r="AE763" t="str">
            <v>إعارة</v>
          </cell>
          <cell r="AF763" t="str">
            <v/>
          </cell>
          <cell r="AG763" t="str">
            <v/>
          </cell>
          <cell r="AH763" t="str">
            <v/>
          </cell>
          <cell r="AI763" t="str">
            <v/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 t="str">
            <v/>
          </cell>
          <cell r="AO763" t="str">
            <v>عمليات الفروع</v>
          </cell>
          <cell r="AP763" t="str">
            <v>Saudi National Bank</v>
          </cell>
          <cell r="AQ763" t="str">
            <v>SA7410000032100000469907</v>
          </cell>
          <cell r="AR763">
            <v>8923</v>
          </cell>
          <cell r="AS763" t="str">
            <v/>
          </cell>
          <cell r="AT763">
            <v>392.3</v>
          </cell>
          <cell r="AU763">
            <v>2230.75</v>
          </cell>
          <cell r="AV763" t="str">
            <v/>
          </cell>
        </row>
        <row r="764">
          <cell r="A764">
            <v>400590</v>
          </cell>
          <cell r="B764" t="str">
            <v>1045074885</v>
          </cell>
          <cell r="C764" t="str">
            <v>السيد</v>
          </cell>
          <cell r="D764" t="str">
            <v>Abdullah Mohammed Alsagoor</v>
          </cell>
          <cell r="E764" t="str">
            <v>عبدالله محمد  الصقور</v>
          </cell>
          <cell r="F764" t="str">
            <v>Male</v>
          </cell>
          <cell r="G764" t="str">
            <v/>
          </cell>
          <cell r="H764">
            <v>31176</v>
          </cell>
          <cell r="I764">
            <v>41</v>
          </cell>
          <cell r="J764">
            <v>15014</v>
          </cell>
          <cell r="K764" t="str">
            <v>Abdullah.Alsagoor@agriserv.sa</v>
          </cell>
          <cell r="L764" t="str">
            <v>0541844410</v>
          </cell>
          <cell r="M764" t="str">
            <v/>
          </cell>
          <cell r="N764" t="str">
            <v>المملكة العربية السعودية</v>
          </cell>
          <cell r="O764" t="str">
            <v>50001511</v>
          </cell>
          <cell r="P764" t="str">
            <v>طبيب بيطري</v>
          </cell>
          <cell r="Q764" t="str">
            <v>الدرجة 4</v>
          </cell>
          <cell r="R764" t="str">
            <v>Class A</v>
          </cell>
          <cell r="S764" t="str">
            <v/>
          </cell>
          <cell r="T764" t="str">
            <v>إدارة فروع العمليات – نجران</v>
          </cell>
          <cell r="U764" t="str">
            <v>عمليات الفروع</v>
          </cell>
          <cell r="V764" t="str">
            <v>الفروع</v>
          </cell>
          <cell r="W764" t="str">
            <v>Najran</v>
          </cell>
          <cell r="X764" t="str">
            <v xml:space="preserve">الفرع </v>
          </cell>
          <cell r="Y764">
            <v>45963</v>
          </cell>
          <cell r="Z764">
            <v>0.62</v>
          </cell>
          <cell r="AA764">
            <v>227</v>
          </cell>
          <cell r="AB764" t="str">
            <v>نشط</v>
          </cell>
          <cell r="AC764" t="str">
            <v>100063</v>
          </cell>
          <cell r="AD764" t="str">
            <v>Hazza Alruwaili</v>
          </cell>
          <cell r="AE764" t="str">
            <v>إعارة</v>
          </cell>
          <cell r="AF764" t="str">
            <v/>
          </cell>
          <cell r="AG764" t="str">
            <v/>
          </cell>
          <cell r="AH764" t="str">
            <v/>
          </cell>
          <cell r="AI764" t="str">
            <v/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 t="str">
            <v/>
          </cell>
          <cell r="AO764" t="str">
            <v>عمليات الفروع</v>
          </cell>
          <cell r="AP764" t="str">
            <v>Riyad Bank</v>
          </cell>
          <cell r="AQ764" t="str">
            <v>SA6020000005111068169940</v>
          </cell>
          <cell r="AR764">
            <v>14995</v>
          </cell>
          <cell r="AS764" t="str">
            <v/>
          </cell>
          <cell r="AT764">
            <v>599.5</v>
          </cell>
          <cell r="AU764">
            <v>3748.75</v>
          </cell>
          <cell r="AV764" t="str">
            <v/>
          </cell>
        </row>
        <row r="765">
          <cell r="A765">
            <v>400591</v>
          </cell>
          <cell r="B765" t="str">
            <v>1076473303</v>
          </cell>
          <cell r="C765" t="str">
            <v>السيد</v>
          </cell>
          <cell r="D765" t="str">
            <v>Moslem Abdulatif Alobidan</v>
          </cell>
          <cell r="E765" t="str">
            <v>مسلم عبداللطيف  العبيدان</v>
          </cell>
          <cell r="F765" t="str">
            <v>Male</v>
          </cell>
          <cell r="G765" t="str">
            <v/>
          </cell>
          <cell r="H765">
            <v>33574</v>
          </cell>
          <cell r="I765">
            <v>35</v>
          </cell>
          <cell r="J765">
            <v>12616</v>
          </cell>
          <cell r="K765" t="str">
            <v>Moslem.alobidan@agriserv.sa</v>
          </cell>
          <cell r="L765" t="str">
            <v>0532064061</v>
          </cell>
          <cell r="M765" t="str">
            <v/>
          </cell>
          <cell r="N765" t="str">
            <v>المملكة العربية السعودية</v>
          </cell>
          <cell r="O765" t="str">
            <v>50001498</v>
          </cell>
          <cell r="P765" t="str">
            <v>مساعد طبيب بيطري</v>
          </cell>
          <cell r="Q765" t="str">
            <v>2B الدرجة</v>
          </cell>
          <cell r="R765" t="str">
            <v>Class A</v>
          </cell>
          <cell r="S765" t="str">
            <v/>
          </cell>
          <cell r="T765" t="str">
            <v>إدارة فروع العمليات – عسير</v>
          </cell>
          <cell r="U765" t="str">
            <v>عمليات الفروع</v>
          </cell>
          <cell r="V765" t="str">
            <v>الفروع</v>
          </cell>
          <cell r="W765" t="str">
            <v>An-Nimas[Namas]</v>
          </cell>
          <cell r="X765" t="str">
            <v xml:space="preserve">الفرع </v>
          </cell>
          <cell r="Y765">
            <v>45963</v>
          </cell>
          <cell r="Z765">
            <v>0.62</v>
          </cell>
          <cell r="AA765">
            <v>227</v>
          </cell>
          <cell r="AB765" t="str">
            <v>نشط</v>
          </cell>
          <cell r="AC765" t="str">
            <v>400584</v>
          </cell>
          <cell r="AD765" t="str">
            <v>Muhmmad Alasmari</v>
          </cell>
          <cell r="AE765" t="str">
            <v>إعارة</v>
          </cell>
          <cell r="AF765">
            <v>46196</v>
          </cell>
          <cell r="AG765" t="str">
            <v/>
          </cell>
          <cell r="AH765" t="str">
            <v/>
          </cell>
          <cell r="AI765" t="str">
            <v/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 t="str">
            <v/>
          </cell>
          <cell r="AO765" t="str">
            <v>عمليات الفروع</v>
          </cell>
          <cell r="AP765" t="str">
            <v>Bank Al Jazirah</v>
          </cell>
          <cell r="AQ765" t="str">
            <v>SA1960000000324355947001</v>
          </cell>
          <cell r="AR765">
            <v>5397</v>
          </cell>
          <cell r="AS765" t="str">
            <v/>
          </cell>
          <cell r="AT765">
            <v>39.700000000000003</v>
          </cell>
          <cell r="AU765">
            <v>1349.25</v>
          </cell>
          <cell r="AV765" t="str">
            <v/>
          </cell>
        </row>
        <row r="766">
          <cell r="A766">
            <v>400592</v>
          </cell>
          <cell r="B766" t="str">
            <v>1016294900</v>
          </cell>
          <cell r="C766" t="str">
            <v>السيد</v>
          </cell>
          <cell r="D766" t="str">
            <v>Dhaifallah Saeed Alsharari</v>
          </cell>
          <cell r="E766" t="str">
            <v>ضيف الله  الشراري</v>
          </cell>
          <cell r="F766" t="str">
            <v>Male</v>
          </cell>
          <cell r="G766" t="str">
            <v/>
          </cell>
          <cell r="H766">
            <v>28950</v>
          </cell>
          <cell r="I766">
            <v>47</v>
          </cell>
          <cell r="J766">
            <v>17240</v>
          </cell>
          <cell r="K766" t="str">
            <v>Dhaifallah.Alsharari@agriserv.sa</v>
          </cell>
          <cell r="L766" t="str">
            <v>0503574235</v>
          </cell>
          <cell r="M766" t="str">
            <v/>
          </cell>
          <cell r="N766" t="str">
            <v>المملكة العربية السعودية</v>
          </cell>
          <cell r="O766" t="str">
            <v>50001466</v>
          </cell>
          <cell r="P766" t="str">
            <v>مساعد طبيب بيطري</v>
          </cell>
          <cell r="Q766" t="str">
            <v>2B الدرجة</v>
          </cell>
          <cell r="R766" t="str">
            <v>Class A</v>
          </cell>
          <cell r="S766" t="str">
            <v>محجر الحديثة  (الجوف)</v>
          </cell>
          <cell r="T766" t="str">
            <v>خدمات المحجر</v>
          </cell>
          <cell r="U766" t="str">
            <v>الاذونات وخدمات المحاجر</v>
          </cell>
          <cell r="V766" t="str">
            <v>العمليات</v>
          </cell>
          <cell r="W766" t="str">
            <v>Sakaka</v>
          </cell>
          <cell r="X766" t="str">
            <v xml:space="preserve">الفرع </v>
          </cell>
          <cell r="Y766">
            <v>45992</v>
          </cell>
          <cell r="Z766">
            <v>0.54</v>
          </cell>
          <cell r="AA766">
            <v>198</v>
          </cell>
          <cell r="AB766" t="str">
            <v>نشط</v>
          </cell>
          <cell r="AC766" t="str">
            <v>400267</v>
          </cell>
          <cell r="AD766" t="str">
            <v>Mahmood Alsharari</v>
          </cell>
          <cell r="AE766" t="str">
            <v>إعارة</v>
          </cell>
          <cell r="AF766" t="str">
            <v/>
          </cell>
          <cell r="AG766" t="str">
            <v/>
          </cell>
          <cell r="AH766" t="str">
            <v/>
          </cell>
          <cell r="AI766" t="str">
            <v/>
          </cell>
          <cell r="AJ766">
            <v>1</v>
          </cell>
          <cell r="AK766">
            <v>1</v>
          </cell>
          <cell r="AL766">
            <v>0</v>
          </cell>
          <cell r="AM766">
            <v>0</v>
          </cell>
          <cell r="AN766" t="str">
            <v/>
          </cell>
          <cell r="AO766" t="str">
            <v>الاذونات وخدمات المحاجر</v>
          </cell>
          <cell r="AP766" t="str">
            <v>Al Rajhi Bank</v>
          </cell>
          <cell r="AQ766" t="str">
            <v>SA3380000283608010100061</v>
          </cell>
          <cell r="AR766">
            <v>16055</v>
          </cell>
          <cell r="AS766" t="str">
            <v/>
          </cell>
          <cell r="AT766" t="str">
            <v/>
          </cell>
          <cell r="AU766">
            <v>4013.75</v>
          </cell>
          <cell r="AV766" t="str">
            <v/>
          </cell>
        </row>
        <row r="767">
          <cell r="A767">
            <v>400593</v>
          </cell>
          <cell r="B767" t="str">
            <v>1056708876</v>
          </cell>
          <cell r="C767" t="str">
            <v>السيد</v>
          </cell>
          <cell r="D767" t="str">
            <v>Nawaf Mazyad Alsharari</v>
          </cell>
          <cell r="E767" t="str">
            <v>نواف مزيد  الشراري</v>
          </cell>
          <cell r="F767" t="str">
            <v>Male</v>
          </cell>
          <cell r="G767" t="str">
            <v/>
          </cell>
          <cell r="H767">
            <v>32066</v>
          </cell>
          <cell r="I767">
            <v>39</v>
          </cell>
          <cell r="J767">
            <v>14124</v>
          </cell>
          <cell r="K767" t="str">
            <v>NawafM.Alsharari@agriserv.sa</v>
          </cell>
          <cell r="L767" t="str">
            <v>0557599232</v>
          </cell>
          <cell r="M767" t="str">
            <v/>
          </cell>
          <cell r="N767" t="str">
            <v>المملكة العربية السعودية</v>
          </cell>
          <cell r="O767" t="str">
            <v>50001465</v>
          </cell>
          <cell r="P767" t="str">
            <v>مساعد طبيب بيطري</v>
          </cell>
          <cell r="Q767" t="str">
            <v>2B الدرجة</v>
          </cell>
          <cell r="R767" t="str">
            <v>Class A</v>
          </cell>
          <cell r="S767" t="str">
            <v>محجر الحديثة  (الجوف)</v>
          </cell>
          <cell r="T767" t="str">
            <v>خدمات المحجر</v>
          </cell>
          <cell r="U767" t="str">
            <v>الاذونات وخدمات المحاجر</v>
          </cell>
          <cell r="V767" t="str">
            <v>العمليات</v>
          </cell>
          <cell r="W767" t="str">
            <v>Sakaka</v>
          </cell>
          <cell r="X767" t="str">
            <v xml:space="preserve">الفرع </v>
          </cell>
          <cell r="Y767">
            <v>45992</v>
          </cell>
          <cell r="Z767">
            <v>0.54</v>
          </cell>
          <cell r="AA767">
            <v>198</v>
          </cell>
          <cell r="AB767" t="str">
            <v>نشط</v>
          </cell>
          <cell r="AC767" t="str">
            <v>400267</v>
          </cell>
          <cell r="AD767" t="str">
            <v>Mahmood Alsharari</v>
          </cell>
          <cell r="AE767" t="str">
            <v>إعارة</v>
          </cell>
          <cell r="AF767" t="str">
            <v/>
          </cell>
          <cell r="AG767" t="str">
            <v/>
          </cell>
          <cell r="AH767" t="str">
            <v/>
          </cell>
          <cell r="AI767" t="str">
            <v/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 t="str">
            <v/>
          </cell>
          <cell r="AO767" t="str">
            <v>الاذونات وخدمات المحاجر</v>
          </cell>
          <cell r="AP767" t="str">
            <v>Al Rajhi Bank</v>
          </cell>
          <cell r="AQ767" t="str">
            <v>SA4280000210608010339162</v>
          </cell>
          <cell r="AR767">
            <v>9565</v>
          </cell>
          <cell r="AS767" t="str">
            <v/>
          </cell>
          <cell r="AT767">
            <v>100</v>
          </cell>
          <cell r="AU767">
            <v>2391.25</v>
          </cell>
          <cell r="AV767" t="str">
            <v/>
          </cell>
        </row>
        <row r="768">
          <cell r="A768">
            <v>400594</v>
          </cell>
          <cell r="B768" t="str">
            <v>1013544158</v>
          </cell>
          <cell r="C768" t="str">
            <v>السيد</v>
          </cell>
          <cell r="D768" t="str">
            <v>Ali Abdullah Alnajjar</v>
          </cell>
          <cell r="E768" t="str">
            <v>علي عبدالله  النجار</v>
          </cell>
          <cell r="F768" t="str">
            <v>Male</v>
          </cell>
          <cell r="G768" t="str">
            <v/>
          </cell>
          <cell r="H768">
            <v>29627</v>
          </cell>
          <cell r="I768">
            <v>45</v>
          </cell>
          <cell r="J768">
            <v>16563</v>
          </cell>
          <cell r="K768" t="str">
            <v>Ali.Alnajjar@agriserv.sa</v>
          </cell>
          <cell r="L768" t="str">
            <v>0505818538</v>
          </cell>
          <cell r="M768" t="str">
            <v/>
          </cell>
          <cell r="N768" t="str">
            <v>المملكة العربية السعودية</v>
          </cell>
          <cell r="O768" t="str">
            <v>50001481</v>
          </cell>
          <cell r="P768" t="str">
            <v>طبيب بيطري</v>
          </cell>
          <cell r="Q768" t="str">
            <v>الدرجة 4</v>
          </cell>
          <cell r="R768" t="str">
            <v>Class A</v>
          </cell>
          <cell r="S768" t="str">
            <v>محجر ميناء الدمام   (الشرقية)</v>
          </cell>
          <cell r="T768" t="str">
            <v>خدمات المحجر</v>
          </cell>
          <cell r="U768" t="str">
            <v>الاذونات وخدمات المحاجر</v>
          </cell>
          <cell r="V768" t="str">
            <v>العمليات</v>
          </cell>
          <cell r="W768" t="str">
            <v>Ad-Dammam</v>
          </cell>
          <cell r="X768" t="str">
            <v xml:space="preserve">الفرع </v>
          </cell>
          <cell r="Y768">
            <v>45992</v>
          </cell>
          <cell r="Z768">
            <v>0.54</v>
          </cell>
          <cell r="AA768">
            <v>198</v>
          </cell>
          <cell r="AB768" t="str">
            <v>نشط</v>
          </cell>
          <cell r="AC768" t="str">
            <v>400271</v>
          </cell>
          <cell r="AD768" t="str">
            <v>Fahad Alfrhaan</v>
          </cell>
          <cell r="AE768" t="str">
            <v>إعارة</v>
          </cell>
          <cell r="AF768" t="str">
            <v/>
          </cell>
          <cell r="AG768" t="str">
            <v/>
          </cell>
          <cell r="AH768" t="str">
            <v/>
          </cell>
          <cell r="AI768" t="str">
            <v/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 t="str">
            <v/>
          </cell>
          <cell r="AO768" t="str">
            <v>الاذونات وخدمات المحاجر</v>
          </cell>
          <cell r="AP768" t="str">
            <v>Bank Al Jazirah</v>
          </cell>
          <cell r="AQ768" t="str">
            <v>SA0860100001894041833001</v>
          </cell>
          <cell r="AR768">
            <v>16395</v>
          </cell>
          <cell r="AS768" t="str">
            <v/>
          </cell>
          <cell r="AT768">
            <v>939.5</v>
          </cell>
          <cell r="AU768">
            <v>4098.75</v>
          </cell>
          <cell r="AV768" t="str">
            <v/>
          </cell>
        </row>
        <row r="769">
          <cell r="A769">
            <v>400595</v>
          </cell>
          <cell r="B769" t="str">
            <v>1007256033</v>
          </cell>
          <cell r="C769" t="str">
            <v>السيد</v>
          </cell>
          <cell r="D769" t="str">
            <v>Edreess Abdullah Haykel</v>
          </cell>
          <cell r="E769" t="str">
            <v>ادريس عبد  هيكل</v>
          </cell>
          <cell r="F769" t="str">
            <v>Male</v>
          </cell>
          <cell r="G769" t="str">
            <v/>
          </cell>
          <cell r="H769">
            <v>26261</v>
          </cell>
          <cell r="I769">
            <v>55</v>
          </cell>
          <cell r="J769">
            <v>19929</v>
          </cell>
          <cell r="K769" t="str">
            <v>Edreess.Haykel@agriserv.sa</v>
          </cell>
          <cell r="L769" t="str">
            <v>0505855681</v>
          </cell>
          <cell r="M769" t="str">
            <v/>
          </cell>
          <cell r="N769" t="str">
            <v>المملكة العربية السعودية</v>
          </cell>
          <cell r="O769" t="str">
            <v>50001480</v>
          </cell>
          <cell r="P769" t="str">
            <v>طبيب بيطري</v>
          </cell>
          <cell r="Q769" t="str">
            <v>الدرجة 4</v>
          </cell>
          <cell r="R769" t="str">
            <v>Class A</v>
          </cell>
          <cell r="S769" t="str">
            <v>محجر مطار الملك فهد  (الشرقية)</v>
          </cell>
          <cell r="T769" t="str">
            <v>خدمات المحجر</v>
          </cell>
          <cell r="U769" t="str">
            <v>الاذونات وخدمات المحاجر</v>
          </cell>
          <cell r="V769" t="str">
            <v>العمليات</v>
          </cell>
          <cell r="W769" t="str">
            <v>Ad-Dammam</v>
          </cell>
          <cell r="X769" t="str">
            <v xml:space="preserve">الفرع </v>
          </cell>
          <cell r="Y769">
            <v>45992</v>
          </cell>
          <cell r="Z769">
            <v>0.54</v>
          </cell>
          <cell r="AA769">
            <v>198</v>
          </cell>
          <cell r="AB769" t="str">
            <v>نشط</v>
          </cell>
          <cell r="AC769" t="str">
            <v>400270</v>
          </cell>
          <cell r="AD769" t="str">
            <v>Hesham Almutlaq</v>
          </cell>
          <cell r="AE769" t="str">
            <v>إعارة</v>
          </cell>
          <cell r="AF769" t="str">
            <v/>
          </cell>
          <cell r="AG769" t="str">
            <v/>
          </cell>
          <cell r="AH769" t="str">
            <v/>
          </cell>
          <cell r="AI769" t="str">
            <v/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 t="str">
            <v/>
          </cell>
          <cell r="AO769" t="str">
            <v>الاذونات وخدمات المحاجر</v>
          </cell>
          <cell r="AP769" t="str">
            <v>Riyad Bank</v>
          </cell>
          <cell r="AQ769" t="str">
            <v>SA0820000003062888019940</v>
          </cell>
          <cell r="AR769">
            <v>18705</v>
          </cell>
          <cell r="AS769" t="str">
            <v/>
          </cell>
          <cell r="AT769">
            <v>970.5</v>
          </cell>
          <cell r="AU769">
            <v>4676.25</v>
          </cell>
          <cell r="AV769" t="str">
            <v/>
          </cell>
        </row>
        <row r="770">
          <cell r="A770">
            <v>400596</v>
          </cell>
          <cell r="B770" t="str">
            <v>1092776069</v>
          </cell>
          <cell r="C770" t="str">
            <v>السيد</v>
          </cell>
          <cell r="D770" t="str">
            <v>Mohammed Hammed Albujubarah</v>
          </cell>
          <cell r="E770" t="str">
            <v>محمد حميد  البوجباره</v>
          </cell>
          <cell r="F770" t="str">
            <v>Male</v>
          </cell>
          <cell r="G770" t="str">
            <v/>
          </cell>
          <cell r="H770">
            <v>32882</v>
          </cell>
          <cell r="I770">
            <v>36</v>
          </cell>
          <cell r="J770">
            <v>13308</v>
          </cell>
          <cell r="K770" t="str">
            <v>Mohammed.Albujubarah@agriserv.sa</v>
          </cell>
          <cell r="L770" t="str">
            <v>0549278313</v>
          </cell>
          <cell r="M770" t="str">
            <v/>
          </cell>
          <cell r="N770" t="str">
            <v>المملكة العربية السعودية</v>
          </cell>
          <cell r="O770" t="str">
            <v>50001521</v>
          </cell>
          <cell r="P770" t="str">
            <v>طبيب بيطري</v>
          </cell>
          <cell r="Q770" t="str">
            <v>الدرجة 4</v>
          </cell>
          <cell r="R770" t="str">
            <v>Class A</v>
          </cell>
          <cell r="S770" t="str">
            <v/>
          </cell>
          <cell r="T770" t="str">
            <v>خدمات المحجر</v>
          </cell>
          <cell r="U770" t="str">
            <v>الاذونات وخدمات المحاجر</v>
          </cell>
          <cell r="V770" t="str">
            <v>العمليات</v>
          </cell>
          <cell r="W770" t="str">
            <v>Head Quarter</v>
          </cell>
          <cell r="X770" t="str">
            <v xml:space="preserve">المقر الرئيسي </v>
          </cell>
          <cell r="Y770">
            <v>45992</v>
          </cell>
          <cell r="Z770">
            <v>0.54</v>
          </cell>
          <cell r="AA770">
            <v>198</v>
          </cell>
          <cell r="AB770" t="str">
            <v>نشط</v>
          </cell>
          <cell r="AC770" t="str">
            <v>100135</v>
          </cell>
          <cell r="AD770" t="str">
            <v>Abdulrahman Alzahrani</v>
          </cell>
          <cell r="AE770" t="str">
            <v>إعارة</v>
          </cell>
          <cell r="AF770" t="str">
            <v/>
          </cell>
          <cell r="AG770" t="str">
            <v/>
          </cell>
          <cell r="AH770" t="str">
            <v/>
          </cell>
          <cell r="AI770" t="str">
            <v/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 t="str">
            <v/>
          </cell>
          <cell r="AO770" t="str">
            <v>الاذونات وخدمات المحاجر</v>
          </cell>
          <cell r="AP770" t="str">
            <v>Saudi National Bank</v>
          </cell>
          <cell r="AQ770" t="str">
            <v>SA7810000008969005000101</v>
          </cell>
          <cell r="AR770">
            <v>9102</v>
          </cell>
          <cell r="AS770" t="str">
            <v/>
          </cell>
          <cell r="AT770">
            <v>410.2</v>
          </cell>
          <cell r="AU770">
            <v>2275.5</v>
          </cell>
          <cell r="AV770" t="str">
            <v/>
          </cell>
        </row>
        <row r="771">
          <cell r="A771">
            <v>400597</v>
          </cell>
          <cell r="B771" t="str">
            <v>1069571451</v>
          </cell>
          <cell r="C771" t="str">
            <v>السيد</v>
          </cell>
          <cell r="D771" t="str">
            <v>Mohammed Taher Alrshid</v>
          </cell>
          <cell r="E771" t="str">
            <v>محمد بن  الرشيد</v>
          </cell>
          <cell r="F771" t="str">
            <v>Male</v>
          </cell>
          <cell r="G771" t="str">
            <v/>
          </cell>
          <cell r="H771">
            <v>33097</v>
          </cell>
          <cell r="I771">
            <v>36</v>
          </cell>
          <cell r="J771">
            <v>13093</v>
          </cell>
          <cell r="K771" t="str">
            <v>Mohammed.Alrshid@agriserv.sa</v>
          </cell>
          <cell r="L771" t="str">
            <v>0547173364</v>
          </cell>
          <cell r="M771" t="str">
            <v/>
          </cell>
          <cell r="N771" t="str">
            <v>المملكة العربية السعودية</v>
          </cell>
          <cell r="O771" t="str">
            <v>50001462</v>
          </cell>
          <cell r="P771" t="str">
            <v>مساعد طبيب بيطري</v>
          </cell>
          <cell r="Q771" t="str">
            <v>2B الدرجة</v>
          </cell>
          <cell r="R771" t="str">
            <v>Class A</v>
          </cell>
          <cell r="S771" t="str">
            <v/>
          </cell>
          <cell r="T771" t="str">
            <v>الاذونات</v>
          </cell>
          <cell r="U771" t="str">
            <v>الاذونات وخدمات المحاجر</v>
          </cell>
          <cell r="V771" t="str">
            <v>العمليات</v>
          </cell>
          <cell r="W771" t="str">
            <v>Head Quarter</v>
          </cell>
          <cell r="X771" t="str">
            <v xml:space="preserve">المقر الرئيسي </v>
          </cell>
          <cell r="Y771">
            <v>45992</v>
          </cell>
          <cell r="Z771">
            <v>0.54</v>
          </cell>
          <cell r="AA771">
            <v>198</v>
          </cell>
          <cell r="AB771" t="str">
            <v>نشط</v>
          </cell>
          <cell r="AC771" t="str">
            <v>400096</v>
          </cell>
          <cell r="AD771" t="str">
            <v>Saleh Alkraidis</v>
          </cell>
          <cell r="AE771" t="str">
            <v>إعارة</v>
          </cell>
          <cell r="AF771" t="str">
            <v/>
          </cell>
          <cell r="AG771" t="str">
            <v/>
          </cell>
          <cell r="AH771" t="str">
            <v/>
          </cell>
          <cell r="AI771" t="str">
            <v/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 t="str">
            <v/>
          </cell>
          <cell r="AO771" t="str">
            <v>الاذونات وخدمات المحاجر</v>
          </cell>
          <cell r="AP771" t="str">
            <v>Arab National Bank</v>
          </cell>
          <cell r="AQ771" t="str">
            <v>SA3230400108054882920018</v>
          </cell>
          <cell r="AR771">
            <v>9565</v>
          </cell>
          <cell r="AS771" t="str">
            <v/>
          </cell>
          <cell r="AT771">
            <v>100</v>
          </cell>
          <cell r="AU771">
            <v>2391.25</v>
          </cell>
          <cell r="AV771" t="str">
            <v/>
          </cell>
        </row>
        <row r="772">
          <cell r="A772">
            <v>400598</v>
          </cell>
          <cell r="B772" t="str">
            <v>1075869667</v>
          </cell>
          <cell r="C772" t="str">
            <v>السيد</v>
          </cell>
          <cell r="D772" t="str">
            <v>Muath Khalid Alhammadi</v>
          </cell>
          <cell r="E772" t="str">
            <v>معاذ خالد  الحمادي</v>
          </cell>
          <cell r="F772" t="str">
            <v>Male</v>
          </cell>
          <cell r="G772" t="str">
            <v/>
          </cell>
          <cell r="H772">
            <v>34046</v>
          </cell>
          <cell r="I772">
            <v>33</v>
          </cell>
          <cell r="J772">
            <v>12144</v>
          </cell>
          <cell r="K772" t="str">
            <v>Muath.Alhammadi@agriserv.sa</v>
          </cell>
          <cell r="L772" t="str">
            <v>0544212479</v>
          </cell>
          <cell r="M772" t="str">
            <v/>
          </cell>
          <cell r="N772" t="str">
            <v>المملكة العربية السعودية</v>
          </cell>
          <cell r="O772" t="str">
            <v>50001473</v>
          </cell>
          <cell r="P772" t="str">
            <v>طبيب بيطري</v>
          </cell>
          <cell r="Q772" t="str">
            <v>الدرجة 4</v>
          </cell>
          <cell r="R772" t="str">
            <v>Class A</v>
          </cell>
          <cell r="S772" t="str">
            <v/>
          </cell>
          <cell r="T772" t="str">
            <v>خدمات المحجر</v>
          </cell>
          <cell r="U772" t="str">
            <v>الاذونات وخدمات المحاجر</v>
          </cell>
          <cell r="V772" t="str">
            <v>العمليات</v>
          </cell>
          <cell r="W772" t="str">
            <v>Head Quarter</v>
          </cell>
          <cell r="X772" t="str">
            <v xml:space="preserve">المقر الرئيسي </v>
          </cell>
          <cell r="Y772">
            <v>45992</v>
          </cell>
          <cell r="Z772">
            <v>0.54</v>
          </cell>
          <cell r="AA772">
            <v>198</v>
          </cell>
          <cell r="AB772" t="str">
            <v>نشط</v>
          </cell>
          <cell r="AC772" t="str">
            <v>100135</v>
          </cell>
          <cell r="AD772" t="str">
            <v>Abdulrahman Alzahrani</v>
          </cell>
          <cell r="AE772" t="str">
            <v>إعارة</v>
          </cell>
          <cell r="AF772" t="str">
            <v/>
          </cell>
          <cell r="AG772" t="str">
            <v/>
          </cell>
          <cell r="AH772" t="str">
            <v/>
          </cell>
          <cell r="AI772" t="str">
            <v/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 t="str">
            <v/>
          </cell>
          <cell r="AO772" t="str">
            <v>الاذونات وخدمات المحاجر</v>
          </cell>
          <cell r="AP772" t="str">
            <v>Riyad Bank</v>
          </cell>
          <cell r="AQ772" t="str">
            <v>SA4620000003184003399940</v>
          </cell>
          <cell r="AR772">
            <v>9376</v>
          </cell>
          <cell r="AS772" t="str">
            <v/>
          </cell>
          <cell r="AT772">
            <v>437.6</v>
          </cell>
          <cell r="AU772">
            <v>2344</v>
          </cell>
          <cell r="AV772" t="str">
            <v/>
          </cell>
        </row>
        <row r="773">
          <cell r="A773">
            <v>400599</v>
          </cell>
          <cell r="B773" t="str">
            <v>1009475524</v>
          </cell>
          <cell r="C773" t="str">
            <v>السيد</v>
          </cell>
          <cell r="D773" t="str">
            <v>Jawad Ali Alkhalaf</v>
          </cell>
          <cell r="E773" t="str">
            <v>جواد بن  الخلف</v>
          </cell>
          <cell r="F773" t="str">
            <v>Male</v>
          </cell>
          <cell r="G773" t="str">
            <v/>
          </cell>
          <cell r="H773">
            <v>29125</v>
          </cell>
          <cell r="I773">
            <v>47</v>
          </cell>
          <cell r="J773">
            <v>17065</v>
          </cell>
          <cell r="K773" t="str">
            <v>Jawad.Alkhalaf@agriserv.sa</v>
          </cell>
          <cell r="L773" t="str">
            <v>0545508019</v>
          </cell>
          <cell r="M773" t="str">
            <v/>
          </cell>
          <cell r="N773" t="str">
            <v>المملكة العربية السعودية</v>
          </cell>
          <cell r="O773" t="str">
            <v>50001474</v>
          </cell>
          <cell r="P773" t="str">
            <v>طبيب بيطري</v>
          </cell>
          <cell r="Q773" t="str">
            <v>الدرجة 4</v>
          </cell>
          <cell r="R773" t="str">
            <v>Class A</v>
          </cell>
          <cell r="S773" t="str">
            <v/>
          </cell>
          <cell r="T773" t="str">
            <v>الاذونات</v>
          </cell>
          <cell r="U773" t="str">
            <v>الاذونات وخدمات المحاجر</v>
          </cell>
          <cell r="V773" t="str">
            <v>العمليات</v>
          </cell>
          <cell r="W773" t="str">
            <v>Head Quarter</v>
          </cell>
          <cell r="X773" t="str">
            <v xml:space="preserve">المقر الرئيسي </v>
          </cell>
          <cell r="Y773">
            <v>45993</v>
          </cell>
          <cell r="Z773">
            <v>0.54</v>
          </cell>
          <cell r="AA773">
            <v>197</v>
          </cell>
          <cell r="AB773" t="str">
            <v>نشط</v>
          </cell>
          <cell r="AC773" t="str">
            <v>400096</v>
          </cell>
          <cell r="AD773" t="str">
            <v>Saleh Alkraidis</v>
          </cell>
          <cell r="AE773" t="str">
            <v>إعارة</v>
          </cell>
          <cell r="AF773" t="str">
            <v/>
          </cell>
          <cell r="AG773" t="str">
            <v/>
          </cell>
          <cell r="AH773" t="str">
            <v/>
          </cell>
          <cell r="AI773" t="str">
            <v/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 t="str">
            <v/>
          </cell>
          <cell r="AO773" t="str">
            <v>الاذونات وخدمات المحاجر</v>
          </cell>
          <cell r="AP773" t="str">
            <v>Bank Al Bilad</v>
          </cell>
          <cell r="AQ773" t="str">
            <v>SA8915000861124834440007</v>
          </cell>
          <cell r="AR773">
            <v>15385</v>
          </cell>
          <cell r="AS773" t="str">
            <v/>
          </cell>
          <cell r="AT773">
            <v>838.5</v>
          </cell>
          <cell r="AU773">
            <v>3846.25</v>
          </cell>
          <cell r="AV773" t="str">
            <v/>
          </cell>
        </row>
        <row r="774">
          <cell r="A774">
            <v>400601</v>
          </cell>
          <cell r="B774" t="str">
            <v>1045082276</v>
          </cell>
          <cell r="C774" t="str">
            <v>السيد</v>
          </cell>
          <cell r="D774" t="str">
            <v>Muhammed Huwaydi Almutairi</v>
          </cell>
          <cell r="E774" t="str">
            <v>محمد هويدي  المطيري</v>
          </cell>
          <cell r="F774" t="str">
            <v>Male</v>
          </cell>
          <cell r="G774" t="str">
            <v/>
          </cell>
          <cell r="H774">
            <v>31565</v>
          </cell>
          <cell r="I774">
            <v>40</v>
          </cell>
          <cell r="J774">
            <v>14625</v>
          </cell>
          <cell r="K774" t="str">
            <v>Muhammed.Almutairi@agriserv.sa</v>
          </cell>
          <cell r="L774" t="str">
            <v>0506500052</v>
          </cell>
          <cell r="M774" t="str">
            <v/>
          </cell>
          <cell r="N774" t="str">
            <v>المملكة العربية السعودية</v>
          </cell>
          <cell r="O774" t="str">
            <v>50001520</v>
          </cell>
          <cell r="P774" t="str">
            <v>مساعد طبيب بيطري</v>
          </cell>
          <cell r="Q774" t="str">
            <v>2B الدرجة</v>
          </cell>
          <cell r="R774" t="str">
            <v>Class A</v>
          </cell>
          <cell r="S774" t="str">
            <v>محجر الرقعي  (الشرقية)</v>
          </cell>
          <cell r="T774" t="str">
            <v>خدمات المحجر</v>
          </cell>
          <cell r="U774" t="str">
            <v>الاذونات وخدمات المحاجر</v>
          </cell>
          <cell r="V774" t="str">
            <v>العمليات</v>
          </cell>
          <cell r="W774" t="str">
            <v>Ad-Dammam</v>
          </cell>
          <cell r="X774" t="str">
            <v xml:space="preserve">الفرع </v>
          </cell>
          <cell r="Y774">
            <v>45992</v>
          </cell>
          <cell r="Z774">
            <v>0.54</v>
          </cell>
          <cell r="AA774">
            <v>198</v>
          </cell>
          <cell r="AB774" t="str">
            <v>نشط</v>
          </cell>
          <cell r="AC774" t="str">
            <v>400266</v>
          </cell>
          <cell r="AD774" t="str">
            <v>Faisel Almutairii</v>
          </cell>
          <cell r="AE774" t="str">
            <v>إعارة</v>
          </cell>
          <cell r="AF774" t="str">
            <v/>
          </cell>
          <cell r="AG774" t="str">
            <v/>
          </cell>
          <cell r="AH774" t="str">
            <v/>
          </cell>
          <cell r="AI774" t="str">
            <v/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 t="str">
            <v/>
          </cell>
          <cell r="AO774" t="str">
            <v>الاذونات وخدمات المحاجر</v>
          </cell>
          <cell r="AP774" t="str">
            <v>Al Rajhi Bank</v>
          </cell>
          <cell r="AQ774" t="str">
            <v>SA4680000210608010335889</v>
          </cell>
          <cell r="AR774">
            <v>12565</v>
          </cell>
          <cell r="AS774" t="str">
            <v/>
          </cell>
          <cell r="AT774">
            <v>100</v>
          </cell>
          <cell r="AU774">
            <v>3141.25</v>
          </cell>
          <cell r="AV774" t="str">
            <v/>
          </cell>
        </row>
        <row r="775">
          <cell r="A775">
            <v>400602</v>
          </cell>
          <cell r="B775" t="str">
            <v>1014945206</v>
          </cell>
          <cell r="C775" t="str">
            <v>السيد</v>
          </cell>
          <cell r="D775" t="str">
            <v>Hassan Ali Bokudheer</v>
          </cell>
          <cell r="E775" t="str">
            <v>حسن على  بوخضر</v>
          </cell>
          <cell r="F775" t="str">
            <v>Male</v>
          </cell>
          <cell r="G775" t="str">
            <v/>
          </cell>
          <cell r="H775">
            <v>28032</v>
          </cell>
          <cell r="I775">
            <v>50</v>
          </cell>
          <cell r="J775">
            <v>18158</v>
          </cell>
          <cell r="K775" t="str">
            <v>Hassan.Bokudheer@agriserv.sa</v>
          </cell>
          <cell r="L775" t="str">
            <v>0590062340</v>
          </cell>
          <cell r="M775" t="str">
            <v/>
          </cell>
          <cell r="N775" t="str">
            <v>المملكة العربية السعودية</v>
          </cell>
          <cell r="O775" t="str">
            <v>50001469</v>
          </cell>
          <cell r="P775" t="str">
            <v>مساعد طبيب بيطري</v>
          </cell>
          <cell r="Q775" t="str">
            <v>2B الدرجة</v>
          </cell>
          <cell r="R775" t="str">
            <v>Class A</v>
          </cell>
          <cell r="S775" t="str">
            <v>محجر البطحاء  (الشرقية)</v>
          </cell>
          <cell r="T775" t="str">
            <v>خدمات المحجر</v>
          </cell>
          <cell r="U775" t="str">
            <v>الاذونات وخدمات المحاجر</v>
          </cell>
          <cell r="V775" t="str">
            <v>العمليات</v>
          </cell>
          <cell r="W775" t="str">
            <v>Ad-Dammam</v>
          </cell>
          <cell r="X775" t="str">
            <v xml:space="preserve">الفرع </v>
          </cell>
          <cell r="Y775">
            <v>45992</v>
          </cell>
          <cell r="Z775">
            <v>0.54</v>
          </cell>
          <cell r="AA775">
            <v>198</v>
          </cell>
          <cell r="AB775" t="str">
            <v>نشط</v>
          </cell>
          <cell r="AC775" t="str">
            <v>400353</v>
          </cell>
          <cell r="AD775" t="str">
            <v>Adel Alhejji</v>
          </cell>
          <cell r="AE775" t="str">
            <v>إعارة</v>
          </cell>
          <cell r="AF775" t="str">
            <v/>
          </cell>
          <cell r="AG775" t="str">
            <v/>
          </cell>
          <cell r="AH775" t="str">
            <v/>
          </cell>
          <cell r="AI775" t="str">
            <v/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 t="str">
            <v/>
          </cell>
          <cell r="AO775" t="str">
            <v>الاذونات وخدمات المحاجر</v>
          </cell>
          <cell r="AP775" t="str">
            <v>Banque Saudi Fransi</v>
          </cell>
          <cell r="AQ775" t="str">
            <v>SA82550000000C1728800148</v>
          </cell>
          <cell r="AR775">
            <v>11025</v>
          </cell>
          <cell r="AS775" t="str">
            <v/>
          </cell>
          <cell r="AT775">
            <v>100</v>
          </cell>
          <cell r="AU775">
            <v>2756.25</v>
          </cell>
          <cell r="AV775" t="str">
            <v/>
          </cell>
        </row>
        <row r="776">
          <cell r="A776">
            <v>400603</v>
          </cell>
          <cell r="B776" t="str">
            <v>1011731229</v>
          </cell>
          <cell r="C776" t="str">
            <v>السيد</v>
          </cell>
          <cell r="D776" t="str">
            <v>Maged Fahad Alhnin</v>
          </cell>
          <cell r="E776" t="str">
            <v>ماجد فهد  الحنين</v>
          </cell>
          <cell r="F776" t="str">
            <v>Male</v>
          </cell>
          <cell r="G776" t="str">
            <v/>
          </cell>
          <cell r="H776">
            <v>30374</v>
          </cell>
          <cell r="I776">
            <v>43</v>
          </cell>
          <cell r="J776">
            <v>15816</v>
          </cell>
          <cell r="K776" t="str">
            <v>Maged.Alhnin@agriserv.sa</v>
          </cell>
          <cell r="L776" t="str">
            <v>0548900076</v>
          </cell>
          <cell r="M776" t="str">
            <v/>
          </cell>
          <cell r="N776" t="str">
            <v>المملكة العربية السعودية</v>
          </cell>
          <cell r="O776" t="str">
            <v>50001464</v>
          </cell>
          <cell r="P776" t="str">
            <v>مساعد طبيب بيطري</v>
          </cell>
          <cell r="Q776" t="str">
            <v>2B الدرجة</v>
          </cell>
          <cell r="R776" t="str">
            <v>Class A</v>
          </cell>
          <cell r="S776" t="str">
            <v>محجر سلوى  (الشرقية)</v>
          </cell>
          <cell r="T776" t="str">
            <v>خدمات المحجر</v>
          </cell>
          <cell r="U776" t="str">
            <v>الاذونات وخدمات المحاجر</v>
          </cell>
          <cell r="V776" t="str">
            <v>العمليات</v>
          </cell>
          <cell r="W776" t="str">
            <v>Ad-Dammam</v>
          </cell>
          <cell r="X776" t="str">
            <v xml:space="preserve">الفرع </v>
          </cell>
          <cell r="Y776">
            <v>45992</v>
          </cell>
          <cell r="Z776">
            <v>0.54</v>
          </cell>
          <cell r="AA776">
            <v>198</v>
          </cell>
          <cell r="AB776" t="str">
            <v>نشط</v>
          </cell>
          <cell r="AC776" t="str">
            <v>400314</v>
          </cell>
          <cell r="AD776" t="str">
            <v>Mohammad Albatat</v>
          </cell>
          <cell r="AE776" t="str">
            <v>إعارة</v>
          </cell>
          <cell r="AF776" t="str">
            <v/>
          </cell>
          <cell r="AG776" t="str">
            <v/>
          </cell>
          <cell r="AH776" t="str">
            <v/>
          </cell>
          <cell r="AI776" t="str">
            <v/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 t="str">
            <v/>
          </cell>
          <cell r="AO776" t="str">
            <v>الاذونات وخدمات المحاجر</v>
          </cell>
          <cell r="AP776" t="str">
            <v>Riyad Bank</v>
          </cell>
          <cell r="AQ776" t="str">
            <v>SA6220000003184541429940</v>
          </cell>
          <cell r="AR776">
            <v>12565</v>
          </cell>
          <cell r="AS776" t="str">
            <v/>
          </cell>
          <cell r="AT776">
            <v>100</v>
          </cell>
          <cell r="AU776">
            <v>3141.25</v>
          </cell>
          <cell r="AV776" t="str">
            <v/>
          </cell>
        </row>
        <row r="777">
          <cell r="A777">
            <v>400604</v>
          </cell>
          <cell r="B777" t="str">
            <v>1094156807</v>
          </cell>
          <cell r="C777" t="str">
            <v>السيد</v>
          </cell>
          <cell r="D777" t="str">
            <v>Abdulrahman Ahmed Alturki</v>
          </cell>
          <cell r="E777" t="str">
            <v>عبدالرحمن احمد  التركي</v>
          </cell>
          <cell r="F777" t="str">
            <v>Male</v>
          </cell>
          <cell r="G777" t="str">
            <v/>
          </cell>
          <cell r="H777">
            <v>33468</v>
          </cell>
          <cell r="I777">
            <v>35</v>
          </cell>
          <cell r="J777">
            <v>12722</v>
          </cell>
          <cell r="K777" t="str">
            <v>AbdulrahmanA.Alturki@agriserv.sa</v>
          </cell>
          <cell r="L777" t="str">
            <v>0556200110</v>
          </cell>
          <cell r="M777" t="str">
            <v/>
          </cell>
          <cell r="N777" t="str">
            <v>المملكة العربية السعودية</v>
          </cell>
          <cell r="O777" t="str">
            <v>50001467</v>
          </cell>
          <cell r="P777" t="str">
            <v>مساعد طبيب بيطري</v>
          </cell>
          <cell r="Q777" t="str">
            <v>2B الدرجة</v>
          </cell>
          <cell r="R777" t="str">
            <v>Class A</v>
          </cell>
          <cell r="S777" t="str">
            <v>محجر سلوى  (الشرقية)</v>
          </cell>
          <cell r="T777" t="str">
            <v>خدمات المحجر</v>
          </cell>
          <cell r="U777" t="str">
            <v>الاذونات وخدمات المحاجر</v>
          </cell>
          <cell r="V777" t="str">
            <v>العمليات</v>
          </cell>
          <cell r="W777" t="str">
            <v>Ad-Dammam</v>
          </cell>
          <cell r="X777" t="str">
            <v xml:space="preserve">الفرع </v>
          </cell>
          <cell r="Y777">
            <v>45992</v>
          </cell>
          <cell r="Z777">
            <v>0.54</v>
          </cell>
          <cell r="AA777">
            <v>198</v>
          </cell>
          <cell r="AB777" t="str">
            <v>نشط</v>
          </cell>
          <cell r="AC777" t="str">
            <v>400314</v>
          </cell>
          <cell r="AD777" t="str">
            <v>Mohammad Albatat</v>
          </cell>
          <cell r="AE777" t="str">
            <v>إعارة</v>
          </cell>
          <cell r="AF777" t="str">
            <v/>
          </cell>
          <cell r="AG777" t="str">
            <v/>
          </cell>
          <cell r="AH777" t="str">
            <v/>
          </cell>
          <cell r="AI777" t="str">
            <v/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 t="str">
            <v/>
          </cell>
          <cell r="AO777" t="str">
            <v>الاذونات وخدمات المحاجر</v>
          </cell>
          <cell r="AP777" t="str">
            <v>Saudi National Bank</v>
          </cell>
          <cell r="AQ777" t="str">
            <v>SA3910000005469562000101</v>
          </cell>
          <cell r="AR777">
            <v>9565</v>
          </cell>
          <cell r="AS777" t="str">
            <v/>
          </cell>
          <cell r="AT777">
            <v>100</v>
          </cell>
          <cell r="AU777">
            <v>2391.25</v>
          </cell>
          <cell r="AV777" t="str">
            <v/>
          </cell>
        </row>
        <row r="778">
          <cell r="A778">
            <v>400605</v>
          </cell>
          <cell r="B778" t="str">
            <v>1035969490</v>
          </cell>
          <cell r="C778" t="str">
            <v>السيد</v>
          </cell>
          <cell r="D778" t="str">
            <v>Abdulali Fulayyih Almutairi</v>
          </cell>
          <cell r="E778" t="str">
            <v>عبدالعالي فليح  المطيري</v>
          </cell>
          <cell r="F778" t="str">
            <v>Male</v>
          </cell>
          <cell r="G778" t="str">
            <v/>
          </cell>
          <cell r="H778">
            <v>28559</v>
          </cell>
          <cell r="I778">
            <v>48</v>
          </cell>
          <cell r="J778">
            <v>17631</v>
          </cell>
          <cell r="K778" t="str">
            <v>Abdulali.Almutairi@agriserv.sa</v>
          </cell>
          <cell r="L778" t="str">
            <v>0556415622</v>
          </cell>
          <cell r="M778" t="str">
            <v/>
          </cell>
          <cell r="N778" t="str">
            <v>المملكة العربية السعودية</v>
          </cell>
          <cell r="O778" t="str">
            <v>50001478</v>
          </cell>
          <cell r="P778" t="str">
            <v>طبيب بيطري</v>
          </cell>
          <cell r="Q778" t="str">
            <v>الدرجة 4</v>
          </cell>
          <cell r="R778" t="str">
            <v>Class A</v>
          </cell>
          <cell r="S778" t="str">
            <v>محجر الرقعي  (الشرقية)</v>
          </cell>
          <cell r="T778" t="str">
            <v>خدمات المحجر</v>
          </cell>
          <cell r="U778" t="str">
            <v>الاذونات وخدمات المحاجر</v>
          </cell>
          <cell r="V778" t="str">
            <v>العمليات</v>
          </cell>
          <cell r="W778" t="str">
            <v>Ad-Dammam</v>
          </cell>
          <cell r="X778" t="str">
            <v xml:space="preserve">الفرع </v>
          </cell>
          <cell r="Y778">
            <v>45992</v>
          </cell>
          <cell r="Z778">
            <v>0.54</v>
          </cell>
          <cell r="AA778">
            <v>198</v>
          </cell>
          <cell r="AB778" t="str">
            <v>نشط</v>
          </cell>
          <cell r="AC778" t="str">
            <v>400266</v>
          </cell>
          <cell r="AD778" t="str">
            <v>Faisel Almutairii</v>
          </cell>
          <cell r="AE778" t="str">
            <v>إعارة</v>
          </cell>
          <cell r="AF778" t="str">
            <v/>
          </cell>
          <cell r="AG778" t="str">
            <v/>
          </cell>
          <cell r="AH778" t="str">
            <v/>
          </cell>
          <cell r="AI778" t="str">
            <v/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 t="str">
            <v/>
          </cell>
          <cell r="AO778" t="str">
            <v>الاذونات وخدمات المحاجر</v>
          </cell>
          <cell r="AP778" t="str">
            <v>Saudi National Bank</v>
          </cell>
          <cell r="AQ778" t="str">
            <v>SA4610000040600000330403</v>
          </cell>
          <cell r="AR778">
            <v>18705</v>
          </cell>
          <cell r="AS778" t="str">
            <v/>
          </cell>
          <cell r="AT778">
            <v>970.5</v>
          </cell>
          <cell r="AU778">
            <v>4676.25</v>
          </cell>
          <cell r="AV778" t="str">
            <v/>
          </cell>
        </row>
        <row r="779">
          <cell r="A779">
            <v>400606</v>
          </cell>
          <cell r="B779" t="str">
            <v>1062383367</v>
          </cell>
          <cell r="C779" t="str">
            <v>السيد</v>
          </cell>
          <cell r="D779" t="str">
            <v>Fuad Abdullah Almubayrik</v>
          </cell>
          <cell r="E779" t="str">
            <v>فؤاد عبدالله  المبيريك</v>
          </cell>
          <cell r="F779" t="str">
            <v>Male</v>
          </cell>
          <cell r="G779" t="str">
            <v/>
          </cell>
          <cell r="H779">
            <v>32575</v>
          </cell>
          <cell r="I779">
            <v>37</v>
          </cell>
          <cell r="J779">
            <v>13615</v>
          </cell>
          <cell r="K779" t="str">
            <v>Fuad.Almubayrik@agriserv.sa</v>
          </cell>
          <cell r="L779" t="str">
            <v>0582228126</v>
          </cell>
          <cell r="M779" t="str">
            <v/>
          </cell>
          <cell r="N779" t="str">
            <v>المملكة العربية السعودية</v>
          </cell>
          <cell r="O779" t="str">
            <v>50001468</v>
          </cell>
          <cell r="P779" t="str">
            <v>مساعد طبيب بيطري</v>
          </cell>
          <cell r="Q779" t="str">
            <v>2B الدرجة</v>
          </cell>
          <cell r="R779" t="str">
            <v>Class A</v>
          </cell>
          <cell r="S779" t="str">
            <v>محجر الربع الخالي  (الشرقية)</v>
          </cell>
          <cell r="T779" t="str">
            <v>خدمات المحجر</v>
          </cell>
          <cell r="U779" t="str">
            <v>الاذونات وخدمات المحاجر</v>
          </cell>
          <cell r="V779" t="str">
            <v>العمليات</v>
          </cell>
          <cell r="W779" t="str">
            <v>Ad-Dammam</v>
          </cell>
          <cell r="X779" t="str">
            <v xml:space="preserve">الفرع </v>
          </cell>
          <cell r="Y779">
            <v>45992</v>
          </cell>
          <cell r="Z779">
            <v>0.54</v>
          </cell>
          <cell r="AA779">
            <v>198</v>
          </cell>
          <cell r="AB779" t="str">
            <v>نشط</v>
          </cell>
          <cell r="AC779" t="str">
            <v>400337</v>
          </cell>
          <cell r="AD779" t="str">
            <v>Abdullah Alzunaydi</v>
          </cell>
          <cell r="AE779" t="str">
            <v>إعارة</v>
          </cell>
          <cell r="AF779" t="str">
            <v/>
          </cell>
          <cell r="AG779" t="str">
            <v/>
          </cell>
          <cell r="AH779" t="str">
            <v/>
          </cell>
          <cell r="AI779" t="str">
            <v/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 t="str">
            <v/>
          </cell>
          <cell r="AO779" t="str">
            <v>الاذونات وخدمات المحاجر</v>
          </cell>
          <cell r="AP779" t="str">
            <v>Saudi National Bank</v>
          </cell>
          <cell r="AQ779" t="str">
            <v>SA3510000032147550000104</v>
          </cell>
          <cell r="AR779">
            <v>8200</v>
          </cell>
          <cell r="AS779" t="str">
            <v/>
          </cell>
          <cell r="AT779">
            <v>100</v>
          </cell>
          <cell r="AU779">
            <v>2050</v>
          </cell>
          <cell r="AV779" t="str">
            <v/>
          </cell>
        </row>
        <row r="780">
          <cell r="A780">
            <v>400607</v>
          </cell>
          <cell r="B780" t="str">
            <v>1082614627</v>
          </cell>
          <cell r="C780" t="str">
            <v>السيد</v>
          </cell>
          <cell r="D780" t="str">
            <v>Ali Abdullah Bohaliqah</v>
          </cell>
          <cell r="E780" t="str">
            <v>علي عبدالله  بوحليقه</v>
          </cell>
          <cell r="F780" t="str">
            <v>Male</v>
          </cell>
          <cell r="G780" t="str">
            <v/>
          </cell>
          <cell r="H780">
            <v>34548</v>
          </cell>
          <cell r="I780">
            <v>32</v>
          </cell>
          <cell r="J780">
            <v>11642</v>
          </cell>
          <cell r="K780" t="str">
            <v>Ali.Bohaliqah@agriserv.sa</v>
          </cell>
          <cell r="L780" t="str">
            <v>0590117113</v>
          </cell>
          <cell r="M780" t="str">
            <v/>
          </cell>
          <cell r="N780" t="str">
            <v>المملكة العربية السعودية</v>
          </cell>
          <cell r="O780" t="str">
            <v>50001479</v>
          </cell>
          <cell r="P780" t="str">
            <v>طبيب بيطري</v>
          </cell>
          <cell r="Q780" t="str">
            <v>الدرجة 4</v>
          </cell>
          <cell r="R780" t="str">
            <v>Class A</v>
          </cell>
          <cell r="S780" t="str">
            <v>محجر جسر الملك فهد  (الشرقية)</v>
          </cell>
          <cell r="T780" t="str">
            <v>خدمات المحجر</v>
          </cell>
          <cell r="U780" t="str">
            <v>الاذونات وخدمات المحاجر</v>
          </cell>
          <cell r="V780" t="str">
            <v>العمليات</v>
          </cell>
          <cell r="W780" t="str">
            <v>Ad-Dammam</v>
          </cell>
          <cell r="X780" t="str">
            <v xml:space="preserve">الفرع </v>
          </cell>
          <cell r="Y780">
            <v>45992</v>
          </cell>
          <cell r="Z780">
            <v>0.54</v>
          </cell>
          <cell r="AA780">
            <v>198</v>
          </cell>
          <cell r="AB780" t="str">
            <v>نشط</v>
          </cell>
          <cell r="AC780" t="str">
            <v>400325</v>
          </cell>
          <cell r="AD780" t="str">
            <v>Abdullah Almubarak</v>
          </cell>
          <cell r="AE780" t="str">
            <v>إعارة</v>
          </cell>
          <cell r="AF780" t="str">
            <v/>
          </cell>
          <cell r="AG780" t="str">
            <v/>
          </cell>
          <cell r="AH780" t="str">
            <v/>
          </cell>
          <cell r="AI780" t="str">
            <v/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 t="str">
            <v/>
          </cell>
          <cell r="AO780" t="str">
            <v>الاذونات وخدمات المحاجر</v>
          </cell>
          <cell r="AP780" t="str">
            <v>Arab National Bank</v>
          </cell>
          <cell r="AQ780" t="str">
            <v>SA4430400108064638730013</v>
          </cell>
          <cell r="AR780">
            <v>9467</v>
          </cell>
          <cell r="AS780" t="str">
            <v/>
          </cell>
          <cell r="AT780">
            <v>446.7</v>
          </cell>
          <cell r="AU780">
            <v>2366.75</v>
          </cell>
          <cell r="AV780" t="str">
            <v/>
          </cell>
        </row>
        <row r="781">
          <cell r="A781">
            <v>400608</v>
          </cell>
          <cell r="B781" t="str">
            <v>1020960371</v>
          </cell>
          <cell r="C781" t="str">
            <v>السيد</v>
          </cell>
          <cell r="D781" t="str">
            <v>Abdulrahman Hamad Alkhamis</v>
          </cell>
          <cell r="E781" t="str">
            <v>عبدالرحمن حمد  الخميس</v>
          </cell>
          <cell r="F781" t="str">
            <v>Male</v>
          </cell>
          <cell r="G781" t="str">
            <v/>
          </cell>
          <cell r="H781">
            <v>31466</v>
          </cell>
          <cell r="I781">
            <v>40</v>
          </cell>
          <cell r="J781">
            <v>14724</v>
          </cell>
          <cell r="K781" t="str">
            <v>AbdulrahmanH.Alkamis@agriserv.sa</v>
          </cell>
          <cell r="L781" t="str">
            <v>0548386867</v>
          </cell>
          <cell r="M781" t="str">
            <v/>
          </cell>
          <cell r="N781" t="str">
            <v>المملكة العربية السعودية</v>
          </cell>
          <cell r="O781" t="str">
            <v>50001470</v>
          </cell>
          <cell r="P781" t="str">
            <v>مساعد طبيب بيطري</v>
          </cell>
          <cell r="Q781" t="str">
            <v>2B الدرجة</v>
          </cell>
          <cell r="R781" t="str">
            <v>Class A</v>
          </cell>
          <cell r="S781" t="str">
            <v>محجر سلوى  (الشرقية)</v>
          </cell>
          <cell r="T781" t="str">
            <v>خدمات المحجر</v>
          </cell>
          <cell r="U781" t="str">
            <v>الاذونات وخدمات المحاجر</v>
          </cell>
          <cell r="V781" t="str">
            <v>العمليات</v>
          </cell>
          <cell r="W781" t="str">
            <v>Ad-Dammam</v>
          </cell>
          <cell r="X781" t="str">
            <v xml:space="preserve">الفرع </v>
          </cell>
          <cell r="Y781">
            <v>45992</v>
          </cell>
          <cell r="Z781">
            <v>0.54</v>
          </cell>
          <cell r="AA781">
            <v>198</v>
          </cell>
          <cell r="AB781" t="str">
            <v>نشط</v>
          </cell>
          <cell r="AC781" t="str">
            <v>400325</v>
          </cell>
          <cell r="AD781" t="str">
            <v>Abdullah Almubarak</v>
          </cell>
          <cell r="AE781" t="str">
            <v>إعارة</v>
          </cell>
          <cell r="AF781" t="str">
            <v/>
          </cell>
          <cell r="AG781" t="str">
            <v/>
          </cell>
          <cell r="AH781" t="str">
            <v/>
          </cell>
          <cell r="AI781" t="str">
            <v/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 t="str">
            <v/>
          </cell>
          <cell r="AO781" t="str">
            <v>الاذونات وخدمات المحاجر</v>
          </cell>
          <cell r="AP781" t="str">
            <v>Saudi National Bank</v>
          </cell>
          <cell r="AQ781" t="str">
            <v>SA8610000004600000776810</v>
          </cell>
          <cell r="AR781">
            <v>10915</v>
          </cell>
          <cell r="AS781" t="str">
            <v/>
          </cell>
          <cell r="AT781">
            <v>100</v>
          </cell>
          <cell r="AU781">
            <v>2728.75</v>
          </cell>
          <cell r="AV781" t="str">
            <v/>
          </cell>
        </row>
        <row r="782">
          <cell r="A782">
            <v>400609</v>
          </cell>
          <cell r="B782" t="str">
            <v>1060825880</v>
          </cell>
          <cell r="C782" t="str">
            <v>السيد</v>
          </cell>
          <cell r="D782" t="str">
            <v>Faisal Abdullah Alharbi</v>
          </cell>
          <cell r="E782" t="str">
            <v>فيصل عبدالله  الحربي</v>
          </cell>
          <cell r="F782" t="str">
            <v>Male</v>
          </cell>
          <cell r="G782" t="str">
            <v/>
          </cell>
          <cell r="H782">
            <v>32428</v>
          </cell>
          <cell r="I782">
            <v>38</v>
          </cell>
          <cell r="J782">
            <v>13762</v>
          </cell>
          <cell r="K782" t="str">
            <v>FaisalA.Alharbi@agriserv.sa</v>
          </cell>
          <cell r="L782" t="str">
            <v>0554926747</v>
          </cell>
          <cell r="M782" t="str">
            <v/>
          </cell>
          <cell r="N782" t="str">
            <v>المملكة العربية السعودية</v>
          </cell>
          <cell r="O782" t="str">
            <v>50001471</v>
          </cell>
          <cell r="P782" t="str">
            <v>مساعد طبيب بيطري</v>
          </cell>
          <cell r="Q782" t="str">
            <v>2B الدرجة</v>
          </cell>
          <cell r="R782" t="str">
            <v>Class A</v>
          </cell>
          <cell r="S782" t="str">
            <v>محجر الرقعي  (الشرقية)</v>
          </cell>
          <cell r="T782" t="str">
            <v>خدمات المحجر</v>
          </cell>
          <cell r="U782" t="str">
            <v>الاذونات وخدمات المحاجر</v>
          </cell>
          <cell r="V782" t="str">
            <v>العمليات</v>
          </cell>
          <cell r="W782" t="str">
            <v>Ad-Dammam</v>
          </cell>
          <cell r="X782" t="str">
            <v xml:space="preserve">الفرع </v>
          </cell>
          <cell r="Y782">
            <v>45992</v>
          </cell>
          <cell r="Z782">
            <v>0.54</v>
          </cell>
          <cell r="AA782">
            <v>198</v>
          </cell>
          <cell r="AB782" t="str">
            <v>نشط</v>
          </cell>
          <cell r="AC782" t="str">
            <v>400266</v>
          </cell>
          <cell r="AD782" t="str">
            <v>Faisel Almutairii</v>
          </cell>
          <cell r="AE782" t="str">
            <v>إعارة</v>
          </cell>
          <cell r="AF782" t="str">
            <v/>
          </cell>
          <cell r="AG782" t="str">
            <v/>
          </cell>
          <cell r="AH782" t="str">
            <v/>
          </cell>
          <cell r="AI782" t="str">
            <v/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 t="str">
            <v/>
          </cell>
          <cell r="AO782" t="str">
            <v>الاذونات وخدمات المحاجر</v>
          </cell>
          <cell r="AP782" t="str">
            <v>Saudi National Bank</v>
          </cell>
          <cell r="AQ782" t="str">
            <v>SA4110000040300000198200</v>
          </cell>
          <cell r="AR782">
            <v>9420</v>
          </cell>
          <cell r="AS782" t="str">
            <v/>
          </cell>
          <cell r="AT782">
            <v>100</v>
          </cell>
          <cell r="AU782">
            <v>2355</v>
          </cell>
          <cell r="AV782" t="str">
            <v/>
          </cell>
        </row>
        <row r="783">
          <cell r="A783">
            <v>400610</v>
          </cell>
          <cell r="B783" t="str">
            <v>1002227948</v>
          </cell>
          <cell r="C783" t="str">
            <v>السيد</v>
          </cell>
          <cell r="D783" t="str">
            <v>Malak Ahmed Alnakhli</v>
          </cell>
          <cell r="E783" t="str">
            <v>مالك احمد  النخلي</v>
          </cell>
          <cell r="F783" t="str">
            <v>Male</v>
          </cell>
          <cell r="G783" t="str">
            <v/>
          </cell>
          <cell r="H783">
            <v>30731</v>
          </cell>
          <cell r="I783">
            <v>42</v>
          </cell>
          <cell r="J783">
            <v>15459</v>
          </cell>
          <cell r="K783" t="str">
            <v>Malak.Alnakhli@agriserv.sa</v>
          </cell>
          <cell r="L783" t="str">
            <v>0508818048</v>
          </cell>
          <cell r="M783" t="str">
            <v/>
          </cell>
          <cell r="N783" t="str">
            <v>المملكة العربية السعودية</v>
          </cell>
          <cell r="O783" t="str">
            <v>50001476</v>
          </cell>
          <cell r="P783" t="str">
            <v>طبيب بيطري</v>
          </cell>
          <cell r="Q783" t="str">
            <v>الدرجة 4</v>
          </cell>
          <cell r="R783" t="str">
            <v>Class A</v>
          </cell>
          <cell r="S783" t="str">
            <v>محجر مطار الأمير محمد بن عبدالعزيز (المدينة المنورة)</v>
          </cell>
          <cell r="T783" t="str">
            <v>خدمات المحجر</v>
          </cell>
          <cell r="U783" t="str">
            <v>الاذونات وخدمات المحاجر</v>
          </cell>
          <cell r="V783" t="str">
            <v>العمليات</v>
          </cell>
          <cell r="W783" t="str">
            <v>Al-Madinah</v>
          </cell>
          <cell r="X783" t="str">
            <v xml:space="preserve">الفرع </v>
          </cell>
          <cell r="Y783">
            <v>45992</v>
          </cell>
          <cell r="Z783">
            <v>0.54</v>
          </cell>
          <cell r="AA783">
            <v>198</v>
          </cell>
          <cell r="AB783" t="str">
            <v>نشط</v>
          </cell>
          <cell r="AC783" t="str">
            <v>400260</v>
          </cell>
          <cell r="AD783" t="str">
            <v>Turki Alghashmari</v>
          </cell>
          <cell r="AE783" t="str">
            <v>إعارة</v>
          </cell>
          <cell r="AF783" t="str">
            <v/>
          </cell>
          <cell r="AG783" t="str">
            <v/>
          </cell>
          <cell r="AH783" t="str">
            <v/>
          </cell>
          <cell r="AI783" t="str">
            <v/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 t="str">
            <v/>
          </cell>
          <cell r="AO783" t="str">
            <v>الاذونات وخدمات المحاجر</v>
          </cell>
          <cell r="AP783" t="str">
            <v>Saudi National Bank</v>
          </cell>
          <cell r="AQ783" t="str">
            <v>SA8010000032870177000109</v>
          </cell>
          <cell r="AR783">
            <v>13975</v>
          </cell>
          <cell r="AS783" t="str">
            <v/>
          </cell>
          <cell r="AT783">
            <v>697.5</v>
          </cell>
          <cell r="AU783">
            <v>3493.75</v>
          </cell>
          <cell r="AV783" t="str">
            <v/>
          </cell>
        </row>
        <row r="784">
          <cell r="A784">
            <v>400611</v>
          </cell>
          <cell r="B784" t="str">
            <v>1078165204</v>
          </cell>
          <cell r="C784" t="str">
            <v>السيد</v>
          </cell>
          <cell r="D784" t="str">
            <v>Sami Hamad Almohammadi</v>
          </cell>
          <cell r="E784" t="str">
            <v>سامي حامد  المحمدي</v>
          </cell>
          <cell r="F784" t="str">
            <v>Male</v>
          </cell>
          <cell r="G784" t="str">
            <v/>
          </cell>
          <cell r="H784">
            <v>32999</v>
          </cell>
          <cell r="I784">
            <v>36</v>
          </cell>
          <cell r="J784">
            <v>13191</v>
          </cell>
          <cell r="K784" t="str">
            <v>Sami.Almohammadi@agriserv.sa</v>
          </cell>
          <cell r="L784" t="str">
            <v>0567068410</v>
          </cell>
          <cell r="M784" t="str">
            <v/>
          </cell>
          <cell r="N784" t="str">
            <v>المملكة العربية السعودية</v>
          </cell>
          <cell r="O784" t="str">
            <v>50001461</v>
          </cell>
          <cell r="P784" t="str">
            <v>فني زراعي</v>
          </cell>
          <cell r="Q784" t="str">
            <v>2A الدرجة</v>
          </cell>
          <cell r="R784" t="str">
            <v>Class A</v>
          </cell>
          <cell r="S784" t="str">
            <v>محجر مطار الأمير محمد بن عبدالعزيز (المدينة المنورة)</v>
          </cell>
          <cell r="T784" t="str">
            <v>خدمات المحجر</v>
          </cell>
          <cell r="U784" t="str">
            <v>الاذونات وخدمات المحاجر</v>
          </cell>
          <cell r="V784" t="str">
            <v>العمليات</v>
          </cell>
          <cell r="W784" t="str">
            <v>Al-Madinah</v>
          </cell>
          <cell r="X784" t="str">
            <v xml:space="preserve">الفرع </v>
          </cell>
          <cell r="Y784">
            <v>45992</v>
          </cell>
          <cell r="Z784">
            <v>0.54</v>
          </cell>
          <cell r="AA784">
            <v>198</v>
          </cell>
          <cell r="AB784" t="str">
            <v>نشط</v>
          </cell>
          <cell r="AC784" t="str">
            <v>400260</v>
          </cell>
          <cell r="AD784" t="str">
            <v>Turki Alghashmari</v>
          </cell>
          <cell r="AE784" t="str">
            <v>إعارة</v>
          </cell>
          <cell r="AF784" t="str">
            <v/>
          </cell>
          <cell r="AG784" t="str">
            <v/>
          </cell>
          <cell r="AH784" t="str">
            <v/>
          </cell>
          <cell r="AI784" t="str">
            <v/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 t="str">
            <v/>
          </cell>
          <cell r="AO784" t="str">
            <v>الاذونات وخدمات المحاجر</v>
          </cell>
          <cell r="AP784" t="str">
            <v>Al Rajhi Bank</v>
          </cell>
          <cell r="AQ784" t="str">
            <v>SA8580000351608010144710</v>
          </cell>
          <cell r="AR784">
            <v>9200</v>
          </cell>
          <cell r="AS784" t="str">
            <v/>
          </cell>
          <cell r="AT784">
            <v>100</v>
          </cell>
          <cell r="AU784">
            <v>2300</v>
          </cell>
          <cell r="AV784" t="str">
            <v/>
          </cell>
        </row>
        <row r="785">
          <cell r="A785">
            <v>400612</v>
          </cell>
          <cell r="B785" t="str">
            <v>1066321140</v>
          </cell>
          <cell r="C785" t="str">
            <v>السيد</v>
          </cell>
          <cell r="D785" t="str">
            <v>Yasir Rasheed Aljohani</v>
          </cell>
          <cell r="E785" t="str">
            <v>ياسر راشد  الجهني</v>
          </cell>
          <cell r="F785" t="str">
            <v>Male</v>
          </cell>
          <cell r="G785" t="str">
            <v/>
          </cell>
          <cell r="H785">
            <v>27103</v>
          </cell>
          <cell r="I785">
            <v>52</v>
          </cell>
          <cell r="J785">
            <v>19087</v>
          </cell>
          <cell r="K785" t="str">
            <v>Yasir.Aljohani@agriserv.sa</v>
          </cell>
          <cell r="L785" t="str">
            <v>0548251500</v>
          </cell>
          <cell r="M785" t="str">
            <v/>
          </cell>
          <cell r="N785" t="str">
            <v>المملكة العربية السعودية</v>
          </cell>
          <cell r="O785" t="str">
            <v>50001460</v>
          </cell>
          <cell r="P785" t="str">
            <v>فني زراعي</v>
          </cell>
          <cell r="Q785" t="str">
            <v>2A الدرجة</v>
          </cell>
          <cell r="R785" t="str">
            <v>Class A</v>
          </cell>
          <cell r="S785" t="str">
            <v>محجر مطار الأمير محمد بن عبدالعزيز (المدينة المنورة)</v>
          </cell>
          <cell r="T785" t="str">
            <v>خدمات المحجر</v>
          </cell>
          <cell r="U785" t="str">
            <v>الاذونات وخدمات المحاجر</v>
          </cell>
          <cell r="V785" t="str">
            <v>العمليات</v>
          </cell>
          <cell r="W785" t="str">
            <v>Al-Madinah</v>
          </cell>
          <cell r="X785" t="str">
            <v xml:space="preserve">الفرع </v>
          </cell>
          <cell r="Y785">
            <v>45992</v>
          </cell>
          <cell r="Z785">
            <v>0.54</v>
          </cell>
          <cell r="AA785">
            <v>198</v>
          </cell>
          <cell r="AB785" t="str">
            <v>نشط</v>
          </cell>
          <cell r="AC785" t="str">
            <v>400260</v>
          </cell>
          <cell r="AD785" t="str">
            <v>Turki Alghashmari</v>
          </cell>
          <cell r="AE785" t="str">
            <v>إعارة</v>
          </cell>
          <cell r="AF785" t="str">
            <v/>
          </cell>
          <cell r="AG785" t="str">
            <v/>
          </cell>
          <cell r="AH785" t="str">
            <v/>
          </cell>
          <cell r="AI785" t="str">
            <v/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 t="str">
            <v/>
          </cell>
          <cell r="AO785" t="str">
            <v>الاذونات وخدمات المحاجر</v>
          </cell>
          <cell r="AP785" t="str">
            <v>Al Rajhi Bank</v>
          </cell>
          <cell r="AQ785" t="str">
            <v>SA9380000364608016058588</v>
          </cell>
          <cell r="AR785">
            <v>11745</v>
          </cell>
          <cell r="AS785" t="str">
            <v/>
          </cell>
          <cell r="AT785">
            <v>100</v>
          </cell>
          <cell r="AU785">
            <v>2936.25</v>
          </cell>
          <cell r="AV785" t="str">
            <v/>
          </cell>
        </row>
        <row r="786">
          <cell r="A786">
            <v>400614</v>
          </cell>
          <cell r="B786" t="str">
            <v>1070860083</v>
          </cell>
          <cell r="C786" t="str">
            <v>السيد</v>
          </cell>
          <cell r="D786" t="str">
            <v>Ali Hussain Alhussain</v>
          </cell>
          <cell r="E786" t="str">
            <v>علي حسين  حسين</v>
          </cell>
          <cell r="F786" t="str">
            <v>Male</v>
          </cell>
          <cell r="G786" t="str">
            <v/>
          </cell>
          <cell r="H786">
            <v>33367</v>
          </cell>
          <cell r="I786">
            <v>35</v>
          </cell>
          <cell r="J786">
            <v>12823</v>
          </cell>
          <cell r="K786" t="str">
            <v>Ali.Alhussain@agriserv.sa</v>
          </cell>
          <cell r="L786" t="str">
            <v>0540622228</v>
          </cell>
          <cell r="M786" t="str">
            <v/>
          </cell>
          <cell r="N786" t="str">
            <v>المملكة العربية السعودية</v>
          </cell>
          <cell r="O786" t="str">
            <v>50001475</v>
          </cell>
          <cell r="P786" t="str">
            <v>طبيب بيطري</v>
          </cell>
          <cell r="Q786" t="str">
            <v>الدرجة 4</v>
          </cell>
          <cell r="R786" t="str">
            <v>Class A</v>
          </cell>
          <cell r="S786" t="str">
            <v>محجر الخمرة  (مكة المكرمة)</v>
          </cell>
          <cell r="T786" t="str">
            <v>خدمات المحجر</v>
          </cell>
          <cell r="U786" t="str">
            <v>الاذونات وخدمات المحاجر</v>
          </cell>
          <cell r="V786" t="str">
            <v>العمليات</v>
          </cell>
          <cell r="W786" t="str">
            <v>Makkah</v>
          </cell>
          <cell r="X786" t="str">
            <v xml:space="preserve">الفرع </v>
          </cell>
          <cell r="Y786">
            <v>45992</v>
          </cell>
          <cell r="Z786">
            <v>0.54</v>
          </cell>
          <cell r="AA786">
            <v>198</v>
          </cell>
          <cell r="AB786" t="str">
            <v>نشط</v>
          </cell>
          <cell r="AC786" t="str">
            <v>400435</v>
          </cell>
          <cell r="AD786" t="str">
            <v>Ali Alhajuj</v>
          </cell>
          <cell r="AE786" t="str">
            <v>إعارة</v>
          </cell>
          <cell r="AF786" t="str">
            <v/>
          </cell>
          <cell r="AG786" t="str">
            <v/>
          </cell>
          <cell r="AH786" t="str">
            <v/>
          </cell>
          <cell r="AI786" t="str">
            <v/>
          </cell>
          <cell r="AJ786">
            <v>1</v>
          </cell>
          <cell r="AK786">
            <v>1</v>
          </cell>
          <cell r="AL786">
            <v>0</v>
          </cell>
          <cell r="AM786">
            <v>0</v>
          </cell>
          <cell r="AN786" t="str">
            <v/>
          </cell>
          <cell r="AO786" t="str">
            <v>الاذونات وخدمات المحاجر</v>
          </cell>
          <cell r="AP786" t="str">
            <v>Al Rajhi Bank</v>
          </cell>
          <cell r="AQ786" t="str">
            <v>SA5980000515608010038717</v>
          </cell>
          <cell r="AR786">
            <v>12565</v>
          </cell>
          <cell r="AS786" t="str">
            <v/>
          </cell>
          <cell r="AT786">
            <v>556.5</v>
          </cell>
          <cell r="AU786">
            <v>3141.25</v>
          </cell>
          <cell r="AV786" t="str">
            <v/>
          </cell>
        </row>
        <row r="787">
          <cell r="A787">
            <v>400615</v>
          </cell>
          <cell r="B787" t="str">
            <v>1010212866</v>
          </cell>
          <cell r="C787" t="str">
            <v>السيد</v>
          </cell>
          <cell r="D787" t="str">
            <v>Eihab Ahmed Alshreeqi</v>
          </cell>
          <cell r="E787" t="str">
            <v>إيهاب احمد  الشريقي</v>
          </cell>
          <cell r="F787" t="str">
            <v>Male</v>
          </cell>
          <cell r="G787" t="str">
            <v/>
          </cell>
          <cell r="H787">
            <v>28962</v>
          </cell>
          <cell r="I787">
            <v>47</v>
          </cell>
          <cell r="J787">
            <v>17228</v>
          </cell>
          <cell r="K787" t="str">
            <v>Eihab.Alshreeqi@agriserv.sa</v>
          </cell>
          <cell r="L787" t="str">
            <v>0566370088</v>
          </cell>
          <cell r="M787" t="str">
            <v/>
          </cell>
          <cell r="N787" t="str">
            <v>المملكة العربية السعودية</v>
          </cell>
          <cell r="O787" t="str">
            <v>50001523</v>
          </cell>
          <cell r="P787" t="str">
            <v>طبيب بيطري</v>
          </cell>
          <cell r="Q787" t="str">
            <v>الدرجة 4</v>
          </cell>
          <cell r="R787" t="str">
            <v>Class A</v>
          </cell>
          <cell r="S787" t="str">
            <v>محجر ميناء جدة الاسلامي  (مكة المكرمة)</v>
          </cell>
          <cell r="T787" t="str">
            <v>خدمات المحجر</v>
          </cell>
          <cell r="U787" t="str">
            <v>الاذونات وخدمات المحاجر</v>
          </cell>
          <cell r="V787" t="str">
            <v>العمليات</v>
          </cell>
          <cell r="W787" t="str">
            <v>Makkah</v>
          </cell>
          <cell r="X787" t="str">
            <v xml:space="preserve">الفرع </v>
          </cell>
          <cell r="Y787">
            <v>45992</v>
          </cell>
          <cell r="Z787">
            <v>0.54</v>
          </cell>
          <cell r="AA787">
            <v>198</v>
          </cell>
          <cell r="AB787" t="str">
            <v>نشط</v>
          </cell>
          <cell r="AC787" t="str">
            <v>400274</v>
          </cell>
          <cell r="AD787" t="str">
            <v>Hussain Albakmani</v>
          </cell>
          <cell r="AE787" t="str">
            <v>إعارة</v>
          </cell>
          <cell r="AF787" t="str">
            <v/>
          </cell>
          <cell r="AG787" t="str">
            <v/>
          </cell>
          <cell r="AH787" t="str">
            <v/>
          </cell>
          <cell r="AI787" t="str">
            <v/>
          </cell>
          <cell r="AJ787">
            <v>4</v>
          </cell>
          <cell r="AK787">
            <v>2</v>
          </cell>
          <cell r="AL787">
            <v>0</v>
          </cell>
          <cell r="AM787">
            <v>2</v>
          </cell>
          <cell r="AN787" t="str">
            <v/>
          </cell>
          <cell r="AO787" t="str">
            <v>الاذونات وخدمات المحاجر</v>
          </cell>
          <cell r="AP787" t="str">
            <v>Saudi National Bank</v>
          </cell>
          <cell r="AQ787" t="str">
            <v>SA7510000075400001179510</v>
          </cell>
          <cell r="AR787">
            <v>13820</v>
          </cell>
          <cell r="AS787" t="str">
            <v/>
          </cell>
          <cell r="AT787">
            <v>682</v>
          </cell>
          <cell r="AU787">
            <v>3455</v>
          </cell>
          <cell r="AV787" t="str">
            <v/>
          </cell>
        </row>
        <row r="788">
          <cell r="A788">
            <v>400616</v>
          </cell>
          <cell r="B788" t="str">
            <v>1060548904</v>
          </cell>
          <cell r="C788" t="str">
            <v>السيد</v>
          </cell>
          <cell r="D788" t="str">
            <v>Abbas Abed Alnakhli</v>
          </cell>
          <cell r="E788" t="str">
            <v>عباس عابد  النخلي</v>
          </cell>
          <cell r="F788" t="str">
            <v>Male</v>
          </cell>
          <cell r="G788" t="str">
            <v/>
          </cell>
          <cell r="H788">
            <v>32440</v>
          </cell>
          <cell r="I788">
            <v>38</v>
          </cell>
          <cell r="J788">
            <v>13750</v>
          </cell>
          <cell r="K788" t="str">
            <v>Abbas.Alnakhli@agriserv.sa</v>
          </cell>
          <cell r="L788" t="str">
            <v>0557904162</v>
          </cell>
          <cell r="M788" t="str">
            <v/>
          </cell>
          <cell r="N788" t="str">
            <v>المملكة العربية السعودية</v>
          </cell>
          <cell r="O788" t="str">
            <v>50001482</v>
          </cell>
          <cell r="P788" t="str">
            <v>طبيب بيطري</v>
          </cell>
          <cell r="Q788" t="str">
            <v>2B الدرجة</v>
          </cell>
          <cell r="R788" t="str">
            <v>Class A</v>
          </cell>
          <cell r="S788" t="str">
            <v>محجر الخمرة  (مكة المكرمة)</v>
          </cell>
          <cell r="T788" t="str">
            <v>خدمات المحجر</v>
          </cell>
          <cell r="U788" t="str">
            <v>الاذونات وخدمات المحاجر</v>
          </cell>
          <cell r="V788" t="str">
            <v>العمليات</v>
          </cell>
          <cell r="W788" t="str">
            <v>Makkah</v>
          </cell>
          <cell r="X788" t="str">
            <v xml:space="preserve">الفرع </v>
          </cell>
          <cell r="Y788">
            <v>45992</v>
          </cell>
          <cell r="Z788">
            <v>0.54</v>
          </cell>
          <cell r="AA788">
            <v>198</v>
          </cell>
          <cell r="AB788" t="str">
            <v>نشط</v>
          </cell>
          <cell r="AC788" t="str">
            <v>400435</v>
          </cell>
          <cell r="AD788" t="str">
            <v>Ali Alhajuj</v>
          </cell>
          <cell r="AE788" t="str">
            <v>إعارة</v>
          </cell>
          <cell r="AF788" t="str">
            <v/>
          </cell>
          <cell r="AG788" t="str">
            <v/>
          </cell>
          <cell r="AH788" t="str">
            <v/>
          </cell>
          <cell r="AI788" t="str">
            <v/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 t="str">
            <v/>
          </cell>
          <cell r="AO788" t="str">
            <v>الاذونات وخدمات المحاجر</v>
          </cell>
          <cell r="AP788" t="str">
            <v>Riyad Bank</v>
          </cell>
          <cell r="AQ788" t="str">
            <v>SA7720000001172176219940</v>
          </cell>
          <cell r="AR788">
            <v>12160</v>
          </cell>
          <cell r="AS788" t="str">
            <v/>
          </cell>
          <cell r="AT788">
            <v>100</v>
          </cell>
          <cell r="AU788">
            <v>3040</v>
          </cell>
          <cell r="AV788" t="str">
            <v/>
          </cell>
        </row>
        <row r="789">
          <cell r="A789">
            <v>400617</v>
          </cell>
          <cell r="B789" t="str">
            <v>1033122480</v>
          </cell>
          <cell r="C789" t="str">
            <v>السيد</v>
          </cell>
          <cell r="D789" t="str">
            <v>Ahmed Mohammed Alharthi</v>
          </cell>
          <cell r="E789" t="str">
            <v>أحمد بن  الحارثي</v>
          </cell>
          <cell r="F789" t="str">
            <v>Male</v>
          </cell>
          <cell r="G789" t="str">
            <v/>
          </cell>
          <cell r="H789">
            <v>31037</v>
          </cell>
          <cell r="I789">
            <v>41</v>
          </cell>
          <cell r="J789">
            <v>15153</v>
          </cell>
          <cell r="K789" t="str">
            <v>Ahmed.Alharthi@agriserv.sa</v>
          </cell>
          <cell r="L789" t="str">
            <v>0544998913</v>
          </cell>
          <cell r="M789" t="str">
            <v/>
          </cell>
          <cell r="N789" t="str">
            <v>المملكة العربية السعودية</v>
          </cell>
          <cell r="O789" t="str">
            <v>50001525</v>
          </cell>
          <cell r="P789" t="str">
            <v>اخصائي زراعي</v>
          </cell>
          <cell r="Q789" t="str">
            <v>الدرجة 4</v>
          </cell>
          <cell r="R789" t="str">
            <v>Class A</v>
          </cell>
          <cell r="S789" t="str">
            <v>محجر ميناء جدة الاسلامي  (مكة المكرمة)</v>
          </cell>
          <cell r="T789" t="str">
            <v>خدمات المحجر</v>
          </cell>
          <cell r="U789" t="str">
            <v>الاذونات وخدمات المحاجر</v>
          </cell>
          <cell r="V789" t="str">
            <v>العمليات</v>
          </cell>
          <cell r="W789" t="str">
            <v>Makkah</v>
          </cell>
          <cell r="X789" t="str">
            <v xml:space="preserve">الفرع </v>
          </cell>
          <cell r="Y789">
            <v>45992</v>
          </cell>
          <cell r="Z789">
            <v>0.54</v>
          </cell>
          <cell r="AA789">
            <v>198</v>
          </cell>
          <cell r="AB789" t="str">
            <v>نشط</v>
          </cell>
          <cell r="AC789" t="str">
            <v>400274</v>
          </cell>
          <cell r="AD789" t="str">
            <v>Hussain Albakmani</v>
          </cell>
          <cell r="AE789" t="str">
            <v>إعارة</v>
          </cell>
          <cell r="AF789" t="str">
            <v/>
          </cell>
          <cell r="AG789" t="str">
            <v/>
          </cell>
          <cell r="AH789" t="str">
            <v/>
          </cell>
          <cell r="AI789" t="str">
            <v/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 t="str">
            <v/>
          </cell>
          <cell r="AO789" t="str">
            <v>الاذونات وخدمات المحاجر</v>
          </cell>
          <cell r="AP789" t="str">
            <v>Al Rajhi Bank</v>
          </cell>
          <cell r="AQ789" t="str">
            <v>SA4080000189608010376914</v>
          </cell>
          <cell r="AR789">
            <v>14465</v>
          </cell>
          <cell r="AS789" t="str">
            <v/>
          </cell>
          <cell r="AT789">
            <v>546.5</v>
          </cell>
          <cell r="AU789">
            <v>3616.25</v>
          </cell>
          <cell r="AV789" t="str">
            <v/>
          </cell>
        </row>
        <row r="790">
          <cell r="A790">
            <v>400618</v>
          </cell>
          <cell r="B790" t="str">
            <v>1096004559</v>
          </cell>
          <cell r="C790" t="str">
            <v>السيد</v>
          </cell>
          <cell r="D790" t="str">
            <v>Mohammed Owayyish Almutairi</v>
          </cell>
          <cell r="E790" t="str">
            <v>محمد عويش  المطيري</v>
          </cell>
          <cell r="F790" t="str">
            <v>Male</v>
          </cell>
          <cell r="G790" t="str">
            <v/>
          </cell>
          <cell r="H790">
            <v>31333</v>
          </cell>
          <cell r="I790">
            <v>41</v>
          </cell>
          <cell r="J790">
            <v>14857</v>
          </cell>
          <cell r="K790" t="str">
            <v>Mohammed.Almutairi@agriserv.sa</v>
          </cell>
          <cell r="L790" t="str">
            <v>0568772690</v>
          </cell>
          <cell r="M790" t="str">
            <v/>
          </cell>
          <cell r="N790" t="str">
            <v>المملكة العربية السعودية</v>
          </cell>
          <cell r="O790" t="str">
            <v>50001463</v>
          </cell>
          <cell r="P790" t="str">
            <v>مساعد طبيب بيطري</v>
          </cell>
          <cell r="Q790" t="str">
            <v>2B الدرجة</v>
          </cell>
          <cell r="R790" t="str">
            <v>Class A</v>
          </cell>
          <cell r="S790" t="str">
            <v>محجر الخمرة  (مكة المكرمة)</v>
          </cell>
          <cell r="T790" t="str">
            <v>خدمات المحجر</v>
          </cell>
          <cell r="U790" t="str">
            <v>الاذونات وخدمات المحاجر</v>
          </cell>
          <cell r="V790" t="str">
            <v>العمليات</v>
          </cell>
          <cell r="W790" t="str">
            <v>Makkah</v>
          </cell>
          <cell r="X790" t="str">
            <v xml:space="preserve">الفرع </v>
          </cell>
          <cell r="Y790">
            <v>45992</v>
          </cell>
          <cell r="Z790">
            <v>0.54</v>
          </cell>
          <cell r="AA790">
            <v>198</v>
          </cell>
          <cell r="AB790" t="str">
            <v>نشط</v>
          </cell>
          <cell r="AC790" t="str">
            <v>400435</v>
          </cell>
          <cell r="AD790" t="str">
            <v>Ali Alhajuj</v>
          </cell>
          <cell r="AE790" t="str">
            <v>إعارة</v>
          </cell>
          <cell r="AF790" t="str">
            <v/>
          </cell>
          <cell r="AG790" t="str">
            <v/>
          </cell>
          <cell r="AH790" t="str">
            <v/>
          </cell>
          <cell r="AI790" t="str">
            <v/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 t="str">
            <v/>
          </cell>
          <cell r="AO790" t="str">
            <v>الاذونات وخدمات المحاجر</v>
          </cell>
          <cell r="AP790" t="str">
            <v>Bank Al Bilad</v>
          </cell>
          <cell r="AQ790" t="str">
            <v>SA0815000601546797060003</v>
          </cell>
          <cell r="AR790">
            <v>9565</v>
          </cell>
          <cell r="AS790" t="str">
            <v/>
          </cell>
          <cell r="AT790">
            <v>100</v>
          </cell>
          <cell r="AU790">
            <v>2391.25</v>
          </cell>
          <cell r="AV790" t="str">
            <v/>
          </cell>
        </row>
        <row r="791">
          <cell r="A791">
            <v>44</v>
          </cell>
          <cell r="B791" t="str">
            <v/>
          </cell>
          <cell r="C791" t="str">
            <v/>
          </cell>
          <cell r="D791" t="str">
            <v/>
          </cell>
          <cell r="E791" t="str">
            <v xml:space="preserve">   </v>
          </cell>
          <cell r="F791" t="str">
            <v>Male</v>
          </cell>
          <cell r="G791" t="str">
            <v/>
          </cell>
          <cell r="H791" t="str">
            <v/>
          </cell>
          <cell r="I791">
            <v>0</v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>50001350</v>
          </cell>
          <cell r="P791" t="str">
            <v>متدرب - طبيب بيطري</v>
          </cell>
          <cell r="Q791" t="str">
            <v>متدرب</v>
          </cell>
          <cell r="R791" t="str">
            <v/>
          </cell>
          <cell r="S791" t="str">
            <v/>
          </cell>
          <cell r="T791" t="str">
            <v>عيادة بشمال الرياض</v>
          </cell>
          <cell r="U791" t="str">
            <v>عمليات الفروع</v>
          </cell>
          <cell r="V791" t="str">
            <v>الفروع</v>
          </cell>
          <cell r="W791" t="str">
            <v>Al Riyadh</v>
          </cell>
          <cell r="X791" t="str">
            <v xml:space="preserve">الفرع </v>
          </cell>
          <cell r="Y791">
            <v>46040</v>
          </cell>
          <cell r="Z791">
            <v>0.41</v>
          </cell>
          <cell r="AA791">
            <v>150</v>
          </cell>
          <cell r="AB791" t="str">
            <v>غير نشط</v>
          </cell>
          <cell r="AC791" t="str">
            <v>100161</v>
          </cell>
          <cell r="AD791" t="str">
            <v>Jawaher Alhumaizi</v>
          </cell>
          <cell r="AE791" t="str">
            <v>متدرب</v>
          </cell>
          <cell r="AF791">
            <v>46041</v>
          </cell>
          <cell r="AG791" t="str">
            <v/>
          </cell>
          <cell r="AH791" t="str">
            <v/>
          </cell>
          <cell r="AI791" t="str">
            <v/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 t="str">
            <v/>
          </cell>
          <cell r="AO791" t="str">
            <v>Import / Export Permits</v>
          </cell>
          <cell r="AP791" t="str">
            <v/>
          </cell>
          <cell r="AQ791" t="str">
            <v/>
          </cell>
          <cell r="AR791">
            <v>3000</v>
          </cell>
          <cell r="AS791" t="str">
            <v/>
          </cell>
          <cell r="AT791" t="str">
            <v/>
          </cell>
          <cell r="AU791" t="str">
            <v/>
          </cell>
          <cell r="AV791" t="str">
            <v/>
          </cell>
        </row>
        <row r="792">
          <cell r="A792">
            <v>600000</v>
          </cell>
          <cell r="B792" t="str">
            <v>1117665792</v>
          </cell>
          <cell r="C792" t="str">
            <v>السيد</v>
          </cell>
          <cell r="D792" t="str">
            <v>Abdulrahman Duhayman Shakhir AlDuhayman</v>
          </cell>
          <cell r="E792" t="str">
            <v>عبدالرحمن دهيمان شخير الدهيمان</v>
          </cell>
          <cell r="F792" t="str">
            <v>Male</v>
          </cell>
          <cell r="G792" t="str">
            <v/>
          </cell>
          <cell r="H792">
            <v>37791</v>
          </cell>
          <cell r="I792">
            <v>23</v>
          </cell>
          <cell r="J792">
            <v>8399</v>
          </cell>
          <cell r="K792" t="str">
            <v>Abdulrahman.Duhayman@agriserv.sa</v>
          </cell>
          <cell r="L792" t="str">
            <v>0502377562</v>
          </cell>
          <cell r="M792" t="str">
            <v/>
          </cell>
          <cell r="N792" t="str">
            <v>المملكة العربية السعودية</v>
          </cell>
          <cell r="O792" t="str">
            <v>50001350</v>
          </cell>
          <cell r="P792" t="str">
            <v>متدرب - طبيب بيطري</v>
          </cell>
          <cell r="Q792" t="str">
            <v>متدرب</v>
          </cell>
          <cell r="R792" t="str">
            <v/>
          </cell>
          <cell r="S792" t="str">
            <v/>
          </cell>
          <cell r="T792" t="str">
            <v>عيادة بشمال الرياض</v>
          </cell>
          <cell r="U792" t="str">
            <v>عمليات الفروع</v>
          </cell>
          <cell r="V792" t="str">
            <v>الفروع</v>
          </cell>
          <cell r="W792" t="str">
            <v>Al Riyadh</v>
          </cell>
          <cell r="X792" t="str">
            <v xml:space="preserve">الفرع </v>
          </cell>
          <cell r="Y792">
            <v>45823</v>
          </cell>
          <cell r="Z792">
            <v>1</v>
          </cell>
          <cell r="AA792">
            <v>367</v>
          </cell>
          <cell r="AB792" t="str">
            <v>غير نشط</v>
          </cell>
          <cell r="AC792" t="str">
            <v>100063</v>
          </cell>
          <cell r="AD792" t="str">
            <v>Hazza Alruwaili</v>
          </cell>
          <cell r="AE792" t="str">
            <v>متدرب</v>
          </cell>
          <cell r="AF792">
            <v>45876</v>
          </cell>
          <cell r="AG792" t="str">
            <v/>
          </cell>
          <cell r="AH792" t="str">
            <v/>
          </cell>
          <cell r="AI792" t="str">
            <v/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 t="str">
            <v/>
          </cell>
          <cell r="AO792" t="str">
            <v>Branches Liaison /Coordination Office</v>
          </cell>
          <cell r="AP792" t="str">
            <v>Al Rajhi Bank</v>
          </cell>
          <cell r="AQ792" t="str">
            <v>SA9180000997608010147028</v>
          </cell>
          <cell r="AR792">
            <v>3000</v>
          </cell>
          <cell r="AS792" t="str">
            <v/>
          </cell>
          <cell r="AT792" t="str">
            <v/>
          </cell>
          <cell r="AU792" t="str">
            <v/>
          </cell>
          <cell r="AV792" t="str">
            <v/>
          </cell>
        </row>
        <row r="793">
          <cell r="A793">
            <v>600001</v>
          </cell>
          <cell r="B793" t="str">
            <v>1121059107</v>
          </cell>
          <cell r="C793" t="str">
            <v>السيد</v>
          </cell>
          <cell r="D793" t="str">
            <v>Abdullah Ibrahim Sulaiman Alaqil</v>
          </cell>
          <cell r="E793" t="str">
            <v>عبدالله ابراهيم سليمان العقيل</v>
          </cell>
          <cell r="F793" t="str">
            <v>Male</v>
          </cell>
          <cell r="G793" t="str">
            <v>أعزب</v>
          </cell>
          <cell r="H793">
            <v>37798</v>
          </cell>
          <cell r="I793">
            <v>23</v>
          </cell>
          <cell r="J793">
            <v>8392</v>
          </cell>
          <cell r="K793" t="str">
            <v>Abdullah.Alaqil@agriserv.sa</v>
          </cell>
          <cell r="L793" t="str">
            <v>0582024140</v>
          </cell>
          <cell r="M793" t="str">
            <v/>
          </cell>
          <cell r="N793" t="str">
            <v>المملكة العربية السعودية</v>
          </cell>
          <cell r="O793" t="str">
            <v>50001351</v>
          </cell>
          <cell r="P793" t="str">
            <v>متدرب - طبيب بيطري</v>
          </cell>
          <cell r="Q793" t="str">
            <v>متدرب</v>
          </cell>
          <cell r="R793" t="str">
            <v/>
          </cell>
          <cell r="S793" t="str">
            <v/>
          </cell>
          <cell r="T793" t="str">
            <v>عيادة بشمال الرياض</v>
          </cell>
          <cell r="U793" t="str">
            <v>عمليات الفروع</v>
          </cell>
          <cell r="V793" t="str">
            <v>الفروع</v>
          </cell>
          <cell r="W793" t="str">
            <v>Al Riyadh</v>
          </cell>
          <cell r="X793" t="str">
            <v xml:space="preserve">الفرع </v>
          </cell>
          <cell r="Y793">
            <v>45823</v>
          </cell>
          <cell r="Z793">
            <v>1</v>
          </cell>
          <cell r="AA793">
            <v>367</v>
          </cell>
          <cell r="AB793" t="str">
            <v>غير نشط</v>
          </cell>
          <cell r="AC793" t="str">
            <v>100063</v>
          </cell>
          <cell r="AD793" t="str">
            <v>Hazza Alruwaili</v>
          </cell>
          <cell r="AE793" t="str">
            <v>متدرب</v>
          </cell>
          <cell r="AF793">
            <v>45876</v>
          </cell>
          <cell r="AG793" t="str">
            <v/>
          </cell>
          <cell r="AH793" t="str">
            <v/>
          </cell>
          <cell r="AI793" t="str">
            <v/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 t="str">
            <v/>
          </cell>
          <cell r="AO793" t="str">
            <v>Branches Liaison /Coordination Office</v>
          </cell>
          <cell r="AP793" t="str">
            <v>Al Rajhi Bank</v>
          </cell>
          <cell r="AQ793" t="str">
            <v>SA3180000530608016043159</v>
          </cell>
          <cell r="AR793">
            <v>3000</v>
          </cell>
          <cell r="AS793" t="str">
            <v/>
          </cell>
          <cell r="AT793" t="str">
            <v/>
          </cell>
          <cell r="AU793" t="str">
            <v/>
          </cell>
          <cell r="AV793" t="str">
            <v/>
          </cell>
        </row>
        <row r="794">
          <cell r="A794">
            <v>600002</v>
          </cell>
          <cell r="B794" t="str">
            <v>1121270993</v>
          </cell>
          <cell r="C794" t="str">
            <v>السيد</v>
          </cell>
          <cell r="D794" t="str">
            <v>Nawaf Alhumaidi Awad Almutairi</v>
          </cell>
          <cell r="E794" t="str">
            <v>نواف الحميدي عوض المطيري</v>
          </cell>
          <cell r="F794" t="str">
            <v>Male</v>
          </cell>
          <cell r="G794" t="str">
            <v>أعزب</v>
          </cell>
          <cell r="H794">
            <v>37785</v>
          </cell>
          <cell r="I794">
            <v>23</v>
          </cell>
          <cell r="J794">
            <v>8405</v>
          </cell>
          <cell r="K794" t="str">
            <v>Nawaf.Almutairi@agriserv.sa</v>
          </cell>
          <cell r="L794" t="str">
            <v>0551429293</v>
          </cell>
          <cell r="M794" t="str">
            <v/>
          </cell>
          <cell r="N794" t="str">
            <v>المملكة العربية السعودية</v>
          </cell>
          <cell r="O794" t="str">
            <v>50001352</v>
          </cell>
          <cell r="P794" t="str">
            <v>متدرب - طبيب بيطري</v>
          </cell>
          <cell r="Q794" t="str">
            <v>متدرب</v>
          </cell>
          <cell r="R794" t="str">
            <v/>
          </cell>
          <cell r="S794" t="str">
            <v/>
          </cell>
          <cell r="T794" t="str">
            <v>عيادة بشمال الرياض</v>
          </cell>
          <cell r="U794" t="str">
            <v>عمليات الفروع</v>
          </cell>
          <cell r="V794" t="str">
            <v>الفروع</v>
          </cell>
          <cell r="W794" t="str">
            <v>Al Riyadh</v>
          </cell>
          <cell r="X794" t="str">
            <v xml:space="preserve">الفرع </v>
          </cell>
          <cell r="Y794">
            <v>45823</v>
          </cell>
          <cell r="Z794">
            <v>1</v>
          </cell>
          <cell r="AA794">
            <v>367</v>
          </cell>
          <cell r="AB794" t="str">
            <v>غير نشط</v>
          </cell>
          <cell r="AC794" t="str">
            <v>100063</v>
          </cell>
          <cell r="AD794" t="str">
            <v>Hazza Alruwaili</v>
          </cell>
          <cell r="AE794" t="str">
            <v>متدرب</v>
          </cell>
          <cell r="AF794">
            <v>45876</v>
          </cell>
          <cell r="AG794" t="str">
            <v/>
          </cell>
          <cell r="AH794" t="str">
            <v/>
          </cell>
          <cell r="AI794" t="str">
            <v/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 t="str">
            <v/>
          </cell>
          <cell r="AO794" t="str">
            <v>Branches Liaison /Coordination Office</v>
          </cell>
          <cell r="AP794" t="str">
            <v>Al Rajhi Bank</v>
          </cell>
          <cell r="AQ794" t="str">
            <v>SA5080000355608016497282</v>
          </cell>
          <cell r="AR794">
            <v>3000</v>
          </cell>
          <cell r="AS794" t="str">
            <v/>
          </cell>
          <cell r="AT794" t="str">
            <v/>
          </cell>
          <cell r="AU794" t="str">
            <v/>
          </cell>
          <cell r="AV794" t="str">
            <v/>
          </cell>
        </row>
        <row r="795">
          <cell r="A795">
            <v>600003</v>
          </cell>
          <cell r="B795" t="str">
            <v>1125196707</v>
          </cell>
          <cell r="C795" t="str">
            <v>السيد</v>
          </cell>
          <cell r="D795" t="str">
            <v>Adel Jaber Mohammed Almouteq</v>
          </cell>
          <cell r="E795" t="str">
            <v>عادل جابر محمد آل معتق</v>
          </cell>
          <cell r="F795" t="str">
            <v>Male</v>
          </cell>
          <cell r="G795" t="str">
            <v>أعزب</v>
          </cell>
          <cell r="H795">
            <v>37947</v>
          </cell>
          <cell r="I795">
            <v>23</v>
          </cell>
          <cell r="J795">
            <v>8243</v>
          </cell>
          <cell r="K795" t="str">
            <v>Adel.Almouteq@agriserv.sa</v>
          </cell>
          <cell r="L795" t="str">
            <v>0509768978</v>
          </cell>
          <cell r="M795" t="str">
            <v/>
          </cell>
          <cell r="N795" t="str">
            <v>المملكة العربية السعودية</v>
          </cell>
          <cell r="O795" t="str">
            <v>50001355</v>
          </cell>
          <cell r="P795" t="str">
            <v>متدرب - طبيب بيطري</v>
          </cell>
          <cell r="Q795" t="str">
            <v>متدرب</v>
          </cell>
          <cell r="R795" t="str">
            <v/>
          </cell>
          <cell r="S795" t="str">
            <v/>
          </cell>
          <cell r="T795" t="str">
            <v>تدقيق ومراجعة المستندات</v>
          </cell>
          <cell r="U795" t="str">
            <v>التسجيل والمختبرات</v>
          </cell>
          <cell r="V795" t="str">
            <v>التراخيص</v>
          </cell>
          <cell r="W795" t="str">
            <v>Al Riyadh</v>
          </cell>
          <cell r="X795" t="str">
            <v xml:space="preserve">المقر الرئيسي </v>
          </cell>
          <cell r="Y795">
            <v>45823</v>
          </cell>
          <cell r="Z795">
            <v>1</v>
          </cell>
          <cell r="AA795">
            <v>367</v>
          </cell>
          <cell r="AB795" t="str">
            <v>غير نشط</v>
          </cell>
          <cell r="AC795" t="str">
            <v>100134</v>
          </cell>
          <cell r="AD795" t="str">
            <v>Abdullah Almaliki</v>
          </cell>
          <cell r="AE795" t="str">
            <v>متدرب</v>
          </cell>
          <cell r="AF795">
            <v>45876</v>
          </cell>
          <cell r="AG795" t="str">
            <v/>
          </cell>
          <cell r="AH795" t="str">
            <v/>
          </cell>
          <cell r="AI795" t="str">
            <v/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 t="str">
            <v/>
          </cell>
          <cell r="AO795" t="str">
            <v>Branches Liaison /Coordination Office</v>
          </cell>
          <cell r="AP795" t="str">
            <v>Saudi National Bank</v>
          </cell>
          <cell r="AQ795" t="str">
            <v>SA4510000026700000357403</v>
          </cell>
          <cell r="AR795">
            <v>3000</v>
          </cell>
          <cell r="AS795" t="str">
            <v/>
          </cell>
          <cell r="AT795" t="str">
            <v/>
          </cell>
          <cell r="AU795" t="str">
            <v/>
          </cell>
          <cell r="AV795" t="str">
            <v/>
          </cell>
        </row>
        <row r="796">
          <cell r="A796">
            <v>600004</v>
          </cell>
          <cell r="B796" t="str">
            <v>1121920076</v>
          </cell>
          <cell r="C796" t="str">
            <v>السيد</v>
          </cell>
          <cell r="D796" t="str">
            <v>Mazan Yousef Sulaiman Alhajji</v>
          </cell>
          <cell r="E796" t="str">
            <v>مازن يوسف سليمان الحجي</v>
          </cell>
          <cell r="F796" t="str">
            <v>Male</v>
          </cell>
          <cell r="G796" t="str">
            <v>أعزب</v>
          </cell>
          <cell r="H796">
            <v>37857</v>
          </cell>
          <cell r="I796">
            <v>23</v>
          </cell>
          <cell r="J796">
            <v>8333</v>
          </cell>
          <cell r="K796" t="str">
            <v>Mazan.Alhajji@agriserv.sa</v>
          </cell>
          <cell r="L796" t="str">
            <v>0506955038</v>
          </cell>
          <cell r="M796" t="str">
            <v/>
          </cell>
          <cell r="N796" t="str">
            <v>المملكة العربية السعودية</v>
          </cell>
          <cell r="O796" t="str">
            <v>50001356</v>
          </cell>
          <cell r="P796" t="str">
            <v>متدرب - طبيب بيطري</v>
          </cell>
          <cell r="Q796" t="str">
            <v>متدرب</v>
          </cell>
          <cell r="R796" t="str">
            <v/>
          </cell>
          <cell r="S796" t="str">
            <v/>
          </cell>
          <cell r="T796" t="str">
            <v>الخدمات النباتيةِ</v>
          </cell>
          <cell r="U796" t="str">
            <v>الخدمات النباتيةِ</v>
          </cell>
          <cell r="V796" t="str">
            <v>العمليات</v>
          </cell>
          <cell r="W796" t="str">
            <v>Al Riyadh</v>
          </cell>
          <cell r="X796" t="str">
            <v xml:space="preserve">المقر الرئيسي </v>
          </cell>
          <cell r="Y796">
            <v>45823</v>
          </cell>
          <cell r="Z796">
            <v>1</v>
          </cell>
          <cell r="AA796">
            <v>367</v>
          </cell>
          <cell r="AB796" t="str">
            <v>غير نشط</v>
          </cell>
          <cell r="AC796" t="str">
            <v/>
          </cell>
          <cell r="AD796" t="str">
            <v xml:space="preserve"> </v>
          </cell>
          <cell r="AE796" t="str">
            <v>متدرب</v>
          </cell>
          <cell r="AF796">
            <v>45890</v>
          </cell>
          <cell r="AG796" t="str">
            <v/>
          </cell>
          <cell r="AH796" t="str">
            <v/>
          </cell>
          <cell r="AI796" t="str">
            <v/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 t="str">
            <v/>
          </cell>
          <cell r="AO796" t="str">
            <v>Operation Department</v>
          </cell>
          <cell r="AP796" t="str">
            <v>Al Rajhi Bank</v>
          </cell>
          <cell r="AQ796" t="str">
            <v>SA9280000292608016001775</v>
          </cell>
          <cell r="AR796">
            <v>3000</v>
          </cell>
          <cell r="AS796" t="str">
            <v/>
          </cell>
          <cell r="AT796" t="str">
            <v/>
          </cell>
          <cell r="AU796" t="str">
            <v/>
          </cell>
          <cell r="AV796" t="str">
            <v/>
          </cell>
        </row>
        <row r="797">
          <cell r="A797">
            <v>600005</v>
          </cell>
          <cell r="B797" t="str">
            <v>1122697459</v>
          </cell>
          <cell r="C797" t="str">
            <v>السيد</v>
          </cell>
          <cell r="D797" t="str">
            <v>Sultan Hamad Abdullah Albahli</v>
          </cell>
          <cell r="E797" t="str">
            <v>سلطان حمد عبدالله الباهلي</v>
          </cell>
          <cell r="F797" t="str">
            <v>Male</v>
          </cell>
          <cell r="G797" t="str">
            <v/>
          </cell>
          <cell r="H797">
            <v>37935</v>
          </cell>
          <cell r="I797">
            <v>23</v>
          </cell>
          <cell r="J797">
            <v>8255</v>
          </cell>
          <cell r="K797" t="str">
            <v>Sultan.Albahli@agriserv.sa</v>
          </cell>
          <cell r="L797" t="str">
            <v>0504619426</v>
          </cell>
          <cell r="M797" t="str">
            <v/>
          </cell>
          <cell r="N797" t="str">
            <v>المملكة العربية السعودية</v>
          </cell>
          <cell r="O797" t="str">
            <v>50001353</v>
          </cell>
          <cell r="P797" t="str">
            <v>متدرب - طبيب بيطري</v>
          </cell>
          <cell r="Q797" t="str">
            <v>متدرب</v>
          </cell>
          <cell r="R797" t="str">
            <v/>
          </cell>
          <cell r="S797" t="str">
            <v/>
          </cell>
          <cell r="T797" t="str">
            <v/>
          </cell>
          <cell r="U797" t="str">
            <v>تطوير الأعمال</v>
          </cell>
          <cell r="V797" t="str">
            <v>الخدمات التجارية</v>
          </cell>
          <cell r="W797" t="str">
            <v>Al Riyadh</v>
          </cell>
          <cell r="X797" t="str">
            <v xml:space="preserve">المقر الرئيسي </v>
          </cell>
          <cell r="Y797">
            <v>45823</v>
          </cell>
          <cell r="Z797">
            <v>1</v>
          </cell>
          <cell r="AA797">
            <v>367</v>
          </cell>
          <cell r="AB797" t="str">
            <v>غير نشط</v>
          </cell>
          <cell r="AC797" t="str">
            <v>100113</v>
          </cell>
          <cell r="AD797" t="str">
            <v>Anwar Bakhairiba</v>
          </cell>
          <cell r="AE797" t="str">
            <v>متدرب</v>
          </cell>
          <cell r="AF797">
            <v>46022</v>
          </cell>
          <cell r="AG797" t="str">
            <v/>
          </cell>
          <cell r="AH797" t="str">
            <v/>
          </cell>
          <cell r="AI797" t="str">
            <v/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 t="str">
            <v/>
          </cell>
          <cell r="AO797" t="str">
            <v>Business Development &amp; Commercial Invest</v>
          </cell>
          <cell r="AP797" t="str">
            <v>Al Rajhi Bank</v>
          </cell>
          <cell r="AQ797" t="str">
            <v>SA4780000980608016423794</v>
          </cell>
          <cell r="AR797">
            <v>3000</v>
          </cell>
          <cell r="AS797" t="str">
            <v/>
          </cell>
          <cell r="AT797" t="str">
            <v/>
          </cell>
          <cell r="AU797" t="str">
            <v/>
          </cell>
          <cell r="AV797" t="str">
            <v/>
          </cell>
        </row>
        <row r="798">
          <cell r="A798">
            <v>600006</v>
          </cell>
          <cell r="B798" t="str">
            <v>1118454592</v>
          </cell>
          <cell r="C798" t="str">
            <v>السيد</v>
          </cell>
          <cell r="D798" t="str">
            <v>Muath Abdulmohsen Abdulaziz Alateeq</v>
          </cell>
          <cell r="E798" t="str">
            <v>معاذ عبدالمحسن عبدالعزيز العتيق</v>
          </cell>
          <cell r="F798" t="str">
            <v>Male</v>
          </cell>
          <cell r="G798" t="str">
            <v>أعزب</v>
          </cell>
          <cell r="H798">
            <v>37544</v>
          </cell>
          <cell r="I798">
            <v>24</v>
          </cell>
          <cell r="J798">
            <v>8646</v>
          </cell>
          <cell r="K798" t="str">
            <v>Muath.Alateeq@agriserv.a</v>
          </cell>
          <cell r="L798" t="str">
            <v>0538477886</v>
          </cell>
          <cell r="M798" t="str">
            <v/>
          </cell>
          <cell r="N798" t="str">
            <v>المملكة العربية السعودية</v>
          </cell>
          <cell r="O798" t="str">
            <v>50001354</v>
          </cell>
          <cell r="P798" t="str">
            <v>متدرب تعاوني</v>
          </cell>
          <cell r="Q798" t="str">
            <v>متدرب</v>
          </cell>
          <cell r="R798" t="str">
            <v/>
          </cell>
          <cell r="S798" t="str">
            <v/>
          </cell>
          <cell r="T798" t="str">
            <v/>
          </cell>
          <cell r="U798" t="str">
            <v>تطوير الأعمال</v>
          </cell>
          <cell r="V798" t="str">
            <v>الخدمات التجارية</v>
          </cell>
          <cell r="W798" t="str">
            <v>Al Riyadh</v>
          </cell>
          <cell r="X798" t="str">
            <v xml:space="preserve">المقر الرئيسي </v>
          </cell>
          <cell r="Y798">
            <v>45823</v>
          </cell>
          <cell r="Z798">
            <v>1</v>
          </cell>
          <cell r="AA798">
            <v>367</v>
          </cell>
          <cell r="AB798" t="str">
            <v>غير نشط</v>
          </cell>
          <cell r="AC798" t="str">
            <v>100113</v>
          </cell>
          <cell r="AD798" t="str">
            <v>Anwar Bakhairiba</v>
          </cell>
          <cell r="AE798" t="str">
            <v>متدرب</v>
          </cell>
          <cell r="AF798">
            <v>46022</v>
          </cell>
          <cell r="AG798" t="str">
            <v/>
          </cell>
          <cell r="AH798" t="str">
            <v/>
          </cell>
          <cell r="AI798" t="str">
            <v/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 t="str">
            <v/>
          </cell>
          <cell r="AO798" t="str">
            <v>Business Development &amp; Commercial Invest</v>
          </cell>
          <cell r="AP798" t="str">
            <v>Al Rajhi Bank</v>
          </cell>
          <cell r="AQ798" t="str">
            <v>SA0380000121608016116299</v>
          </cell>
          <cell r="AR798">
            <v>3000</v>
          </cell>
          <cell r="AS798" t="str">
            <v/>
          </cell>
          <cell r="AT798" t="str">
            <v/>
          </cell>
          <cell r="AU798" t="str">
            <v/>
          </cell>
          <cell r="AV798" t="str">
            <v/>
          </cell>
        </row>
        <row r="799">
          <cell r="A799">
            <v>600007</v>
          </cell>
          <cell r="B799" t="str">
            <v>1127740692</v>
          </cell>
          <cell r="C799" t="str">
            <v>الآنسة</v>
          </cell>
          <cell r="D799" t="str">
            <v>YARA MANSOUR OMAR ALSUHAIBANI</v>
          </cell>
          <cell r="E799" t="str">
            <v>يارا منصور عمر السحيباني</v>
          </cell>
          <cell r="F799" t="str">
            <v>Female</v>
          </cell>
          <cell r="G799" t="str">
            <v>أعزب</v>
          </cell>
          <cell r="H799">
            <v>38380</v>
          </cell>
          <cell r="I799">
            <v>21</v>
          </cell>
          <cell r="J799">
            <v>7810</v>
          </cell>
          <cell r="K799" t="str">
            <v>yara.alsuhaibani@agriserv.sa</v>
          </cell>
          <cell r="L799" t="str">
            <v>0556088090</v>
          </cell>
          <cell r="M799" t="str">
            <v/>
          </cell>
          <cell r="N799" t="str">
            <v>المملكة العربية السعودية</v>
          </cell>
          <cell r="O799" t="str">
            <v>50001399</v>
          </cell>
          <cell r="P799" t="str">
            <v>متدرب - طبيب بيطري</v>
          </cell>
          <cell r="Q799" t="str">
            <v>متدرب</v>
          </cell>
          <cell r="R799" t="str">
            <v/>
          </cell>
          <cell r="S799" t="str">
            <v/>
          </cell>
          <cell r="T799" t="str">
            <v>الشهادات والمستندات الرسمية للثروة النباتية</v>
          </cell>
          <cell r="U799" t="str">
            <v>الشهادات</v>
          </cell>
          <cell r="V799" t="str">
            <v>التراخيص</v>
          </cell>
          <cell r="W799" t="str">
            <v>Al Riyadh</v>
          </cell>
          <cell r="X799" t="str">
            <v xml:space="preserve">المقر الرئيسي </v>
          </cell>
          <cell r="Y799">
            <v>45823</v>
          </cell>
          <cell r="Z799">
            <v>1</v>
          </cell>
          <cell r="AA799">
            <v>367</v>
          </cell>
          <cell r="AB799" t="str">
            <v>غير نشط</v>
          </cell>
          <cell r="AC799" t="str">
            <v>100127</v>
          </cell>
          <cell r="AD799" t="str">
            <v>Abdullah Alotaibi</v>
          </cell>
          <cell r="AE799" t="str">
            <v>متدرب</v>
          </cell>
          <cell r="AF799">
            <v>45876</v>
          </cell>
          <cell r="AG799" t="str">
            <v/>
          </cell>
          <cell r="AH799" t="str">
            <v/>
          </cell>
          <cell r="AI799" t="str">
            <v/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 t="str">
            <v/>
          </cell>
          <cell r="AO799" t="str">
            <v>Licensing Department</v>
          </cell>
          <cell r="AP799" t="str">
            <v>Al Rajhi Bank</v>
          </cell>
          <cell r="AQ799" t="str">
            <v>SA8880000622608016097188</v>
          </cell>
          <cell r="AR799">
            <v>2000</v>
          </cell>
          <cell r="AS799" t="str">
            <v/>
          </cell>
          <cell r="AT799" t="str">
            <v/>
          </cell>
          <cell r="AU799" t="str">
            <v/>
          </cell>
          <cell r="AV799" t="str">
            <v/>
          </cell>
        </row>
        <row r="800">
          <cell r="A800">
            <v>600008</v>
          </cell>
          <cell r="B800" t="str">
            <v>1129501746</v>
          </cell>
          <cell r="C800" t="str">
            <v>الآنسة</v>
          </cell>
          <cell r="D800" t="str">
            <v>Ramah Othman Abdullah Alkhoudeer</v>
          </cell>
          <cell r="E800" t="str">
            <v>رامه عثمان عبدالله الخضير</v>
          </cell>
          <cell r="F800" t="str">
            <v>Female</v>
          </cell>
          <cell r="G800" t="str">
            <v/>
          </cell>
          <cell r="H800">
            <v>38470</v>
          </cell>
          <cell r="I800">
            <v>21</v>
          </cell>
          <cell r="J800">
            <v>7720</v>
          </cell>
          <cell r="K800" t="str">
            <v>Ramah.Alkhoudeer@agriserv.sa</v>
          </cell>
          <cell r="L800" t="str">
            <v>0581876460</v>
          </cell>
          <cell r="M800" t="str">
            <v/>
          </cell>
          <cell r="N800" t="str">
            <v>المملكة العربية السعودية</v>
          </cell>
          <cell r="O800" t="str">
            <v>50001564</v>
          </cell>
          <cell r="P800" t="str">
            <v>متدرب(ة) تعاوني</v>
          </cell>
          <cell r="Q800" t="str">
            <v>متدرب</v>
          </cell>
          <cell r="R800" t="str">
            <v/>
          </cell>
          <cell r="S800" t="str">
            <v/>
          </cell>
          <cell r="T800" t="str">
            <v/>
          </cell>
          <cell r="U800" t="str">
            <v>تسويق</v>
          </cell>
          <cell r="V800" t="str">
            <v>الخدمات التجارية</v>
          </cell>
          <cell r="W800" t="str">
            <v>Al Riyadh</v>
          </cell>
          <cell r="X800" t="str">
            <v xml:space="preserve">المقر الرئيسي </v>
          </cell>
          <cell r="Y800">
            <v>46040</v>
          </cell>
          <cell r="Z800">
            <v>0.41</v>
          </cell>
          <cell r="AA800">
            <v>150</v>
          </cell>
          <cell r="AB800" t="str">
            <v>غير نشط</v>
          </cell>
          <cell r="AC800" t="str">
            <v>100161</v>
          </cell>
          <cell r="AD800" t="str">
            <v>Jawaher Alhumaizi</v>
          </cell>
          <cell r="AE800" t="str">
            <v>متدرب</v>
          </cell>
          <cell r="AF800">
            <v>46144</v>
          </cell>
          <cell r="AG800" t="str">
            <v/>
          </cell>
          <cell r="AH800" t="str">
            <v/>
          </cell>
          <cell r="AI800" t="str">
            <v/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 t="str">
            <v/>
          </cell>
          <cell r="AO800" t="str">
            <v>تسويق</v>
          </cell>
          <cell r="AP800" t="str">
            <v>Inma Bank</v>
          </cell>
          <cell r="AQ800" t="str">
            <v>SA2805000068203221609000</v>
          </cell>
          <cell r="AR800">
            <v>3000</v>
          </cell>
          <cell r="AS800" t="str">
            <v/>
          </cell>
          <cell r="AT800" t="str">
            <v/>
          </cell>
          <cell r="AU800" t="str">
            <v/>
          </cell>
          <cell r="AV800" t="str">
            <v/>
          </cell>
        </row>
        <row r="801">
          <cell r="A801">
            <v>600009</v>
          </cell>
          <cell r="B801" t="str">
            <v>1119966297</v>
          </cell>
          <cell r="C801" t="str">
            <v>الآنسة</v>
          </cell>
          <cell r="D801" t="str">
            <v>Ghaida Abdulaziz Rashed Alsakran</v>
          </cell>
          <cell r="E801" t="str">
            <v>غيداء عبدالعزيز راشد السكران</v>
          </cell>
          <cell r="F801" t="str">
            <v>Female</v>
          </cell>
          <cell r="G801" t="str">
            <v/>
          </cell>
          <cell r="H801">
            <v>37724</v>
          </cell>
          <cell r="I801">
            <v>23</v>
          </cell>
          <cell r="J801">
            <v>8466</v>
          </cell>
          <cell r="K801" t="str">
            <v>Ghaida.Alsakran@agriserv.sa</v>
          </cell>
          <cell r="L801" t="str">
            <v>0501040393</v>
          </cell>
          <cell r="M801" t="str">
            <v/>
          </cell>
          <cell r="N801" t="str">
            <v>المملكة العربية السعودية</v>
          </cell>
          <cell r="O801" t="str">
            <v>50001566</v>
          </cell>
          <cell r="P801" t="str">
            <v>متدرب(ة) تعاوني</v>
          </cell>
          <cell r="Q801" t="str">
            <v>متدرب</v>
          </cell>
          <cell r="R801" t="str">
            <v/>
          </cell>
          <cell r="S801" t="str">
            <v/>
          </cell>
          <cell r="T801" t="str">
            <v/>
          </cell>
          <cell r="U801" t="str">
            <v/>
          </cell>
          <cell r="V801" t="str">
            <v>المالية</v>
          </cell>
          <cell r="W801" t="str">
            <v>Al Riyadh</v>
          </cell>
          <cell r="X801" t="str">
            <v xml:space="preserve">المقر الرئيسي </v>
          </cell>
          <cell r="Y801">
            <v>46047</v>
          </cell>
          <cell r="Z801">
            <v>0.39</v>
          </cell>
          <cell r="AA801">
            <v>143</v>
          </cell>
          <cell r="AB801" t="str">
            <v>نشط</v>
          </cell>
          <cell r="AC801" t="str">
            <v>100167</v>
          </cell>
          <cell r="AD801" t="str">
            <v>Sarah Aldawood</v>
          </cell>
          <cell r="AE801" t="str">
            <v>متدرب</v>
          </cell>
          <cell r="AF801" t="str">
            <v/>
          </cell>
          <cell r="AG801" t="str">
            <v/>
          </cell>
          <cell r="AH801" t="str">
            <v/>
          </cell>
          <cell r="AI801" t="str">
            <v/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 t="str">
            <v/>
          </cell>
          <cell r="AO801" t="str">
            <v>عام</v>
          </cell>
          <cell r="AP801" t="str">
            <v>Al Rajhi Bank</v>
          </cell>
          <cell r="AQ801" t="str">
            <v>SA3680000622608016019166</v>
          </cell>
          <cell r="AR801">
            <v>3000</v>
          </cell>
          <cell r="AS801" t="str">
            <v/>
          </cell>
          <cell r="AT801" t="str">
            <v/>
          </cell>
          <cell r="AU801" t="str">
            <v/>
          </cell>
          <cell r="AV801" t="str">
            <v/>
          </cell>
        </row>
        <row r="802">
          <cell r="A802">
            <v>600010</v>
          </cell>
          <cell r="B802" t="str">
            <v>1116061761</v>
          </cell>
          <cell r="C802" t="str">
            <v>الآنسة</v>
          </cell>
          <cell r="D802" t="str">
            <v>Shouq Abdulmohsen M Alotaibi</v>
          </cell>
          <cell r="E802" t="str">
            <v>شوق عبدالمحسن معيض العتيبي</v>
          </cell>
          <cell r="F802" t="str">
            <v>Female</v>
          </cell>
          <cell r="G802" t="str">
            <v/>
          </cell>
          <cell r="H802">
            <v>37383</v>
          </cell>
          <cell r="I802">
            <v>24</v>
          </cell>
          <cell r="J802">
            <v>8807</v>
          </cell>
          <cell r="K802" t="str">
            <v>Shouq.Alotaibi-t@agriserv.sa</v>
          </cell>
          <cell r="L802" t="str">
            <v>0576342573</v>
          </cell>
          <cell r="M802" t="str">
            <v/>
          </cell>
          <cell r="N802" t="str">
            <v>المملكة العربية السعودية</v>
          </cell>
          <cell r="O802" t="str">
            <v>50001295</v>
          </cell>
          <cell r="P802" t="str">
            <v>Tamheer</v>
          </cell>
          <cell r="Q802" t="str">
            <v>متدرب</v>
          </cell>
          <cell r="R802" t="str">
            <v/>
          </cell>
          <cell r="S802" t="str">
            <v/>
          </cell>
          <cell r="T802" t="str">
            <v/>
          </cell>
          <cell r="U802" t="str">
            <v>الموارد البشرية</v>
          </cell>
          <cell r="V802" t="str">
            <v>الخدمات المشتركة</v>
          </cell>
          <cell r="W802" t="str">
            <v>Al Riyadh</v>
          </cell>
          <cell r="X802" t="str">
            <v xml:space="preserve">المقر الرئيسي </v>
          </cell>
          <cell r="Y802">
            <v>46113</v>
          </cell>
          <cell r="Z802">
            <v>0.21</v>
          </cell>
          <cell r="AA802">
            <v>77</v>
          </cell>
          <cell r="AB802" t="str">
            <v>نشط</v>
          </cell>
          <cell r="AC802" t="str">
            <v>100000</v>
          </cell>
          <cell r="AD802" t="str">
            <v>Hussain Almalki</v>
          </cell>
          <cell r="AE802" t="str">
            <v>متدرب</v>
          </cell>
          <cell r="AF802" t="str">
            <v/>
          </cell>
          <cell r="AG802" t="str">
            <v/>
          </cell>
          <cell r="AH802" t="str">
            <v/>
          </cell>
          <cell r="AI802" t="str">
            <v/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 t="str">
            <v/>
          </cell>
          <cell r="AO802" t="str">
            <v>الموارد البشرية</v>
          </cell>
          <cell r="AP802" t="str">
            <v/>
          </cell>
          <cell r="AQ802" t="str">
            <v/>
          </cell>
          <cell r="AR802">
            <v>0</v>
          </cell>
          <cell r="AS802" t="str">
            <v/>
          </cell>
          <cell r="AT802" t="str">
            <v/>
          </cell>
          <cell r="AU802" t="str">
            <v/>
          </cell>
          <cell r="AV802" t="str">
            <v/>
          </cell>
        </row>
        <row r="803">
          <cell r="A803">
            <v>600011</v>
          </cell>
          <cell r="B803" t="str">
            <v>1121519258</v>
          </cell>
          <cell r="C803" t="str">
            <v>الآنسة</v>
          </cell>
          <cell r="D803" t="str">
            <v>Hissah Muqhim Abdullah Alsahli</v>
          </cell>
          <cell r="E803" t="str">
            <v>حصه مقحم عبدالله السهلي</v>
          </cell>
          <cell r="F803" t="str">
            <v>Female</v>
          </cell>
          <cell r="G803" t="str">
            <v/>
          </cell>
          <cell r="H803">
            <v>37416</v>
          </cell>
          <cell r="I803">
            <v>24</v>
          </cell>
          <cell r="J803">
            <v>8774</v>
          </cell>
          <cell r="K803" t="str">
            <v>Hissah.Alsahli-t@agriserv.sa</v>
          </cell>
          <cell r="L803" t="str">
            <v>0533606820</v>
          </cell>
          <cell r="M803" t="str">
            <v/>
          </cell>
          <cell r="N803" t="str">
            <v>المملكة العربية السعودية</v>
          </cell>
          <cell r="O803" t="str">
            <v>50001613</v>
          </cell>
          <cell r="P803" t="str">
            <v>Tamheer</v>
          </cell>
          <cell r="Q803" t="str">
            <v>متدرب</v>
          </cell>
          <cell r="R803" t="str">
            <v/>
          </cell>
          <cell r="S803" t="str">
            <v/>
          </cell>
          <cell r="T803" t="str">
            <v/>
          </cell>
          <cell r="U803" t="str">
            <v>الخدمات البيطرية</v>
          </cell>
          <cell r="V803" t="str">
            <v>العمليات</v>
          </cell>
          <cell r="W803" t="str">
            <v>Al Riyadh</v>
          </cell>
          <cell r="X803" t="str">
            <v xml:space="preserve">المقر الرئيسي </v>
          </cell>
          <cell r="Y803">
            <v>46113</v>
          </cell>
          <cell r="Z803">
            <v>0.21</v>
          </cell>
          <cell r="AA803">
            <v>77</v>
          </cell>
          <cell r="AB803" t="str">
            <v>نشط</v>
          </cell>
          <cell r="AC803" t="str">
            <v>400003</v>
          </cell>
          <cell r="AD803" t="str">
            <v>Ibrahim Bukhari</v>
          </cell>
          <cell r="AE803" t="str">
            <v>متدرب</v>
          </cell>
          <cell r="AF803" t="str">
            <v/>
          </cell>
          <cell r="AG803" t="str">
            <v/>
          </cell>
          <cell r="AH803" t="str">
            <v/>
          </cell>
          <cell r="AI803" t="str">
            <v/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 t="str">
            <v/>
          </cell>
          <cell r="AO803" t="str">
            <v>عام</v>
          </cell>
          <cell r="AP803" t="str">
            <v/>
          </cell>
          <cell r="AQ803" t="str">
            <v/>
          </cell>
          <cell r="AR803">
            <v>0</v>
          </cell>
          <cell r="AS803" t="str">
            <v/>
          </cell>
          <cell r="AT803" t="str">
            <v/>
          </cell>
          <cell r="AU803" t="str">
            <v/>
          </cell>
          <cell r="AV803" t="str">
            <v/>
          </cell>
        </row>
        <row r="804">
          <cell r="A804">
            <v>600012</v>
          </cell>
          <cell r="B804" t="str">
            <v>1128286257</v>
          </cell>
          <cell r="C804" t="str">
            <v>السيد</v>
          </cell>
          <cell r="D804" t="str">
            <v>Fahad Abdullah N Alotaibi</v>
          </cell>
          <cell r="E804" t="str">
            <v>فهد عبدالله نوار العتيبي</v>
          </cell>
          <cell r="F804" t="str">
            <v>Male</v>
          </cell>
          <cell r="G804" t="str">
            <v/>
          </cell>
          <cell r="H804">
            <v>37237</v>
          </cell>
          <cell r="I804">
            <v>25</v>
          </cell>
          <cell r="J804">
            <v>8953</v>
          </cell>
          <cell r="K804" t="str">
            <v>Fahad.Alotaibi-t@agriserv.sa</v>
          </cell>
          <cell r="L804" t="str">
            <v>0536344900</v>
          </cell>
          <cell r="M804" t="str">
            <v/>
          </cell>
          <cell r="N804" t="str">
            <v>المملكة العربية السعودية</v>
          </cell>
          <cell r="O804" t="str">
            <v>50001612</v>
          </cell>
          <cell r="P804" t="str">
            <v>Tamheer</v>
          </cell>
          <cell r="Q804" t="str">
            <v>متدرب</v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>العمليات</v>
          </cell>
          <cell r="W804" t="str">
            <v>Al Riyadh</v>
          </cell>
          <cell r="X804" t="str">
            <v xml:space="preserve">المقر الرئيسي </v>
          </cell>
          <cell r="Y804">
            <v>46113</v>
          </cell>
          <cell r="Z804">
            <v>0.21</v>
          </cell>
          <cell r="AA804">
            <v>77</v>
          </cell>
          <cell r="AB804" t="str">
            <v>نشط</v>
          </cell>
          <cell r="AC804" t="str">
            <v>100136</v>
          </cell>
          <cell r="AD804" t="str">
            <v>Yagoub Aljraid</v>
          </cell>
          <cell r="AE804" t="str">
            <v>متدرب</v>
          </cell>
          <cell r="AF804" t="str">
            <v/>
          </cell>
          <cell r="AG804" t="str">
            <v/>
          </cell>
          <cell r="AH804" t="str">
            <v/>
          </cell>
          <cell r="AI804" t="str">
            <v/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 t="str">
            <v/>
          </cell>
          <cell r="AO804" t="str">
            <v>الخدمات النباتيةِ</v>
          </cell>
          <cell r="AP804" t="str">
            <v/>
          </cell>
          <cell r="AQ804" t="str">
            <v/>
          </cell>
          <cell r="AR804">
            <v>0</v>
          </cell>
          <cell r="AS804" t="str">
            <v/>
          </cell>
          <cell r="AT804" t="str">
            <v/>
          </cell>
          <cell r="AU804" t="str">
            <v/>
          </cell>
          <cell r="AV804" t="str">
            <v/>
          </cell>
        </row>
        <row r="805">
          <cell r="A805">
            <v>600013</v>
          </cell>
          <cell r="B805" t="str">
            <v>1123201186</v>
          </cell>
          <cell r="C805" t="str">
            <v>الآنسة</v>
          </cell>
          <cell r="D805" t="str">
            <v>Renad Abdulrahman Mohammed Alrayes</v>
          </cell>
          <cell r="E805" t="str">
            <v>ريناد عبدالرحمن محمد الريس</v>
          </cell>
          <cell r="F805" t="str">
            <v>Female</v>
          </cell>
          <cell r="G805" t="str">
            <v/>
          </cell>
          <cell r="H805">
            <v>37965</v>
          </cell>
          <cell r="I805">
            <v>23</v>
          </cell>
          <cell r="J805">
            <v>8225</v>
          </cell>
          <cell r="K805" t="str">
            <v>Renad.Alrayes-t@agriserv.sa</v>
          </cell>
          <cell r="L805" t="str">
            <v>0507182606</v>
          </cell>
          <cell r="M805" t="str">
            <v/>
          </cell>
          <cell r="N805" t="str">
            <v>المملكة العربية السعودية</v>
          </cell>
          <cell r="O805" t="str">
            <v>50001607</v>
          </cell>
          <cell r="P805" t="str">
            <v>Tamheer</v>
          </cell>
          <cell r="Q805" t="str">
            <v>متدرب</v>
          </cell>
          <cell r="R805" t="str">
            <v/>
          </cell>
          <cell r="S805" t="str">
            <v/>
          </cell>
          <cell r="T805" t="str">
            <v/>
          </cell>
          <cell r="U805" t="str">
            <v>التخطيط والأداء المالي</v>
          </cell>
          <cell r="V805" t="str">
            <v>المالية</v>
          </cell>
          <cell r="W805" t="str">
            <v>Al Riyadh</v>
          </cell>
          <cell r="X805" t="str">
            <v xml:space="preserve">المقر الرئيسي </v>
          </cell>
          <cell r="Y805">
            <v>46113</v>
          </cell>
          <cell r="Z805">
            <v>0.21</v>
          </cell>
          <cell r="AA805">
            <v>77</v>
          </cell>
          <cell r="AB805" t="str">
            <v>نشط</v>
          </cell>
          <cell r="AC805" t="str">
            <v>100183</v>
          </cell>
          <cell r="AD805" t="str">
            <v>Abdulaziz Aljadaan</v>
          </cell>
          <cell r="AE805" t="str">
            <v>متدرب</v>
          </cell>
          <cell r="AF805" t="str">
            <v/>
          </cell>
          <cell r="AG805" t="str">
            <v/>
          </cell>
          <cell r="AH805" t="str">
            <v/>
          </cell>
          <cell r="AI805" t="str">
            <v/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 t="str">
            <v/>
          </cell>
          <cell r="AO805" t="str">
            <v>التخطيط والأداء المالي</v>
          </cell>
          <cell r="AP805" t="str">
            <v/>
          </cell>
          <cell r="AQ805" t="str">
            <v/>
          </cell>
          <cell r="AR805">
            <v>0</v>
          </cell>
          <cell r="AS805" t="str">
            <v/>
          </cell>
          <cell r="AT805" t="str">
            <v/>
          </cell>
          <cell r="AU805" t="str">
            <v/>
          </cell>
          <cell r="AV805" t="str">
            <v/>
          </cell>
        </row>
        <row r="806">
          <cell r="A806">
            <v>600014</v>
          </cell>
          <cell r="B806" t="str">
            <v>1112209646</v>
          </cell>
          <cell r="C806" t="str">
            <v>الآنسة</v>
          </cell>
          <cell r="D806" t="str">
            <v>Manar Ayesh Fahad Albaqami</v>
          </cell>
          <cell r="E806" t="str">
            <v>منار عايش فهد البقمي</v>
          </cell>
          <cell r="F806" t="str">
            <v>Female</v>
          </cell>
          <cell r="G806" t="str">
            <v/>
          </cell>
          <cell r="H806">
            <v>37069</v>
          </cell>
          <cell r="I806">
            <v>25</v>
          </cell>
          <cell r="J806">
            <v>9121</v>
          </cell>
          <cell r="K806" t="str">
            <v>Manar.Albaqami-t@agriserv.sa</v>
          </cell>
          <cell r="L806" t="str">
            <v>0558792531</v>
          </cell>
          <cell r="M806" t="str">
            <v/>
          </cell>
          <cell r="N806" t="str">
            <v>المملكة العربية السعودية</v>
          </cell>
          <cell r="O806" t="str">
            <v>50001610</v>
          </cell>
          <cell r="P806" t="str">
            <v>Tamheer</v>
          </cell>
          <cell r="Q806" t="str">
            <v>متدرب</v>
          </cell>
          <cell r="R806" t="str">
            <v/>
          </cell>
          <cell r="S806" t="str">
            <v/>
          </cell>
          <cell r="T806" t="str">
            <v/>
          </cell>
          <cell r="U806" t="str">
            <v/>
          </cell>
          <cell r="V806" t="str">
            <v>التراخيص</v>
          </cell>
          <cell r="W806" t="str">
            <v>Al Riyadh</v>
          </cell>
          <cell r="X806" t="str">
            <v xml:space="preserve">المقر الرئيسي </v>
          </cell>
          <cell r="Y806">
            <v>46113</v>
          </cell>
          <cell r="Z806">
            <v>0.21</v>
          </cell>
          <cell r="AA806">
            <v>77</v>
          </cell>
          <cell r="AB806" t="str">
            <v>نشط</v>
          </cell>
          <cell r="AC806" t="str">
            <v>100145</v>
          </cell>
          <cell r="AD806" t="str">
            <v>Hani Barniyah</v>
          </cell>
          <cell r="AE806" t="str">
            <v>متدرب</v>
          </cell>
          <cell r="AF806" t="str">
            <v/>
          </cell>
          <cell r="AG806" t="str">
            <v/>
          </cell>
          <cell r="AH806" t="str">
            <v/>
          </cell>
          <cell r="AI806" t="str">
            <v/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 t="str">
            <v/>
          </cell>
          <cell r="AO806" t="str">
            <v>التسجيل</v>
          </cell>
          <cell r="AP806" t="str">
            <v/>
          </cell>
          <cell r="AQ806" t="str">
            <v/>
          </cell>
          <cell r="AR806">
            <v>0</v>
          </cell>
          <cell r="AS806" t="str">
            <v/>
          </cell>
          <cell r="AT806" t="str">
            <v/>
          </cell>
          <cell r="AU806" t="str">
            <v/>
          </cell>
          <cell r="AV806" t="str">
            <v/>
          </cell>
        </row>
        <row r="807">
          <cell r="A807">
            <v>600015</v>
          </cell>
          <cell r="B807" t="str">
            <v>1118209459</v>
          </cell>
          <cell r="C807" t="str">
            <v>الآنسة</v>
          </cell>
          <cell r="D807" t="str">
            <v>Munirah Ahmed saad Almansour</v>
          </cell>
          <cell r="E807" t="str">
            <v>منيرة احمد سعد المنصور</v>
          </cell>
          <cell r="F807" t="str">
            <v>Female</v>
          </cell>
          <cell r="G807" t="str">
            <v/>
          </cell>
          <cell r="H807">
            <v>37552</v>
          </cell>
          <cell r="I807">
            <v>24</v>
          </cell>
          <cell r="J807">
            <v>8638</v>
          </cell>
          <cell r="K807" t="str">
            <v>Munirah.Almansour-t@agriserv.sa</v>
          </cell>
          <cell r="L807" t="str">
            <v>0506547056</v>
          </cell>
          <cell r="M807" t="str">
            <v/>
          </cell>
          <cell r="N807" t="str">
            <v>المملكة العربية السعودية</v>
          </cell>
          <cell r="O807" t="str">
            <v>50001608</v>
          </cell>
          <cell r="P807" t="str">
            <v>Tamheer</v>
          </cell>
          <cell r="Q807" t="str">
            <v>متدرب</v>
          </cell>
          <cell r="R807" t="str">
            <v/>
          </cell>
          <cell r="S807" t="str">
            <v/>
          </cell>
          <cell r="T807" t="str">
            <v/>
          </cell>
          <cell r="U807" t="str">
            <v>تطوير الأعمال</v>
          </cell>
          <cell r="V807" t="str">
            <v>الخدمات التجارية</v>
          </cell>
          <cell r="W807" t="str">
            <v>Al Riyadh</v>
          </cell>
          <cell r="X807" t="str">
            <v xml:space="preserve">المقر الرئيسي </v>
          </cell>
          <cell r="Y807">
            <v>46113</v>
          </cell>
          <cell r="Z807">
            <v>0.21</v>
          </cell>
          <cell r="AA807">
            <v>77</v>
          </cell>
          <cell r="AB807" t="str">
            <v>نشط</v>
          </cell>
          <cell r="AC807" t="str">
            <v>100042</v>
          </cell>
          <cell r="AD807" t="str">
            <v>Omar Ababtain</v>
          </cell>
          <cell r="AE807" t="str">
            <v>متدرب</v>
          </cell>
          <cell r="AF807" t="str">
            <v/>
          </cell>
          <cell r="AG807" t="str">
            <v/>
          </cell>
          <cell r="AH807" t="str">
            <v/>
          </cell>
          <cell r="AI807" t="str">
            <v/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 t="str">
            <v/>
          </cell>
          <cell r="AO807" t="str">
            <v>تطوير الأعمال</v>
          </cell>
          <cell r="AP807" t="str">
            <v/>
          </cell>
          <cell r="AQ807" t="str">
            <v/>
          </cell>
          <cell r="AR807">
            <v>0</v>
          </cell>
          <cell r="AS807" t="str">
            <v/>
          </cell>
          <cell r="AT807" t="str">
            <v/>
          </cell>
          <cell r="AU807" t="str">
            <v/>
          </cell>
          <cell r="AV807" t="str">
            <v/>
          </cell>
        </row>
        <row r="808">
          <cell r="A808">
            <v>600016</v>
          </cell>
          <cell r="B808" t="str">
            <v>1108588045</v>
          </cell>
          <cell r="C808" t="str">
            <v>الآنسة</v>
          </cell>
          <cell r="D808" t="str">
            <v>Latifa Ahmed Ibraheem Alismael</v>
          </cell>
          <cell r="E808" t="str">
            <v>لطيفه أحمد ابراهيم السماعيل</v>
          </cell>
          <cell r="F808" t="str">
            <v>Female</v>
          </cell>
          <cell r="G808" t="str">
            <v/>
          </cell>
          <cell r="H808">
            <v>36741</v>
          </cell>
          <cell r="I808">
            <v>26</v>
          </cell>
          <cell r="J808">
            <v>9449</v>
          </cell>
          <cell r="K808" t="str">
            <v>Latifa.Alismael-t@agriserv.sa</v>
          </cell>
          <cell r="L808" t="str">
            <v>0543540766</v>
          </cell>
          <cell r="M808" t="str">
            <v/>
          </cell>
          <cell r="N808" t="str">
            <v>المملكة العربية السعودية</v>
          </cell>
          <cell r="O808" t="str">
            <v>50001606</v>
          </cell>
          <cell r="P808" t="str">
            <v>Tamheer</v>
          </cell>
          <cell r="Q808" t="str">
            <v>متدرب</v>
          </cell>
          <cell r="R808" t="str">
            <v/>
          </cell>
          <cell r="S808" t="str">
            <v/>
          </cell>
          <cell r="T808" t="str">
            <v/>
          </cell>
          <cell r="U808" t="str">
            <v/>
          </cell>
          <cell r="V808" t="str">
            <v>المالية</v>
          </cell>
          <cell r="W808" t="str">
            <v>Al Riyadh</v>
          </cell>
          <cell r="X808" t="str">
            <v xml:space="preserve">المقر الرئيسي </v>
          </cell>
          <cell r="Y808">
            <v>46113</v>
          </cell>
          <cell r="Z808">
            <v>0.21</v>
          </cell>
          <cell r="AA808">
            <v>77</v>
          </cell>
          <cell r="AB808" t="str">
            <v>نشط</v>
          </cell>
          <cell r="AC808" t="str">
            <v>100189</v>
          </cell>
          <cell r="AD808" t="str">
            <v>Abdullah Bin Nawman</v>
          </cell>
          <cell r="AE808" t="str">
            <v>متدرب</v>
          </cell>
          <cell r="AF808" t="str">
            <v/>
          </cell>
          <cell r="AG808" t="str">
            <v/>
          </cell>
          <cell r="AH808" t="str">
            <v/>
          </cell>
          <cell r="AI808" t="str">
            <v/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 t="str">
            <v/>
          </cell>
          <cell r="AO808" t="str">
            <v>الحسابات</v>
          </cell>
          <cell r="AP808" t="str">
            <v/>
          </cell>
          <cell r="AQ808" t="str">
            <v/>
          </cell>
          <cell r="AR808">
            <v>0</v>
          </cell>
          <cell r="AS808" t="str">
            <v/>
          </cell>
          <cell r="AT808" t="str">
            <v/>
          </cell>
          <cell r="AU808" t="str">
            <v/>
          </cell>
          <cell r="AV808" t="str">
            <v/>
          </cell>
        </row>
        <row r="809">
          <cell r="A809">
            <v>600017</v>
          </cell>
          <cell r="B809" t="str">
            <v>1118937323</v>
          </cell>
          <cell r="C809" t="str">
            <v>الآنسة</v>
          </cell>
          <cell r="D809" t="str">
            <v>Bayan Abdullah Mesfer Alqahtani</v>
          </cell>
          <cell r="E809" t="str">
            <v>بيان عبدالله مسفر القحطاني</v>
          </cell>
          <cell r="F809" t="str">
            <v>Female</v>
          </cell>
          <cell r="G809" t="str">
            <v/>
          </cell>
          <cell r="H809">
            <v>36845</v>
          </cell>
          <cell r="I809">
            <v>26</v>
          </cell>
          <cell r="J809">
            <v>9345</v>
          </cell>
          <cell r="K809" t="str">
            <v>Bayan.Alqahtani-t@agriserv.sa</v>
          </cell>
          <cell r="L809" t="str">
            <v>0581305191</v>
          </cell>
          <cell r="M809" t="str">
            <v/>
          </cell>
          <cell r="N809" t="str">
            <v>المملكة العربية السعودية</v>
          </cell>
          <cell r="O809" t="str">
            <v>50001609</v>
          </cell>
          <cell r="P809" t="str">
            <v>Tamheer</v>
          </cell>
          <cell r="Q809" t="str">
            <v>متدرب</v>
          </cell>
          <cell r="R809" t="str">
            <v/>
          </cell>
          <cell r="S809" t="str">
            <v/>
          </cell>
          <cell r="T809" t="str">
            <v/>
          </cell>
          <cell r="U809" t="str">
            <v>تسويق</v>
          </cell>
          <cell r="V809" t="str">
            <v>الخدمات التجارية</v>
          </cell>
          <cell r="W809" t="str">
            <v>Al Riyadh</v>
          </cell>
          <cell r="X809" t="str">
            <v xml:space="preserve">المقر الرئيسي </v>
          </cell>
          <cell r="Y809">
            <v>46113</v>
          </cell>
          <cell r="Z809">
            <v>0.21</v>
          </cell>
          <cell r="AA809">
            <v>77</v>
          </cell>
          <cell r="AB809" t="str">
            <v>نشط</v>
          </cell>
          <cell r="AC809" t="str">
            <v>100160</v>
          </cell>
          <cell r="AD809" t="str">
            <v>Shahad Alrumaih</v>
          </cell>
          <cell r="AE809" t="str">
            <v>متدرب</v>
          </cell>
          <cell r="AF809" t="str">
            <v/>
          </cell>
          <cell r="AG809" t="str">
            <v/>
          </cell>
          <cell r="AH809" t="str">
            <v/>
          </cell>
          <cell r="AI809" t="str">
            <v/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 t="str">
            <v/>
          </cell>
          <cell r="AO809" t="str">
            <v>تسويق</v>
          </cell>
          <cell r="AP809" t="str">
            <v/>
          </cell>
          <cell r="AQ809" t="str">
            <v/>
          </cell>
          <cell r="AR809">
            <v>0</v>
          </cell>
          <cell r="AS809" t="str">
            <v/>
          </cell>
          <cell r="AT809" t="str">
            <v/>
          </cell>
          <cell r="AU809" t="str">
            <v/>
          </cell>
          <cell r="AV809" t="str">
            <v/>
          </cell>
        </row>
        <row r="810">
          <cell r="A810">
            <v>600018</v>
          </cell>
          <cell r="B810" t="str">
            <v>1122300674</v>
          </cell>
          <cell r="C810" t="str">
            <v>السيدة</v>
          </cell>
          <cell r="D810" t="str">
            <v>Dalia Mohammed Khaled Asaad</v>
          </cell>
          <cell r="E810" t="str">
            <v>داليا محمد خالد اسعد</v>
          </cell>
          <cell r="F810" t="str">
            <v>Female</v>
          </cell>
          <cell r="G810" t="str">
            <v/>
          </cell>
          <cell r="H810">
            <v>37309</v>
          </cell>
          <cell r="I810">
            <v>24</v>
          </cell>
          <cell r="J810">
            <v>8881</v>
          </cell>
          <cell r="K810" t="str">
            <v>Dalia.Asaad-t@agriserv.sa</v>
          </cell>
          <cell r="L810" t="str">
            <v>0552937865</v>
          </cell>
          <cell r="M810" t="str">
            <v/>
          </cell>
          <cell r="N810" t="str">
            <v>المملكة العربية السعودية</v>
          </cell>
          <cell r="O810" t="str">
            <v>50001611</v>
          </cell>
          <cell r="P810" t="str">
            <v>Tamheer</v>
          </cell>
          <cell r="Q810" t="str">
            <v>متدرب</v>
          </cell>
          <cell r="R810" t="str">
            <v/>
          </cell>
          <cell r="S810" t="str">
            <v/>
          </cell>
          <cell r="T810" t="str">
            <v/>
          </cell>
          <cell r="U810" t="str">
            <v/>
          </cell>
          <cell r="V810" t="str">
            <v>التراخيص</v>
          </cell>
          <cell r="W810" t="str">
            <v>Al Riyadh</v>
          </cell>
          <cell r="X810" t="str">
            <v xml:space="preserve">المقر الرئيسي </v>
          </cell>
          <cell r="Y810">
            <v>46175</v>
          </cell>
          <cell r="Z810">
            <v>0.04</v>
          </cell>
          <cell r="AA810">
            <v>15</v>
          </cell>
          <cell r="AB810" t="str">
            <v>نشط</v>
          </cell>
          <cell r="AC810" t="str">
            <v>100145</v>
          </cell>
          <cell r="AD810" t="str">
            <v>Hani Barniyah</v>
          </cell>
          <cell r="AE810" t="str">
            <v>متدرب</v>
          </cell>
          <cell r="AF810" t="str">
            <v/>
          </cell>
          <cell r="AG810" t="str">
            <v/>
          </cell>
          <cell r="AH810" t="str">
            <v/>
          </cell>
          <cell r="AI810" t="str">
            <v/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 t="str">
            <v/>
          </cell>
          <cell r="AO810" t="str">
            <v>التسجيل</v>
          </cell>
          <cell r="AP810" t="str">
            <v/>
          </cell>
          <cell r="AQ810" t="str">
            <v/>
          </cell>
          <cell r="AR810">
            <v>0</v>
          </cell>
          <cell r="AS810" t="str">
            <v/>
          </cell>
          <cell r="AT810" t="str">
            <v/>
          </cell>
          <cell r="AU810" t="str">
            <v/>
          </cell>
          <cell r="AV810" t="str">
            <v/>
          </cell>
        </row>
        <row r="811">
          <cell r="A811">
            <v>600019</v>
          </cell>
          <cell r="B811" t="str">
            <v>1118120284</v>
          </cell>
          <cell r="C811" t="str">
            <v>السيدة</v>
          </cell>
          <cell r="D811" t="str">
            <v>Hajar Musaad Almalki</v>
          </cell>
          <cell r="E811" t="str">
            <v>هاجر  مساعد حمدان المالكي</v>
          </cell>
          <cell r="F811" t="str">
            <v>Female</v>
          </cell>
          <cell r="G811" t="str">
            <v/>
          </cell>
          <cell r="H811">
            <v>37539</v>
          </cell>
          <cell r="I811">
            <v>24</v>
          </cell>
          <cell r="J811">
            <v>8651</v>
          </cell>
          <cell r="K811" t="str">
            <v>hajar.almalki-t@agriserv.sa</v>
          </cell>
          <cell r="L811" t="str">
            <v>0509053658</v>
          </cell>
          <cell r="M811" t="str">
            <v/>
          </cell>
          <cell r="N811" t="str">
            <v>المملكة العربية السعودية</v>
          </cell>
          <cell r="O811" t="str">
            <v>50001616</v>
          </cell>
          <cell r="P811" t="str">
            <v>تمهير</v>
          </cell>
          <cell r="Q811" t="str">
            <v>متدرب</v>
          </cell>
          <cell r="R811" t="str">
            <v/>
          </cell>
          <cell r="S811" t="str">
            <v/>
          </cell>
          <cell r="T811" t="str">
            <v/>
          </cell>
          <cell r="U811" t="str">
            <v/>
          </cell>
          <cell r="V811" t="str">
            <v>المراجعة الداخلية</v>
          </cell>
          <cell r="W811" t="str">
            <v>Head Quarter</v>
          </cell>
          <cell r="X811" t="str">
            <v xml:space="preserve">المقر الرئيسي </v>
          </cell>
          <cell r="Y811">
            <v>46175</v>
          </cell>
          <cell r="Z811">
            <v>0.04</v>
          </cell>
          <cell r="AA811">
            <v>15</v>
          </cell>
          <cell r="AB811" t="str">
            <v>نشط</v>
          </cell>
          <cell r="AC811" t="str">
            <v>100044</v>
          </cell>
          <cell r="AD811" t="str">
            <v>Essam Alnasayyn</v>
          </cell>
          <cell r="AE811" t="str">
            <v>متدرب</v>
          </cell>
          <cell r="AF811" t="str">
            <v/>
          </cell>
          <cell r="AG811" t="str">
            <v/>
          </cell>
          <cell r="AH811" t="str">
            <v/>
          </cell>
          <cell r="AI811" t="str">
            <v/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 t="str">
            <v/>
          </cell>
          <cell r="AO811" t="str">
            <v>Internal Audit Department</v>
          </cell>
          <cell r="AP811" t="str">
            <v/>
          </cell>
          <cell r="AQ811" t="str">
            <v/>
          </cell>
          <cell r="AR811">
            <v>0</v>
          </cell>
          <cell r="AS811" t="str">
            <v/>
          </cell>
          <cell r="AT811" t="str">
            <v/>
          </cell>
          <cell r="AU811" t="str">
            <v/>
          </cell>
          <cell r="AV811" t="str">
            <v/>
          </cell>
        </row>
        <row r="812">
          <cell r="A812">
            <v>600020</v>
          </cell>
          <cell r="B812" t="str">
            <v>1102604400</v>
          </cell>
          <cell r="C812" t="str">
            <v>السيد</v>
          </cell>
          <cell r="D812" t="str">
            <v>Abdullah Muqbil Alotaibi</v>
          </cell>
          <cell r="E812" t="str">
            <v>عبدالله  مقبل ابراهيم العتيبي</v>
          </cell>
          <cell r="F812" t="str">
            <v>Male</v>
          </cell>
          <cell r="G812" t="str">
            <v/>
          </cell>
          <cell r="H812">
            <v>36216</v>
          </cell>
          <cell r="I812">
            <v>27</v>
          </cell>
          <cell r="J812">
            <v>9974</v>
          </cell>
          <cell r="K812" t="str">
            <v>abdullah.alotaibi-t@agriserv.sa</v>
          </cell>
          <cell r="L812" t="str">
            <v>0502532640</v>
          </cell>
          <cell r="M812" t="str">
            <v/>
          </cell>
          <cell r="N812" t="str">
            <v>المملكة العربية السعودية</v>
          </cell>
          <cell r="O812" t="str">
            <v>50001617</v>
          </cell>
          <cell r="P812" t="str">
            <v>تمهير</v>
          </cell>
          <cell r="Q812" t="str">
            <v>متدرب</v>
          </cell>
          <cell r="R812" t="str">
            <v/>
          </cell>
          <cell r="S812" t="str">
            <v/>
          </cell>
          <cell r="T812" t="str">
            <v/>
          </cell>
          <cell r="U812" t="str">
            <v/>
          </cell>
          <cell r="V812" t="str">
            <v>التراخيص</v>
          </cell>
          <cell r="W812" t="str">
            <v>Head Quarter</v>
          </cell>
          <cell r="X812" t="str">
            <v xml:space="preserve">المقر الرئيسي </v>
          </cell>
          <cell r="Y812">
            <v>46175</v>
          </cell>
          <cell r="Z812">
            <v>0.04</v>
          </cell>
          <cell r="AA812">
            <v>15</v>
          </cell>
          <cell r="AB812" t="str">
            <v>نشط</v>
          </cell>
          <cell r="AC812" t="str">
            <v>100127</v>
          </cell>
          <cell r="AD812" t="str">
            <v>Abdullah Alotaibi</v>
          </cell>
          <cell r="AE812" t="str">
            <v>متدرب</v>
          </cell>
          <cell r="AF812" t="str">
            <v/>
          </cell>
          <cell r="AG812" t="str">
            <v/>
          </cell>
          <cell r="AH812" t="str">
            <v/>
          </cell>
          <cell r="AI812" t="str">
            <v/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 t="str">
            <v/>
          </cell>
          <cell r="AO812" t="str">
            <v>التراخيص والشهادات</v>
          </cell>
          <cell r="AP812" t="str">
            <v/>
          </cell>
          <cell r="AQ812" t="str">
            <v/>
          </cell>
          <cell r="AR812">
            <v>0</v>
          </cell>
          <cell r="AS812" t="str">
            <v/>
          </cell>
          <cell r="AT812" t="str">
            <v/>
          </cell>
          <cell r="AU812" t="str">
            <v/>
          </cell>
          <cell r="AV812" t="str">
            <v/>
          </cell>
        </row>
        <row r="813">
          <cell r="A813">
            <v>600021</v>
          </cell>
          <cell r="B813" t="str">
            <v>1124173319</v>
          </cell>
          <cell r="C813" t="str">
            <v>السيد</v>
          </cell>
          <cell r="D813" t="str">
            <v>Mustafa Saleh Abdullah ِAlmuhanna</v>
          </cell>
          <cell r="E813" t="str">
            <v>مصطفى صالح عبدالله المهناء</v>
          </cell>
          <cell r="F813" t="str">
            <v>Male</v>
          </cell>
          <cell r="G813" t="str">
            <v/>
          </cell>
          <cell r="H813">
            <v>37400</v>
          </cell>
          <cell r="I813">
            <v>24</v>
          </cell>
          <cell r="J813">
            <v>8790</v>
          </cell>
          <cell r="K813" t="str">
            <v>Mustafa.Almuhanna-t@agriserv.sa</v>
          </cell>
          <cell r="L813" t="str">
            <v>0563755322</v>
          </cell>
          <cell r="M813" t="str">
            <v/>
          </cell>
          <cell r="N813" t="str">
            <v>المملكة العربية السعودية</v>
          </cell>
          <cell r="O813" t="str">
            <v>50001399</v>
          </cell>
          <cell r="P813" t="str">
            <v>متدرب - طبيب بيطري</v>
          </cell>
          <cell r="Q813" t="str">
            <v>متدرب</v>
          </cell>
          <cell r="R813" t="str">
            <v/>
          </cell>
          <cell r="S813" t="str">
            <v/>
          </cell>
          <cell r="T813" t="str">
            <v/>
          </cell>
          <cell r="U813" t="str">
            <v/>
          </cell>
          <cell r="V813" t="str">
            <v>العمليات</v>
          </cell>
          <cell r="W813" t="str">
            <v>Jiddah</v>
          </cell>
          <cell r="X813" t="str">
            <v xml:space="preserve">الفرع </v>
          </cell>
          <cell r="Y813">
            <v>46187</v>
          </cell>
          <cell r="Z813">
            <v>0.01</v>
          </cell>
          <cell r="AA813">
            <v>3</v>
          </cell>
          <cell r="AB813" t="str">
            <v>نشط</v>
          </cell>
          <cell r="AC813" t="str">
            <v>400414</v>
          </cell>
          <cell r="AD813" t="str">
            <v>Saud Althobaitei</v>
          </cell>
          <cell r="AE813" t="str">
            <v>متدرب</v>
          </cell>
          <cell r="AF813" t="str">
            <v/>
          </cell>
          <cell r="AG813" t="str">
            <v/>
          </cell>
          <cell r="AH813" t="str">
            <v/>
          </cell>
          <cell r="AI813" t="str">
            <v/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 t="str">
            <v/>
          </cell>
          <cell r="AO813" t="str">
            <v>Operation Department</v>
          </cell>
          <cell r="AP813" t="str">
            <v/>
          </cell>
          <cell r="AQ813" t="str">
            <v/>
          </cell>
          <cell r="AR813">
            <v>3000</v>
          </cell>
          <cell r="AS813" t="str">
            <v/>
          </cell>
          <cell r="AT813" t="str">
            <v/>
          </cell>
          <cell r="AU813" t="str">
            <v/>
          </cell>
          <cell r="AV813" t="str">
            <v/>
          </cell>
        </row>
        <row r="814">
          <cell r="A814">
            <v>700004</v>
          </cell>
          <cell r="B814" t="str">
            <v>1097325466</v>
          </cell>
          <cell r="C814" t="str">
            <v>السيد</v>
          </cell>
          <cell r="D814" t="str">
            <v>Jamal Adel Altayeb Bayyumi</v>
          </cell>
          <cell r="E814" t="str">
            <v>جمال عادل الطيب بيومي</v>
          </cell>
          <cell r="F814" t="str">
            <v>Male</v>
          </cell>
          <cell r="G814" t="str">
            <v/>
          </cell>
          <cell r="H814">
            <v>35732</v>
          </cell>
          <cell r="I814">
            <v>29</v>
          </cell>
          <cell r="J814">
            <v>10458</v>
          </cell>
          <cell r="K814" t="str">
            <v>Jamal.Bayyumi@agrisarv.sa</v>
          </cell>
          <cell r="L814" t="str">
            <v>0500402262</v>
          </cell>
          <cell r="M814" t="str">
            <v/>
          </cell>
          <cell r="N814" t="str">
            <v>المملكة العربية السعودية</v>
          </cell>
          <cell r="O814" t="str">
            <v>50001532</v>
          </cell>
          <cell r="P814" t="str">
            <v>مشرف محجر</v>
          </cell>
          <cell r="Q814" t="str">
            <v>Grade 1C</v>
          </cell>
          <cell r="R814" t="str">
            <v/>
          </cell>
          <cell r="S814" t="str">
            <v>محجر مطار الملك فهد  (الشرقية)</v>
          </cell>
          <cell r="T814" t="str">
            <v>خدمات المحجر</v>
          </cell>
          <cell r="U814" t="str">
            <v>الاذونات وخدمات المحاجر</v>
          </cell>
          <cell r="V814" t="str">
            <v>العمليات</v>
          </cell>
          <cell r="W814" t="str">
            <v>Ad-Dammam</v>
          </cell>
          <cell r="X814" t="str">
            <v xml:space="preserve">الفرع </v>
          </cell>
          <cell r="Y814">
            <v>45970</v>
          </cell>
          <cell r="Z814">
            <v>0.6</v>
          </cell>
          <cell r="AA814">
            <v>220</v>
          </cell>
          <cell r="AB814" t="str">
            <v>غير نشط</v>
          </cell>
          <cell r="AC814" t="str">
            <v>400270</v>
          </cell>
          <cell r="AD814" t="str">
            <v>Hesham Almutlaq</v>
          </cell>
          <cell r="AE814" t="str">
            <v>عقد مؤقت</v>
          </cell>
          <cell r="AF814">
            <v>45984</v>
          </cell>
          <cell r="AG814" t="str">
            <v/>
          </cell>
          <cell r="AH814" t="str">
            <v/>
          </cell>
          <cell r="AI814" t="str">
            <v/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 t="str">
            <v/>
          </cell>
          <cell r="AO814" t="str">
            <v>Import / Export Permits</v>
          </cell>
          <cell r="AP814" t="str">
            <v>Riyad Bank</v>
          </cell>
          <cell r="AQ814" t="str">
            <v>SA0320000003091849409940</v>
          </cell>
          <cell r="AR814">
            <v>5190</v>
          </cell>
          <cell r="AS814">
            <v>5190</v>
          </cell>
          <cell r="AT814">
            <v>519</v>
          </cell>
          <cell r="AU814">
            <v>1297.5</v>
          </cell>
          <cell r="AV814" t="str">
            <v/>
          </cell>
        </row>
        <row r="815">
          <cell r="A815">
            <v>700005</v>
          </cell>
          <cell r="B815" t="str">
            <v>1121059172</v>
          </cell>
          <cell r="C815" t="str">
            <v>السيد</v>
          </cell>
          <cell r="D815" t="str">
            <v>Abdalwadood Fawzi Ahmed Alshanar</v>
          </cell>
          <cell r="E815" t="str">
            <v>عبدالودود فوزي احمد آل شنر</v>
          </cell>
          <cell r="F815" t="str">
            <v>Male</v>
          </cell>
          <cell r="G815" t="str">
            <v/>
          </cell>
          <cell r="H815">
            <v>37798</v>
          </cell>
          <cell r="I815">
            <v>23</v>
          </cell>
          <cell r="J815">
            <v>8392</v>
          </cell>
          <cell r="K815" t="str">
            <v>Abdalwadood.Alshanar@agriserv.sa</v>
          </cell>
          <cell r="L815" t="str">
            <v>546550742</v>
          </cell>
          <cell r="M815" t="str">
            <v/>
          </cell>
          <cell r="N815" t="str">
            <v>المملكة العربية السعودية</v>
          </cell>
          <cell r="O815" t="str">
            <v>50001540</v>
          </cell>
          <cell r="P815" t="str">
            <v>أخصائي زراعي</v>
          </cell>
          <cell r="Q815" t="str">
            <v>Grade 1C</v>
          </cell>
          <cell r="R815" t="str">
            <v/>
          </cell>
          <cell r="S815" t="str">
            <v>منفذ ضباء  (تبوك)</v>
          </cell>
          <cell r="T815" t="str">
            <v>خدمات المحجر</v>
          </cell>
          <cell r="U815" t="str">
            <v>الاذونات وخدمات المحاجر</v>
          </cell>
          <cell r="V815" t="str">
            <v>العمليات</v>
          </cell>
          <cell r="W815" t="str">
            <v>Tabbuk</v>
          </cell>
          <cell r="X815" t="str">
            <v xml:space="preserve">الفرع </v>
          </cell>
          <cell r="Y815">
            <v>45970</v>
          </cell>
          <cell r="Z815">
            <v>0.6</v>
          </cell>
          <cell r="AA815">
            <v>220</v>
          </cell>
          <cell r="AB815" t="str">
            <v>نشط</v>
          </cell>
          <cell r="AC815" t="str">
            <v>400259</v>
          </cell>
          <cell r="AD815" t="str">
            <v>Fayez Alamrry</v>
          </cell>
          <cell r="AE815" t="str">
            <v>عقد مؤقت</v>
          </cell>
          <cell r="AF815" t="str">
            <v/>
          </cell>
          <cell r="AG815" t="str">
            <v/>
          </cell>
          <cell r="AH815" t="str">
            <v/>
          </cell>
          <cell r="AI815" t="str">
            <v/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 t="str">
            <v/>
          </cell>
          <cell r="AO815" t="str">
            <v>الاذونات وخدمات المحاجر</v>
          </cell>
          <cell r="AP815" t="str">
            <v>Al Rajhi Bank</v>
          </cell>
          <cell r="AQ815" t="str">
            <v>SA7780000255608016008163</v>
          </cell>
          <cell r="AR815">
            <v>6224</v>
          </cell>
          <cell r="AS815">
            <v>6224</v>
          </cell>
          <cell r="AT815">
            <v>622.4</v>
          </cell>
          <cell r="AU815">
            <v>1556</v>
          </cell>
          <cell r="AV815" t="str">
            <v/>
          </cell>
        </row>
        <row r="816">
          <cell r="A816">
            <v>700006</v>
          </cell>
          <cell r="B816" t="str">
            <v>1118403482</v>
          </cell>
          <cell r="C816" t="str">
            <v>السيد</v>
          </cell>
          <cell r="D816" t="str">
            <v>Abdulaziz Hamdan Abdullah Alzahrani</v>
          </cell>
          <cell r="E816" t="str">
            <v>عبد العزيز حمدان عبدالله الزهراني</v>
          </cell>
          <cell r="F816" t="str">
            <v>Male</v>
          </cell>
          <cell r="G816" t="str">
            <v/>
          </cell>
          <cell r="H816">
            <v>37357</v>
          </cell>
          <cell r="I816">
            <v>24</v>
          </cell>
          <cell r="J816">
            <v>8833</v>
          </cell>
          <cell r="K816" t="str">
            <v>Abdulaziz.Alzahrani@agriserv.sa</v>
          </cell>
          <cell r="L816" t="str">
            <v>0545177912</v>
          </cell>
          <cell r="M816" t="str">
            <v/>
          </cell>
          <cell r="N816" t="str">
            <v>المملكة العربية السعودية</v>
          </cell>
          <cell r="O816" t="str">
            <v>50001538</v>
          </cell>
          <cell r="P816" t="str">
            <v>أخصائي زراعي</v>
          </cell>
          <cell r="Q816" t="str">
            <v>Grade 1C</v>
          </cell>
          <cell r="R816" t="str">
            <v/>
          </cell>
          <cell r="S816" t="str">
            <v>محجر ميناء الملك عبدالله رابغ</v>
          </cell>
          <cell r="T816" t="str">
            <v>خدمات المحجر</v>
          </cell>
          <cell r="U816" t="str">
            <v>الاذونات وخدمات المحاجر</v>
          </cell>
          <cell r="V816" t="str">
            <v>العمليات</v>
          </cell>
          <cell r="W816" t="str">
            <v>Makkah</v>
          </cell>
          <cell r="X816" t="str">
            <v xml:space="preserve">الفرع </v>
          </cell>
          <cell r="Y816">
            <v>45970</v>
          </cell>
          <cell r="Z816">
            <v>0.6</v>
          </cell>
          <cell r="AA816">
            <v>220</v>
          </cell>
          <cell r="AB816" t="str">
            <v>نشط</v>
          </cell>
          <cell r="AC816" t="str">
            <v>400275</v>
          </cell>
          <cell r="AD816" t="str">
            <v>Tareq Almalekei</v>
          </cell>
          <cell r="AE816" t="str">
            <v>عقد مؤقت</v>
          </cell>
          <cell r="AF816" t="str">
            <v/>
          </cell>
          <cell r="AG816" t="str">
            <v/>
          </cell>
          <cell r="AH816" t="str">
            <v/>
          </cell>
          <cell r="AI816" t="str">
            <v/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 t="str">
            <v/>
          </cell>
          <cell r="AO816" t="str">
            <v>الاذونات وخدمات المحاجر</v>
          </cell>
          <cell r="AP816" t="str">
            <v>Al Rajhi Bank</v>
          </cell>
          <cell r="AQ816" t="str">
            <v>SA8280000865608015309340</v>
          </cell>
          <cell r="AR816">
            <v>6224</v>
          </cell>
          <cell r="AS816">
            <v>6224</v>
          </cell>
          <cell r="AT816">
            <v>622.4</v>
          </cell>
          <cell r="AU816">
            <v>1556</v>
          </cell>
          <cell r="AV816" t="str">
            <v/>
          </cell>
        </row>
        <row r="817">
          <cell r="A817">
            <v>700007</v>
          </cell>
          <cell r="B817" t="str">
            <v>1108188762</v>
          </cell>
          <cell r="C817" t="str">
            <v>السيد</v>
          </cell>
          <cell r="D817" t="str">
            <v>Ali Ahmed Ali Albadar</v>
          </cell>
          <cell r="E817" t="str">
            <v>علي أحمد علي البدر</v>
          </cell>
          <cell r="F817" t="str">
            <v>Male</v>
          </cell>
          <cell r="G817" t="str">
            <v/>
          </cell>
          <cell r="H817">
            <v>36707</v>
          </cell>
          <cell r="I817">
            <v>26</v>
          </cell>
          <cell r="J817">
            <v>9483</v>
          </cell>
          <cell r="K817" t="str">
            <v>Ali.Albadar@agriserv.sa</v>
          </cell>
          <cell r="L817" t="str">
            <v>0554165412</v>
          </cell>
          <cell r="M817" t="str">
            <v/>
          </cell>
          <cell r="N817" t="str">
            <v>المملكة العربية السعودية</v>
          </cell>
          <cell r="O817" t="str">
            <v>50001539</v>
          </cell>
          <cell r="P817" t="str">
            <v>أخصائي زراعي</v>
          </cell>
          <cell r="Q817" t="str">
            <v>Grade 1C</v>
          </cell>
          <cell r="R817" t="str">
            <v/>
          </cell>
          <cell r="S817" t="str">
            <v>محجر جسر الملك فهد  (الشرقية)</v>
          </cell>
          <cell r="T817" t="str">
            <v>خدمات المحجر</v>
          </cell>
          <cell r="U817" t="str">
            <v>الاذونات وخدمات المحاجر</v>
          </cell>
          <cell r="V817" t="str">
            <v>العمليات</v>
          </cell>
          <cell r="W817" t="str">
            <v>Ad-Dammam</v>
          </cell>
          <cell r="X817" t="str">
            <v xml:space="preserve">الفرع </v>
          </cell>
          <cell r="Y817">
            <v>45970</v>
          </cell>
          <cell r="Z817">
            <v>0.6</v>
          </cell>
          <cell r="AA817">
            <v>220</v>
          </cell>
          <cell r="AB817" t="str">
            <v>نشط</v>
          </cell>
          <cell r="AC817" t="str">
            <v>400325</v>
          </cell>
          <cell r="AD817" t="str">
            <v>Abdullah Almubarak</v>
          </cell>
          <cell r="AE817" t="str">
            <v>عقد مؤقت</v>
          </cell>
          <cell r="AF817" t="str">
            <v/>
          </cell>
          <cell r="AG817" t="str">
            <v/>
          </cell>
          <cell r="AH817" t="str">
            <v/>
          </cell>
          <cell r="AI817" t="str">
            <v/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 t="str">
            <v/>
          </cell>
          <cell r="AO817" t="str">
            <v>الاذونات وخدمات المحاجر</v>
          </cell>
          <cell r="AP817" t="str">
            <v>Al Rajhi Bank</v>
          </cell>
          <cell r="AQ817" t="str">
            <v>SA1180000562608016043762</v>
          </cell>
          <cell r="AR817">
            <v>6224</v>
          </cell>
          <cell r="AS817">
            <v>6224</v>
          </cell>
          <cell r="AT817">
            <v>622.4</v>
          </cell>
          <cell r="AU817">
            <v>1556</v>
          </cell>
          <cell r="AV817" t="str">
            <v/>
          </cell>
        </row>
        <row r="818">
          <cell r="A818">
            <v>700008</v>
          </cell>
          <cell r="B818" t="str">
            <v>1078151667</v>
          </cell>
          <cell r="C818" t="str">
            <v>السيد</v>
          </cell>
          <cell r="D818" t="str">
            <v>Mohammed Adel Mohammed Almuwayjed</v>
          </cell>
          <cell r="E818" t="str">
            <v>محمد عادل محمد المويجد</v>
          </cell>
          <cell r="F818" t="str">
            <v>Male</v>
          </cell>
          <cell r="G818" t="str">
            <v/>
          </cell>
          <cell r="H818">
            <v>34311</v>
          </cell>
          <cell r="I818">
            <v>33</v>
          </cell>
          <cell r="J818">
            <v>11879</v>
          </cell>
          <cell r="K818" t="str">
            <v>Mohammed.Almuwayjed@agrisarv.sa</v>
          </cell>
          <cell r="L818" t="str">
            <v>0548893489</v>
          </cell>
          <cell r="M818" t="str">
            <v/>
          </cell>
          <cell r="N818" t="str">
            <v>المملكة العربية السعودية</v>
          </cell>
          <cell r="O818" t="str">
            <v>50001531</v>
          </cell>
          <cell r="P818" t="str">
            <v>مشرف محجر</v>
          </cell>
          <cell r="Q818" t="str">
            <v>Grade 1C</v>
          </cell>
          <cell r="R818" t="str">
            <v/>
          </cell>
          <cell r="S818" t="str">
            <v>محجر الربع الخالي  (الشرقية)</v>
          </cell>
          <cell r="T818" t="str">
            <v>خدمات المحجر</v>
          </cell>
          <cell r="U818" t="str">
            <v>الاذونات وخدمات المحاجر</v>
          </cell>
          <cell r="V818" t="str">
            <v>العمليات</v>
          </cell>
          <cell r="W818" t="str">
            <v>Ad-Dammam</v>
          </cell>
          <cell r="X818" t="str">
            <v xml:space="preserve">الفرع </v>
          </cell>
          <cell r="Y818">
            <v>45970</v>
          </cell>
          <cell r="Z818">
            <v>0.6</v>
          </cell>
          <cell r="AA818">
            <v>220</v>
          </cell>
          <cell r="AB818" t="str">
            <v>نشط</v>
          </cell>
          <cell r="AC818" t="str">
            <v>400337</v>
          </cell>
          <cell r="AD818" t="str">
            <v>Abdullah Alzunaydi</v>
          </cell>
          <cell r="AE818" t="str">
            <v>عقد مؤقت</v>
          </cell>
          <cell r="AF818" t="str">
            <v/>
          </cell>
          <cell r="AG818" t="str">
            <v/>
          </cell>
          <cell r="AH818" t="str">
            <v/>
          </cell>
          <cell r="AI818" t="str">
            <v/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 t="str">
            <v/>
          </cell>
          <cell r="AO818" t="str">
            <v>الاذونات وخدمات المحاجر</v>
          </cell>
          <cell r="AP818" t="str">
            <v>Al Rajhi Bank</v>
          </cell>
          <cell r="AQ818" t="str">
            <v>SA0880000664608010093489</v>
          </cell>
          <cell r="AR818">
            <v>5190</v>
          </cell>
          <cell r="AS818">
            <v>5190</v>
          </cell>
          <cell r="AT818">
            <v>519</v>
          </cell>
          <cell r="AU818">
            <v>1297.5</v>
          </cell>
          <cell r="AV818" t="str">
            <v/>
          </cell>
        </row>
        <row r="819">
          <cell r="A819">
            <v>700009</v>
          </cell>
          <cell r="B819" t="str">
            <v>1085336525</v>
          </cell>
          <cell r="C819" t="str">
            <v>الآنسة</v>
          </cell>
          <cell r="D819" t="str">
            <v>Huda Ahmed Yahya Wadani</v>
          </cell>
          <cell r="E819" t="str">
            <v>هدى احمد يحيى ودعاني</v>
          </cell>
          <cell r="F819" t="str">
            <v>Female</v>
          </cell>
          <cell r="G819" t="str">
            <v/>
          </cell>
          <cell r="H819">
            <v>34548</v>
          </cell>
          <cell r="I819">
            <v>32</v>
          </cell>
          <cell r="J819">
            <v>11642</v>
          </cell>
          <cell r="K819" t="str">
            <v>Huda.Wadani@ageisarv.sa</v>
          </cell>
          <cell r="L819" t="str">
            <v>0508693058</v>
          </cell>
          <cell r="M819" t="str">
            <v/>
          </cell>
          <cell r="N819" t="str">
            <v>المملكة العربية السعودية</v>
          </cell>
          <cell r="O819" t="str">
            <v>50001545</v>
          </cell>
          <cell r="P819" t="str">
            <v>مصمم جرافيك</v>
          </cell>
          <cell r="Q819" t="str">
            <v>2B الدرجة</v>
          </cell>
          <cell r="R819" t="str">
            <v/>
          </cell>
          <cell r="S819" t="str">
            <v/>
          </cell>
          <cell r="T819" t="str">
            <v>خدمات المحجر</v>
          </cell>
          <cell r="U819" t="str">
            <v>الاذونات وخدمات المحاجر</v>
          </cell>
          <cell r="V819" t="str">
            <v>العمليات</v>
          </cell>
          <cell r="W819" t="str">
            <v>MEWA</v>
          </cell>
          <cell r="X819" t="str">
            <v xml:space="preserve">الفرع </v>
          </cell>
          <cell r="Y819">
            <v>45970</v>
          </cell>
          <cell r="Z819">
            <v>0.6</v>
          </cell>
          <cell r="AA819">
            <v>220</v>
          </cell>
          <cell r="AB819" t="str">
            <v>نشط</v>
          </cell>
          <cell r="AC819" t="str">
            <v>700016</v>
          </cell>
          <cell r="AD819" t="str">
            <v>Haya Ateeq</v>
          </cell>
          <cell r="AE819" t="str">
            <v>عقد مؤقت</v>
          </cell>
          <cell r="AF819" t="str">
            <v/>
          </cell>
          <cell r="AG819" t="str">
            <v/>
          </cell>
          <cell r="AH819" t="str">
            <v/>
          </cell>
          <cell r="AI819" t="str">
            <v/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 t="str">
            <v/>
          </cell>
          <cell r="AO819" t="str">
            <v>Import / Export Permits</v>
          </cell>
          <cell r="AP819" t="str">
            <v>Al Rajhi Bank</v>
          </cell>
          <cell r="AQ819" t="str">
            <v>SA8580000216608010987212</v>
          </cell>
          <cell r="AR819">
            <v>6228</v>
          </cell>
          <cell r="AS819">
            <v>6228</v>
          </cell>
          <cell r="AT819">
            <v>622.79999999999995</v>
          </cell>
          <cell r="AU819">
            <v>1557</v>
          </cell>
          <cell r="AV819" t="str">
            <v/>
          </cell>
        </row>
        <row r="820">
          <cell r="A820">
            <v>700010</v>
          </cell>
          <cell r="B820" t="str">
            <v>1087605570</v>
          </cell>
          <cell r="C820" t="str">
            <v>الآنسة</v>
          </cell>
          <cell r="D820" t="str">
            <v>Khulud Abdullah Mohammed Alshabanat</v>
          </cell>
          <cell r="E820" t="str">
            <v>خلود عبدالله محمد الشبانات</v>
          </cell>
          <cell r="F820" t="str">
            <v>Female</v>
          </cell>
          <cell r="G820" t="str">
            <v/>
          </cell>
          <cell r="H820">
            <v>34949</v>
          </cell>
          <cell r="I820">
            <v>31</v>
          </cell>
          <cell r="J820">
            <v>11241</v>
          </cell>
          <cell r="K820" t="str">
            <v>Khulud.Alshabanat@agrisarv.sa</v>
          </cell>
          <cell r="L820" t="str">
            <v>0507428498</v>
          </cell>
          <cell r="M820" t="str">
            <v/>
          </cell>
          <cell r="N820" t="str">
            <v>المملكة العربية السعودية</v>
          </cell>
          <cell r="O820" t="str">
            <v>50001529</v>
          </cell>
          <cell r="P820" t="str">
            <v>مشرف محجر</v>
          </cell>
          <cell r="Q820" t="str">
            <v>Grade 1C</v>
          </cell>
          <cell r="R820" t="str">
            <v/>
          </cell>
          <cell r="S820" t="str">
            <v/>
          </cell>
          <cell r="T820" t="str">
            <v>خدمات المحجر</v>
          </cell>
          <cell r="U820" t="str">
            <v>الاذونات وخدمات المحاجر</v>
          </cell>
          <cell r="V820" t="str">
            <v>العمليات</v>
          </cell>
          <cell r="W820" t="str">
            <v>MEWA</v>
          </cell>
          <cell r="X820" t="str">
            <v xml:space="preserve">الفرع </v>
          </cell>
          <cell r="Y820">
            <v>45970</v>
          </cell>
          <cell r="Z820">
            <v>0.6</v>
          </cell>
          <cell r="AA820">
            <v>220</v>
          </cell>
          <cell r="AB820" t="str">
            <v>نشط</v>
          </cell>
          <cell r="AC820" t="str">
            <v>700016</v>
          </cell>
          <cell r="AD820" t="str">
            <v>Haya Ateeq</v>
          </cell>
          <cell r="AE820" t="str">
            <v>عقد مؤقت</v>
          </cell>
          <cell r="AF820" t="str">
            <v/>
          </cell>
          <cell r="AG820" t="str">
            <v/>
          </cell>
          <cell r="AH820" t="str">
            <v/>
          </cell>
          <cell r="AI820" t="str">
            <v/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 t="str">
            <v/>
          </cell>
          <cell r="AO820" t="str">
            <v>Import / Export Permits</v>
          </cell>
          <cell r="AP820" t="str">
            <v>Riyad Bank</v>
          </cell>
          <cell r="AQ820" t="str">
            <v>SA2720000002500545659940</v>
          </cell>
          <cell r="AR820">
            <v>5190</v>
          </cell>
          <cell r="AS820">
            <v>5190</v>
          </cell>
          <cell r="AT820">
            <v>519</v>
          </cell>
          <cell r="AU820">
            <v>1297.5</v>
          </cell>
          <cell r="AV820" t="str">
            <v/>
          </cell>
        </row>
        <row r="821">
          <cell r="A821">
            <v>700011</v>
          </cell>
          <cell r="B821" t="str">
            <v>1108663533</v>
          </cell>
          <cell r="C821" t="str">
            <v>السيد</v>
          </cell>
          <cell r="D821" t="str">
            <v>Ali Fawzi Mohammed Alghazal</v>
          </cell>
          <cell r="E821" t="str">
            <v>علي فوزي محمد الغزال</v>
          </cell>
          <cell r="F821" t="str">
            <v>Male</v>
          </cell>
          <cell r="G821" t="str">
            <v/>
          </cell>
          <cell r="H821">
            <v>36725</v>
          </cell>
          <cell r="I821">
            <v>26</v>
          </cell>
          <cell r="J821">
            <v>9465</v>
          </cell>
          <cell r="K821" t="str">
            <v>Ali.Alghazal@agriserv.sa</v>
          </cell>
          <cell r="L821" t="str">
            <v>0541722606</v>
          </cell>
          <cell r="M821" t="str">
            <v/>
          </cell>
          <cell r="N821" t="str">
            <v>المملكة العربية السعودية</v>
          </cell>
          <cell r="O821" t="str">
            <v>50001543</v>
          </cell>
          <cell r="P821" t="str">
            <v>أخصائي زراعي</v>
          </cell>
          <cell r="Q821" t="str">
            <v>Grade 1C</v>
          </cell>
          <cell r="R821" t="str">
            <v/>
          </cell>
          <cell r="S821" t="str">
            <v>محجر ميناء الدمام   (الشرقية)</v>
          </cell>
          <cell r="T821" t="str">
            <v>خدمات المحجر</v>
          </cell>
          <cell r="U821" t="str">
            <v>الاذونات وخدمات المحاجر</v>
          </cell>
          <cell r="V821" t="str">
            <v>العمليات</v>
          </cell>
          <cell r="W821" t="str">
            <v>Ad-Dammam</v>
          </cell>
          <cell r="X821" t="str">
            <v xml:space="preserve">الفرع </v>
          </cell>
          <cell r="Y821">
            <v>45970</v>
          </cell>
          <cell r="Z821">
            <v>0.6</v>
          </cell>
          <cell r="AA821">
            <v>220</v>
          </cell>
          <cell r="AB821" t="str">
            <v>نشط</v>
          </cell>
          <cell r="AC821" t="str">
            <v>400271</v>
          </cell>
          <cell r="AD821" t="str">
            <v>Fahad Alfrhaan</v>
          </cell>
          <cell r="AE821" t="str">
            <v>عقد مؤقت</v>
          </cell>
          <cell r="AF821" t="str">
            <v/>
          </cell>
          <cell r="AG821" t="str">
            <v/>
          </cell>
          <cell r="AH821" t="str">
            <v/>
          </cell>
          <cell r="AI821" t="str">
            <v/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 t="str">
            <v/>
          </cell>
          <cell r="AO821" t="str">
            <v>الاذونات وخدمات المحاجر</v>
          </cell>
          <cell r="AP821" t="str">
            <v>Saudi National Bank</v>
          </cell>
          <cell r="AQ821" t="str">
            <v>SA1910000002400000452303</v>
          </cell>
          <cell r="AR821">
            <v>6224</v>
          </cell>
          <cell r="AS821">
            <v>6224</v>
          </cell>
          <cell r="AT821">
            <v>622.4</v>
          </cell>
          <cell r="AU821">
            <v>1556</v>
          </cell>
          <cell r="AV821" t="str">
            <v/>
          </cell>
        </row>
        <row r="822">
          <cell r="A822">
            <v>700012</v>
          </cell>
          <cell r="B822" t="str">
            <v>1119731295</v>
          </cell>
          <cell r="C822" t="str">
            <v>الآنسة</v>
          </cell>
          <cell r="D822" t="str">
            <v>Azizah Mohammed Hassan Majrashi</v>
          </cell>
          <cell r="E822" t="str">
            <v>عزيزه محمد حسن مجرشي</v>
          </cell>
          <cell r="F822" t="str">
            <v>Female</v>
          </cell>
          <cell r="G822" t="str">
            <v/>
          </cell>
          <cell r="H822">
            <v>36976</v>
          </cell>
          <cell r="I822">
            <v>25</v>
          </cell>
          <cell r="J822">
            <v>9214</v>
          </cell>
          <cell r="K822" t="str">
            <v>Azizah.Majrashi@agrisarv.sa</v>
          </cell>
          <cell r="L822" t="str">
            <v>0538738385</v>
          </cell>
          <cell r="M822" t="str">
            <v/>
          </cell>
          <cell r="N822" t="str">
            <v>المملكة العربية السعودية</v>
          </cell>
          <cell r="O822" t="str">
            <v>50001533</v>
          </cell>
          <cell r="P822" t="str">
            <v>مشرف محجر</v>
          </cell>
          <cell r="Q822" t="str">
            <v>Grade 1C</v>
          </cell>
          <cell r="R822" t="str">
            <v/>
          </cell>
          <cell r="S822" t="str">
            <v>منفذ جيزان  (جيزان)</v>
          </cell>
          <cell r="T822" t="str">
            <v>خدمات المحجر</v>
          </cell>
          <cell r="U822" t="str">
            <v>الاذونات وخدمات المحاجر</v>
          </cell>
          <cell r="V822" t="str">
            <v>العمليات</v>
          </cell>
          <cell r="W822" t="str">
            <v>Jizan</v>
          </cell>
          <cell r="X822" t="str">
            <v xml:space="preserve">الفرع </v>
          </cell>
          <cell r="Y822">
            <v>45970</v>
          </cell>
          <cell r="Z822">
            <v>0.6</v>
          </cell>
          <cell r="AA822">
            <v>220</v>
          </cell>
          <cell r="AB822" t="str">
            <v>نشط</v>
          </cell>
          <cell r="AC822" t="str">
            <v>400278</v>
          </cell>
          <cell r="AD822" t="str">
            <v>Abdullah Shafei</v>
          </cell>
          <cell r="AE822" t="str">
            <v>عقد مؤقت</v>
          </cell>
          <cell r="AF822" t="str">
            <v/>
          </cell>
          <cell r="AG822" t="str">
            <v/>
          </cell>
          <cell r="AH822" t="str">
            <v/>
          </cell>
          <cell r="AI822" t="str">
            <v/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 t="str">
            <v/>
          </cell>
          <cell r="AO822" t="str">
            <v>الاذونات وخدمات المحاجر</v>
          </cell>
          <cell r="AP822" t="str">
            <v>Al Rajhi Bank</v>
          </cell>
          <cell r="AQ822" t="str">
            <v>SA0480000316608016113127</v>
          </cell>
          <cell r="AR822">
            <v>5190</v>
          </cell>
          <cell r="AS822">
            <v>5190</v>
          </cell>
          <cell r="AT822">
            <v>519</v>
          </cell>
          <cell r="AU822">
            <v>1297.5</v>
          </cell>
          <cell r="AV822" t="str">
            <v/>
          </cell>
        </row>
        <row r="823">
          <cell r="A823">
            <v>700013</v>
          </cell>
          <cell r="B823" t="str">
            <v>1093901229</v>
          </cell>
          <cell r="C823" t="str">
            <v>السيد</v>
          </cell>
          <cell r="D823" t="str">
            <v>Ali Khlil Ibrahim Alabdullah</v>
          </cell>
          <cell r="E823" t="str">
            <v>علي خليل إبراهيم آل عبدالله</v>
          </cell>
          <cell r="F823" t="str">
            <v>Male</v>
          </cell>
          <cell r="G823" t="str">
            <v/>
          </cell>
          <cell r="H823">
            <v>35675</v>
          </cell>
          <cell r="I823">
            <v>29</v>
          </cell>
          <cell r="J823">
            <v>10515</v>
          </cell>
          <cell r="K823" t="str">
            <v>Ali.Alabdullah@agriserv.sa</v>
          </cell>
          <cell r="L823" t="str">
            <v>0502946801</v>
          </cell>
          <cell r="M823" t="str">
            <v/>
          </cell>
          <cell r="N823" t="str">
            <v>المملكة العربية السعودية</v>
          </cell>
          <cell r="O823" t="str">
            <v>50001541</v>
          </cell>
          <cell r="P823" t="str">
            <v>أخصائي زراعي</v>
          </cell>
          <cell r="Q823" t="str">
            <v>Grade 1C</v>
          </cell>
          <cell r="R823" t="str">
            <v/>
          </cell>
          <cell r="S823" t="str">
            <v/>
          </cell>
          <cell r="T823" t="str">
            <v>خدمات المحجر</v>
          </cell>
          <cell r="U823" t="str">
            <v>الاذونات وخدمات المحاجر</v>
          </cell>
          <cell r="V823" t="str">
            <v>العمليات</v>
          </cell>
          <cell r="W823" t="str">
            <v>MEWA</v>
          </cell>
          <cell r="X823" t="str">
            <v xml:space="preserve">الفرع </v>
          </cell>
          <cell r="Y823">
            <v>45970</v>
          </cell>
          <cell r="Z823">
            <v>0.6</v>
          </cell>
          <cell r="AA823">
            <v>220</v>
          </cell>
          <cell r="AB823" t="str">
            <v>نشط</v>
          </cell>
          <cell r="AC823" t="str">
            <v>700016</v>
          </cell>
          <cell r="AD823" t="str">
            <v>Haya Ateeq</v>
          </cell>
          <cell r="AE823" t="str">
            <v>عقد مؤقت</v>
          </cell>
          <cell r="AF823" t="str">
            <v/>
          </cell>
          <cell r="AG823" t="str">
            <v/>
          </cell>
          <cell r="AH823" t="str">
            <v/>
          </cell>
          <cell r="AI823" t="str">
            <v/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 t="str">
            <v/>
          </cell>
          <cell r="AO823" t="str">
            <v>Import / Export Permits</v>
          </cell>
          <cell r="AP823" t="str">
            <v>Al Rajhi Bank</v>
          </cell>
          <cell r="AQ823" t="str">
            <v>SA0280000393608016050531</v>
          </cell>
          <cell r="AR823">
            <v>6224</v>
          </cell>
          <cell r="AS823">
            <v>6224</v>
          </cell>
          <cell r="AT823">
            <v>622.4</v>
          </cell>
          <cell r="AU823">
            <v>1556</v>
          </cell>
          <cell r="AV823" t="str">
            <v/>
          </cell>
        </row>
        <row r="824">
          <cell r="A824">
            <v>700014</v>
          </cell>
          <cell r="B824" t="str">
            <v>1089947517</v>
          </cell>
          <cell r="C824" t="str">
            <v>الآنسة</v>
          </cell>
          <cell r="D824" t="str">
            <v>Noor Alwaleed Mohammed Alamoudi</v>
          </cell>
          <cell r="E824" t="str">
            <v>نور الوليد محمد العمودي</v>
          </cell>
          <cell r="F824" t="str">
            <v>Female</v>
          </cell>
          <cell r="G824" t="str">
            <v/>
          </cell>
          <cell r="H824">
            <v>35127</v>
          </cell>
          <cell r="I824">
            <v>30</v>
          </cell>
          <cell r="J824">
            <v>11063</v>
          </cell>
          <cell r="K824" t="str">
            <v>Noor.Alamoudi@agriserv.sa</v>
          </cell>
          <cell r="L824" t="str">
            <v>0509607258</v>
          </cell>
          <cell r="M824" t="str">
            <v/>
          </cell>
          <cell r="N824" t="str">
            <v>المملكة العربية السعودية</v>
          </cell>
          <cell r="O824" t="str">
            <v>50001534</v>
          </cell>
          <cell r="P824" t="str">
            <v>مشرف محجر</v>
          </cell>
          <cell r="Q824" t="str">
            <v>Grade 1C</v>
          </cell>
          <cell r="R824" t="str">
            <v/>
          </cell>
          <cell r="S824" t="str">
            <v/>
          </cell>
          <cell r="T824" t="str">
            <v>خدمات المحجر</v>
          </cell>
          <cell r="U824" t="str">
            <v>الاذونات وخدمات المحاجر</v>
          </cell>
          <cell r="V824" t="str">
            <v>العمليات</v>
          </cell>
          <cell r="W824" t="str">
            <v>MEWA</v>
          </cell>
          <cell r="X824" t="str">
            <v xml:space="preserve">الفرع </v>
          </cell>
          <cell r="Y824">
            <v>45970</v>
          </cell>
          <cell r="Z824">
            <v>0.6</v>
          </cell>
          <cell r="AA824">
            <v>220</v>
          </cell>
          <cell r="AB824" t="str">
            <v>نشط</v>
          </cell>
          <cell r="AC824" t="str">
            <v>700016</v>
          </cell>
          <cell r="AD824" t="str">
            <v>Haya Ateeq</v>
          </cell>
          <cell r="AE824" t="str">
            <v>عقد مؤقت</v>
          </cell>
          <cell r="AF824" t="str">
            <v/>
          </cell>
          <cell r="AG824" t="str">
            <v/>
          </cell>
          <cell r="AH824" t="str">
            <v/>
          </cell>
          <cell r="AI824" t="str">
            <v/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 t="str">
            <v/>
          </cell>
          <cell r="AO824" t="str">
            <v>Import / Export Permits</v>
          </cell>
          <cell r="AP824" t="str">
            <v>Bank Al Bilad</v>
          </cell>
          <cell r="AQ824" t="str">
            <v>SA7415000900147051070007</v>
          </cell>
          <cell r="AR824">
            <v>5190</v>
          </cell>
          <cell r="AS824">
            <v>5190</v>
          </cell>
          <cell r="AT824">
            <v>519</v>
          </cell>
          <cell r="AU824">
            <v>1297.5</v>
          </cell>
          <cell r="AV824" t="str">
            <v/>
          </cell>
        </row>
        <row r="825">
          <cell r="A825">
            <v>700015</v>
          </cell>
          <cell r="B825" t="str">
            <v>1066945005</v>
          </cell>
          <cell r="C825" t="str">
            <v>الآنسة</v>
          </cell>
          <cell r="D825" t="str">
            <v>Noura Naser Abdulaziz Alrubian</v>
          </cell>
          <cell r="E825" t="str">
            <v>نوره ناصر عبدالعزيز الربيعان</v>
          </cell>
          <cell r="F825" t="str">
            <v>Female</v>
          </cell>
          <cell r="G825" t="str">
            <v/>
          </cell>
          <cell r="H825">
            <v>32282</v>
          </cell>
          <cell r="I825">
            <v>38</v>
          </cell>
          <cell r="J825">
            <v>13908</v>
          </cell>
          <cell r="K825" t="str">
            <v>Noura.Alrubian@agriserv.sa</v>
          </cell>
          <cell r="L825" t="str">
            <v>0508241918</v>
          </cell>
          <cell r="M825" t="str">
            <v/>
          </cell>
          <cell r="N825" t="str">
            <v>المملكة العربية السعودية</v>
          </cell>
          <cell r="O825" t="str">
            <v>50001535</v>
          </cell>
          <cell r="P825" t="str">
            <v>مشرف محجر</v>
          </cell>
          <cell r="Q825" t="str">
            <v>Grade 1C</v>
          </cell>
          <cell r="R825" t="str">
            <v/>
          </cell>
          <cell r="S825" t="str">
            <v/>
          </cell>
          <cell r="T825" t="str">
            <v>خدمات المحجر</v>
          </cell>
          <cell r="U825" t="str">
            <v>الاذونات وخدمات المحاجر</v>
          </cell>
          <cell r="V825" t="str">
            <v>العمليات</v>
          </cell>
          <cell r="W825" t="str">
            <v>MEWA</v>
          </cell>
          <cell r="X825" t="str">
            <v xml:space="preserve">الفرع </v>
          </cell>
          <cell r="Y825">
            <v>45970</v>
          </cell>
          <cell r="Z825">
            <v>0.6</v>
          </cell>
          <cell r="AA825">
            <v>220</v>
          </cell>
          <cell r="AB825" t="str">
            <v>نشط</v>
          </cell>
          <cell r="AC825" t="str">
            <v>700016</v>
          </cell>
          <cell r="AD825" t="str">
            <v>Haya Ateeq</v>
          </cell>
          <cell r="AE825" t="str">
            <v>عقد مؤقت</v>
          </cell>
          <cell r="AF825" t="str">
            <v/>
          </cell>
          <cell r="AG825" t="str">
            <v/>
          </cell>
          <cell r="AH825" t="str">
            <v/>
          </cell>
          <cell r="AI825" t="str">
            <v/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 t="str">
            <v/>
          </cell>
          <cell r="AO825" t="str">
            <v>Import / Export Permits</v>
          </cell>
          <cell r="AP825" t="str">
            <v>Saudi National Bank</v>
          </cell>
          <cell r="AQ825" t="str">
            <v>SA0710000027056531000100</v>
          </cell>
          <cell r="AR825">
            <v>5190</v>
          </cell>
          <cell r="AS825">
            <v>5190</v>
          </cell>
          <cell r="AT825">
            <v>519</v>
          </cell>
          <cell r="AU825">
            <v>1297.5</v>
          </cell>
          <cell r="AV825" t="str">
            <v/>
          </cell>
        </row>
        <row r="826">
          <cell r="A826">
            <v>700016</v>
          </cell>
          <cell r="B826" t="str">
            <v>1086212600</v>
          </cell>
          <cell r="C826" t="str">
            <v>الآنسة</v>
          </cell>
          <cell r="D826" t="str">
            <v>Haya Abdulaziz Abdulrahman Ateeq</v>
          </cell>
          <cell r="E826" t="str">
            <v>هياء عبدالعزيز عبدالرحمن عتيق</v>
          </cell>
          <cell r="F826" t="str">
            <v>Female</v>
          </cell>
          <cell r="G826" t="str">
            <v/>
          </cell>
          <cell r="H826">
            <v>34825</v>
          </cell>
          <cell r="I826">
            <v>31</v>
          </cell>
          <cell r="J826">
            <v>11365</v>
          </cell>
          <cell r="K826" t="str">
            <v>Haya.Ateeq@agriserv.sa</v>
          </cell>
          <cell r="L826" t="str">
            <v>0559789103</v>
          </cell>
          <cell r="M826" t="str">
            <v/>
          </cell>
          <cell r="N826" t="str">
            <v>المملكة العربية السعودية</v>
          </cell>
          <cell r="O826" t="str">
            <v>50001544</v>
          </cell>
          <cell r="P826" t="str">
            <v>مدير مشروع</v>
          </cell>
          <cell r="Q826" t="str">
            <v>2B الدرجة</v>
          </cell>
          <cell r="R826" t="str">
            <v/>
          </cell>
          <cell r="S826" t="str">
            <v/>
          </cell>
          <cell r="T826" t="str">
            <v>خدمات المحجر</v>
          </cell>
          <cell r="U826" t="str">
            <v>الاذونات وخدمات المحاجر</v>
          </cell>
          <cell r="V826" t="str">
            <v>العمليات</v>
          </cell>
          <cell r="W826" t="str">
            <v>MEWA</v>
          </cell>
          <cell r="X826" t="str">
            <v xml:space="preserve">الفرع </v>
          </cell>
          <cell r="Y826">
            <v>45970</v>
          </cell>
          <cell r="Z826">
            <v>0.6</v>
          </cell>
          <cell r="AA826">
            <v>220</v>
          </cell>
          <cell r="AB826" t="str">
            <v>نشط</v>
          </cell>
          <cell r="AC826" t="str">
            <v>400139</v>
          </cell>
          <cell r="AD826" t="str">
            <v>Omar Alrumaihi</v>
          </cell>
          <cell r="AE826" t="str">
            <v>عقد مؤقت</v>
          </cell>
          <cell r="AF826" t="str">
            <v/>
          </cell>
          <cell r="AG826" t="str">
            <v/>
          </cell>
          <cell r="AH826" t="str">
            <v/>
          </cell>
          <cell r="AI826" t="str">
            <v/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 t="str">
            <v/>
          </cell>
          <cell r="AO826" t="str">
            <v>Import / Export Permits</v>
          </cell>
          <cell r="AP826" t="str">
            <v>Riyad Bank</v>
          </cell>
          <cell r="AQ826" t="str">
            <v>SA0220000009324903559940</v>
          </cell>
          <cell r="AR826">
            <v>8000</v>
          </cell>
          <cell r="AS826">
            <v>8000</v>
          </cell>
          <cell r="AT826">
            <v>800</v>
          </cell>
          <cell r="AU826">
            <v>2000</v>
          </cell>
          <cell r="AV826" t="str">
            <v/>
          </cell>
        </row>
        <row r="827">
          <cell r="A827">
            <v>700017</v>
          </cell>
          <cell r="B827" t="str">
            <v>1071097099</v>
          </cell>
          <cell r="C827" t="str">
            <v>السيد</v>
          </cell>
          <cell r="D827" t="str">
            <v>Mohammad Fouad Ali Alghazal</v>
          </cell>
          <cell r="E827" t="str">
            <v>محمد فؤاد علي الغزال</v>
          </cell>
          <cell r="F827" t="str">
            <v>Male</v>
          </cell>
          <cell r="G827" t="str">
            <v/>
          </cell>
          <cell r="H827">
            <v>33574</v>
          </cell>
          <cell r="I827">
            <v>35</v>
          </cell>
          <cell r="J827">
            <v>12616</v>
          </cell>
          <cell r="K827" t="str">
            <v>Mohammad.Alghazal@agriserv.sa</v>
          </cell>
          <cell r="L827" t="str">
            <v>0544447642</v>
          </cell>
          <cell r="M827" t="str">
            <v/>
          </cell>
          <cell r="N827" t="str">
            <v>المملكة العربية السعودية</v>
          </cell>
          <cell r="O827" t="str">
            <v>50001542</v>
          </cell>
          <cell r="P827" t="str">
            <v>أخصائي زراعي</v>
          </cell>
          <cell r="Q827" t="str">
            <v>Grade 1C</v>
          </cell>
          <cell r="R827" t="str">
            <v/>
          </cell>
          <cell r="S827" t="str">
            <v>محجر البطحاء  (الشرقية)</v>
          </cell>
          <cell r="T827" t="str">
            <v>خدمات المحجر</v>
          </cell>
          <cell r="U827" t="str">
            <v>الاذونات وخدمات المحاجر</v>
          </cell>
          <cell r="V827" t="str">
            <v>العمليات</v>
          </cell>
          <cell r="W827" t="str">
            <v>Ad-Dammam</v>
          </cell>
          <cell r="X827" t="str">
            <v xml:space="preserve">الفرع </v>
          </cell>
          <cell r="Y827">
            <v>45970</v>
          </cell>
          <cell r="Z827">
            <v>0.6</v>
          </cell>
          <cell r="AA827">
            <v>220</v>
          </cell>
          <cell r="AB827" t="str">
            <v>نشط</v>
          </cell>
          <cell r="AC827" t="str">
            <v>400353</v>
          </cell>
          <cell r="AD827" t="str">
            <v>Adel Alhejji</v>
          </cell>
          <cell r="AE827" t="str">
            <v>عقد مؤقت</v>
          </cell>
          <cell r="AF827" t="str">
            <v/>
          </cell>
          <cell r="AG827" t="str">
            <v/>
          </cell>
          <cell r="AH827" t="str">
            <v/>
          </cell>
          <cell r="AI827" t="str">
            <v/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 t="str">
            <v/>
          </cell>
          <cell r="AO827" t="str">
            <v>الاذونات وخدمات المحاجر</v>
          </cell>
          <cell r="AP827" t="str">
            <v>Al Rajhi Bank</v>
          </cell>
          <cell r="AQ827" t="str">
            <v>SA0680000429608010082868</v>
          </cell>
          <cell r="AR827">
            <v>6224</v>
          </cell>
          <cell r="AS827">
            <v>6224</v>
          </cell>
          <cell r="AT827">
            <v>622.4</v>
          </cell>
          <cell r="AU827">
            <v>1556</v>
          </cell>
          <cell r="AV827" t="str">
            <v/>
          </cell>
        </row>
        <row r="828">
          <cell r="A828">
            <v>700018</v>
          </cell>
          <cell r="B828" t="str">
            <v>1052074950</v>
          </cell>
          <cell r="C828" t="str">
            <v>السيد</v>
          </cell>
          <cell r="D828" t="str">
            <v>Saleh Abdullah Saleh Alduhayhi</v>
          </cell>
          <cell r="E828" t="str">
            <v>صالح عبدالله صالح الدحيحي</v>
          </cell>
          <cell r="F828" t="str">
            <v>Male</v>
          </cell>
          <cell r="G828" t="str">
            <v/>
          </cell>
          <cell r="H828">
            <v>32278</v>
          </cell>
          <cell r="I828">
            <v>38</v>
          </cell>
          <cell r="J828">
            <v>13912</v>
          </cell>
          <cell r="K828" t="str">
            <v>Saleh.Alduhayhi@agriserv.sa</v>
          </cell>
          <cell r="L828" t="str">
            <v>0547775635</v>
          </cell>
          <cell r="M828" t="str">
            <v/>
          </cell>
          <cell r="N828" t="str">
            <v>المملكة العربية السعودية</v>
          </cell>
          <cell r="O828" t="str">
            <v>50001537</v>
          </cell>
          <cell r="P828" t="str">
            <v>مشرف محجر</v>
          </cell>
          <cell r="Q828" t="str">
            <v>Grade 1C</v>
          </cell>
          <cell r="R828" t="str">
            <v/>
          </cell>
          <cell r="S828" t="str">
            <v>محجر سلوى  (الشرقية)</v>
          </cell>
          <cell r="T828" t="str">
            <v/>
          </cell>
          <cell r="U828" t="str">
            <v>الاذونات وخدمات المحاجر</v>
          </cell>
          <cell r="V828" t="str">
            <v>العمليات</v>
          </cell>
          <cell r="W828" t="str">
            <v>Ad-Dammam</v>
          </cell>
          <cell r="X828" t="str">
            <v xml:space="preserve">الفرع </v>
          </cell>
          <cell r="Y828">
            <v>45970</v>
          </cell>
          <cell r="Z828">
            <v>0.6</v>
          </cell>
          <cell r="AA828">
            <v>220</v>
          </cell>
          <cell r="AB828" t="str">
            <v>نشط</v>
          </cell>
          <cell r="AC828" t="str">
            <v>400314</v>
          </cell>
          <cell r="AD828" t="str">
            <v>Mohammad Albatat</v>
          </cell>
          <cell r="AE828" t="str">
            <v>عقد مؤقت</v>
          </cell>
          <cell r="AF828" t="str">
            <v/>
          </cell>
          <cell r="AG828" t="str">
            <v/>
          </cell>
          <cell r="AH828" t="str">
            <v/>
          </cell>
          <cell r="AI828" t="str">
            <v/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 t="str">
            <v/>
          </cell>
          <cell r="AO828" t="str">
            <v>الاذونات وخدمات المحاجر</v>
          </cell>
          <cell r="AP828" t="str">
            <v>Arab National Bank</v>
          </cell>
          <cell r="AQ828" t="str">
            <v>SA3130400108082512530016</v>
          </cell>
          <cell r="AR828">
            <v>5190</v>
          </cell>
          <cell r="AS828">
            <v>5190</v>
          </cell>
          <cell r="AT828">
            <v>519</v>
          </cell>
          <cell r="AU828">
            <v>1297.5</v>
          </cell>
          <cell r="AV828" t="str">
            <v/>
          </cell>
        </row>
        <row r="829">
          <cell r="A829">
            <v>700019</v>
          </cell>
          <cell r="B829" t="str">
            <v>1057344515</v>
          </cell>
          <cell r="C829" t="str">
            <v>الآنسة</v>
          </cell>
          <cell r="D829" t="str">
            <v>Wejdan Abdulrahman Atyah Alzahrani</v>
          </cell>
          <cell r="E829" t="str">
            <v>وجدان عبدالرحمن عطيه الزهراني</v>
          </cell>
          <cell r="F829" t="str">
            <v>Female</v>
          </cell>
          <cell r="G829" t="str">
            <v/>
          </cell>
          <cell r="H829">
            <v>32455</v>
          </cell>
          <cell r="I829">
            <v>38</v>
          </cell>
          <cell r="J829">
            <v>13735</v>
          </cell>
          <cell r="K829" t="str">
            <v>Wejdan.Alzahrani@agriserv.sa</v>
          </cell>
          <cell r="L829" t="str">
            <v>0542668222</v>
          </cell>
          <cell r="M829" t="str">
            <v/>
          </cell>
          <cell r="N829" t="str">
            <v>المملكة العربية السعودية</v>
          </cell>
          <cell r="O829" t="str">
            <v>50001536</v>
          </cell>
          <cell r="P829" t="str">
            <v>مشرف محجر</v>
          </cell>
          <cell r="Q829" t="str">
            <v>Grade 1C</v>
          </cell>
          <cell r="R829" t="str">
            <v/>
          </cell>
          <cell r="S829" t="str">
            <v/>
          </cell>
          <cell r="T829" t="str">
            <v>خدمات المحجر</v>
          </cell>
          <cell r="U829" t="str">
            <v>الاذونات وخدمات المحاجر</v>
          </cell>
          <cell r="V829" t="str">
            <v>العمليات</v>
          </cell>
          <cell r="W829" t="str">
            <v>Head Quarter</v>
          </cell>
          <cell r="X829" t="str">
            <v xml:space="preserve">المقر الرئيسي </v>
          </cell>
          <cell r="Y829">
            <v>45970</v>
          </cell>
          <cell r="Z829">
            <v>0.6</v>
          </cell>
          <cell r="AA829">
            <v>220</v>
          </cell>
          <cell r="AB829" t="str">
            <v>غير نشط</v>
          </cell>
          <cell r="AC829" t="str">
            <v>400139</v>
          </cell>
          <cell r="AD829" t="str">
            <v>Omar Alrumaihi</v>
          </cell>
          <cell r="AE829" t="str">
            <v>عقد مؤقت</v>
          </cell>
          <cell r="AF829">
            <v>46123</v>
          </cell>
          <cell r="AG829" t="str">
            <v/>
          </cell>
          <cell r="AH829" t="str">
            <v/>
          </cell>
          <cell r="AI829" t="str">
            <v/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 t="str">
            <v/>
          </cell>
          <cell r="AO829" t="str">
            <v>الاذونات وخدمات المحاجر</v>
          </cell>
          <cell r="AP829" t="str">
            <v>Al Rajhi Bank</v>
          </cell>
          <cell r="AQ829" t="str">
            <v>SA4080000328608010291685</v>
          </cell>
          <cell r="AR829">
            <v>5190</v>
          </cell>
          <cell r="AS829">
            <v>5190</v>
          </cell>
          <cell r="AT829">
            <v>519</v>
          </cell>
          <cell r="AU829">
            <v>1297.5</v>
          </cell>
          <cell r="AV829" t="str">
            <v/>
          </cell>
        </row>
        <row r="830">
          <cell r="A830">
            <v>700020</v>
          </cell>
          <cell r="B830" t="str">
            <v>1107071647</v>
          </cell>
          <cell r="C830" t="str">
            <v>السيد</v>
          </cell>
          <cell r="D830" t="str">
            <v>Rayan Abdullah Mohammed Alkhamisah</v>
          </cell>
          <cell r="E830" t="str">
            <v>ريان عبدالله محمد ال خميسه</v>
          </cell>
          <cell r="F830" t="str">
            <v>Male</v>
          </cell>
          <cell r="G830" t="str">
            <v/>
          </cell>
          <cell r="H830">
            <v>36359</v>
          </cell>
          <cell r="I830">
            <v>27</v>
          </cell>
          <cell r="J830">
            <v>9831</v>
          </cell>
          <cell r="K830" t="str">
            <v>Rayan.Alkhamisah@agriserv.sa</v>
          </cell>
          <cell r="L830" t="str">
            <v>0532929267</v>
          </cell>
          <cell r="M830" t="str">
            <v/>
          </cell>
          <cell r="N830" t="str">
            <v>المملكة العربية السعودية</v>
          </cell>
          <cell r="O830" t="str">
            <v>50001530</v>
          </cell>
          <cell r="P830" t="str">
            <v>مشرف محجر</v>
          </cell>
          <cell r="Q830" t="str">
            <v>Grade 1C</v>
          </cell>
          <cell r="R830" t="str">
            <v/>
          </cell>
          <cell r="S830" t="str">
            <v>مطار الملك خالد الدولي</v>
          </cell>
          <cell r="T830" t="str">
            <v>خدمات المحجر</v>
          </cell>
          <cell r="U830" t="str">
            <v>الاذونات وخدمات المحاجر</v>
          </cell>
          <cell r="V830" t="str">
            <v>العمليات</v>
          </cell>
          <cell r="W830" t="str">
            <v>Al Riyadh</v>
          </cell>
          <cell r="X830" t="str">
            <v xml:space="preserve">الفرع </v>
          </cell>
          <cell r="Y830">
            <v>45971</v>
          </cell>
          <cell r="Z830">
            <v>0.6</v>
          </cell>
          <cell r="AA830">
            <v>219</v>
          </cell>
          <cell r="AB830" t="str">
            <v>نشط</v>
          </cell>
          <cell r="AC830" t="str">
            <v>400069</v>
          </cell>
          <cell r="AD830" t="str">
            <v>Hammad Almarzouqi</v>
          </cell>
          <cell r="AE830" t="str">
            <v>عقد مؤقت</v>
          </cell>
          <cell r="AF830" t="str">
            <v/>
          </cell>
          <cell r="AG830" t="str">
            <v/>
          </cell>
          <cell r="AH830" t="str">
            <v/>
          </cell>
          <cell r="AI830" t="str">
            <v/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 t="str">
            <v/>
          </cell>
          <cell r="AO830" t="str">
            <v>الاذونات وخدمات المحاجر</v>
          </cell>
          <cell r="AP830" t="str">
            <v>Al Rajhi Bank</v>
          </cell>
          <cell r="AQ830" t="str">
            <v>SA7280000331608010352748</v>
          </cell>
          <cell r="AR830">
            <v>5190</v>
          </cell>
          <cell r="AS830">
            <v>5190</v>
          </cell>
          <cell r="AT830">
            <v>519</v>
          </cell>
          <cell r="AU830">
            <v>1297.5</v>
          </cell>
          <cell r="AV830" t="str">
            <v/>
          </cell>
        </row>
        <row r="831">
          <cell r="A831">
            <v>700021</v>
          </cell>
          <cell r="B831" t="str">
            <v>1092333226</v>
          </cell>
          <cell r="C831" t="str">
            <v>السيد</v>
          </cell>
          <cell r="D831" t="str">
            <v>Moayad Hassan Hussain Alsager</v>
          </cell>
          <cell r="E831" t="str">
            <v>مؤيد حسن حسين الصقر</v>
          </cell>
          <cell r="F831" t="str">
            <v>Male</v>
          </cell>
          <cell r="G831" t="str">
            <v/>
          </cell>
          <cell r="H831">
            <v>35315</v>
          </cell>
          <cell r="I831">
            <v>30</v>
          </cell>
          <cell r="J831">
            <v>10875</v>
          </cell>
          <cell r="K831" t="str">
            <v>Moayad.Alsager@agriserv.sa</v>
          </cell>
          <cell r="L831" t="str">
            <v>0561689434</v>
          </cell>
          <cell r="M831" t="str">
            <v/>
          </cell>
          <cell r="N831" t="str">
            <v>المملكة العربية السعودية</v>
          </cell>
          <cell r="O831" t="str">
            <v>50001532</v>
          </cell>
          <cell r="P831" t="str">
            <v>مشرف محجر</v>
          </cell>
          <cell r="Q831" t="str">
            <v>Grade 1C</v>
          </cell>
          <cell r="R831" t="str">
            <v/>
          </cell>
          <cell r="S831" t="str">
            <v>محجر مطار الملك فهد  (الشرقية)</v>
          </cell>
          <cell r="T831" t="str">
            <v>خدمات المحجر</v>
          </cell>
          <cell r="U831" t="str">
            <v>الاذونات وخدمات المحاجر</v>
          </cell>
          <cell r="V831" t="str">
            <v>العمليات</v>
          </cell>
          <cell r="W831" t="str">
            <v>Ad-Dammam</v>
          </cell>
          <cell r="X831" t="str">
            <v xml:space="preserve">الفرع </v>
          </cell>
          <cell r="Y831">
            <v>45992</v>
          </cell>
          <cell r="Z831">
            <v>0.54</v>
          </cell>
          <cell r="AA831">
            <v>198</v>
          </cell>
          <cell r="AB831" t="str">
            <v>نشط</v>
          </cell>
          <cell r="AC831" t="str">
            <v>400270</v>
          </cell>
          <cell r="AD831" t="str">
            <v>Hesham Almutlaq</v>
          </cell>
          <cell r="AE831" t="str">
            <v>عقد مؤقت</v>
          </cell>
          <cell r="AF831" t="str">
            <v/>
          </cell>
          <cell r="AG831" t="str">
            <v/>
          </cell>
          <cell r="AH831" t="str">
            <v/>
          </cell>
          <cell r="AI831" t="str">
            <v/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 t="str">
            <v/>
          </cell>
          <cell r="AO831" t="str">
            <v>الاذونات وخدمات المحاجر</v>
          </cell>
          <cell r="AP831" t="str">
            <v>Al Rajhi Bank</v>
          </cell>
          <cell r="AQ831" t="str">
            <v>SA5380000128608016000395</v>
          </cell>
          <cell r="AR831">
            <v>5190</v>
          </cell>
          <cell r="AS831">
            <v>5190</v>
          </cell>
          <cell r="AT831">
            <v>519</v>
          </cell>
          <cell r="AU831">
            <v>1297.5</v>
          </cell>
          <cell r="AV831" t="str">
            <v/>
          </cell>
        </row>
        <row r="832">
          <cell r="A832">
            <v>700022</v>
          </cell>
          <cell r="B832" t="str">
            <v>1082887751</v>
          </cell>
          <cell r="C832" t="str">
            <v>السيدة</v>
          </cell>
          <cell r="D832" t="str">
            <v xml:space="preserve">Huda Abdullah  Alqahtani </v>
          </cell>
          <cell r="E832" t="str">
            <v xml:space="preserve">هدى عبدالله ناصر القحطاني </v>
          </cell>
          <cell r="F832" t="str">
            <v>Female</v>
          </cell>
          <cell r="G832" t="str">
            <v/>
          </cell>
          <cell r="H832">
            <v>32509</v>
          </cell>
          <cell r="I832">
            <v>37</v>
          </cell>
          <cell r="J832">
            <v>13681</v>
          </cell>
          <cell r="K832" t="str">
            <v>Huda.alqahtani@agriserv.sa</v>
          </cell>
          <cell r="L832" t="str">
            <v>0545231335</v>
          </cell>
          <cell r="M832" t="str">
            <v/>
          </cell>
          <cell r="N832" t="str">
            <v>المملكة العربية السعودية</v>
          </cell>
          <cell r="O832" t="str">
            <v>50001536</v>
          </cell>
          <cell r="P832" t="str">
            <v>مشرف محجر</v>
          </cell>
          <cell r="Q832" t="str">
            <v>Grade 1C</v>
          </cell>
          <cell r="R832" t="str">
            <v/>
          </cell>
          <cell r="S832" t="str">
            <v/>
          </cell>
          <cell r="T832" t="str">
            <v>خدمات المحجر</v>
          </cell>
          <cell r="U832" t="str">
            <v>الاذونات وخدمات المحاجر</v>
          </cell>
          <cell r="V832" t="str">
            <v>العمليات</v>
          </cell>
          <cell r="W832" t="str">
            <v>MEWA</v>
          </cell>
          <cell r="X832" t="str">
            <v xml:space="preserve">الفرع </v>
          </cell>
          <cell r="Y832">
            <v>46146</v>
          </cell>
          <cell r="Z832">
            <v>0.12</v>
          </cell>
          <cell r="AA832">
            <v>44</v>
          </cell>
          <cell r="AB832" t="str">
            <v>نشط</v>
          </cell>
          <cell r="AC832" t="str">
            <v>700016</v>
          </cell>
          <cell r="AD832" t="str">
            <v>Haya Ateeq</v>
          </cell>
          <cell r="AE832" t="str">
            <v>عقد مؤقت</v>
          </cell>
          <cell r="AF832" t="str">
            <v/>
          </cell>
          <cell r="AG832" t="str">
            <v/>
          </cell>
          <cell r="AH832" t="str">
            <v/>
          </cell>
          <cell r="AI832" t="str">
            <v/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 t="str">
            <v/>
          </cell>
          <cell r="AO832" t="str">
            <v>Import / Export Permits</v>
          </cell>
          <cell r="AP832" t="str">
            <v>Al Rajhi Bank</v>
          </cell>
          <cell r="AQ832" t="str">
            <v>SA8380000151608010230503</v>
          </cell>
          <cell r="AR832">
            <v>5190</v>
          </cell>
          <cell r="AS832">
            <v>5190</v>
          </cell>
          <cell r="AT832">
            <v>519</v>
          </cell>
          <cell r="AU832">
            <v>1297.5</v>
          </cell>
          <cell r="AV832" t="str">
            <v/>
          </cell>
        </row>
        <row r="833">
          <cell r="A833">
            <v>800000</v>
          </cell>
          <cell r="B833" t="str">
            <v>1049318890</v>
          </cell>
          <cell r="C833" t="str">
            <v>السيد</v>
          </cell>
          <cell r="D833" t="str">
            <v>Bejad Shamloul Meteb Almutairi</v>
          </cell>
          <cell r="E833" t="str">
            <v>بجاد شملول متعب المطيري</v>
          </cell>
          <cell r="F833" t="str">
            <v>Male</v>
          </cell>
          <cell r="G833" t="str">
            <v>متزوج</v>
          </cell>
          <cell r="H833">
            <v>21560</v>
          </cell>
          <cell r="I833">
            <v>67</v>
          </cell>
          <cell r="J833">
            <v>24630</v>
          </cell>
          <cell r="K833" t="str">
            <v/>
          </cell>
          <cell r="L833" t="str">
            <v>0554229567</v>
          </cell>
          <cell r="M833" t="str">
            <v/>
          </cell>
          <cell r="N833" t="str">
            <v>المملكة العربية السعودية</v>
          </cell>
          <cell r="O833" t="str">
            <v>50000511</v>
          </cell>
          <cell r="P833" t="str">
            <v>سائق</v>
          </cell>
          <cell r="Q833" t="str">
            <v>1A الدرجة</v>
          </cell>
          <cell r="R833" t="str">
            <v>Class A</v>
          </cell>
          <cell r="S833" t="str">
            <v/>
          </cell>
          <cell r="T833" t="str">
            <v/>
          </cell>
          <cell r="U833" t="str">
            <v>مكتب الرئيس التنفيذي</v>
          </cell>
          <cell r="V833" t="str">
            <v>مكتب الرئيس التنفيذي</v>
          </cell>
          <cell r="W833" t="str">
            <v>Head Quarter</v>
          </cell>
          <cell r="X833" t="str">
            <v xml:space="preserve">المقر الرئيسي </v>
          </cell>
          <cell r="Y833">
            <v>44564</v>
          </cell>
          <cell r="Z833">
            <v>4.45</v>
          </cell>
          <cell r="AA833">
            <v>1626</v>
          </cell>
          <cell r="AB833" t="str">
            <v>نشط</v>
          </cell>
          <cell r="AC833" t="str">
            <v>100191</v>
          </cell>
          <cell r="AD833" t="str">
            <v>Nemer Alshebel</v>
          </cell>
          <cell r="AE833" t="str">
            <v>متعاون</v>
          </cell>
          <cell r="AF833" t="str">
            <v/>
          </cell>
          <cell r="AG833">
            <v>46024</v>
          </cell>
          <cell r="AH833" t="str">
            <v/>
          </cell>
          <cell r="AI833" t="str">
            <v/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 t="str">
            <v/>
          </cell>
          <cell r="AO833" t="str">
            <v>عام</v>
          </cell>
          <cell r="AP833" t="str">
            <v>Al Rajhi Bank</v>
          </cell>
          <cell r="AQ833" t="str">
            <v>SA6280000530608010016573</v>
          </cell>
          <cell r="AR833">
            <v>7000</v>
          </cell>
          <cell r="AS833">
            <v>7000</v>
          </cell>
          <cell r="AT833" t="str">
            <v/>
          </cell>
          <cell r="AU833" t="str">
            <v/>
          </cell>
          <cell r="AV833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A723-C9FC-473A-8801-0B66E3C6F29A}">
  <dimension ref="A1:AC601"/>
  <sheetViews>
    <sheetView rightToLeft="1" tabSelected="1" topLeftCell="A3" workbookViewId="0">
      <pane ySplit="1" topLeftCell="A473" activePane="bottomLeft" state="frozen"/>
      <selection activeCell="G3" sqref="G3"/>
      <selection pane="bottomLeft" activeCell="A4" sqref="A4:A600"/>
    </sheetView>
  </sheetViews>
  <sheetFormatPr defaultRowHeight="12.75" x14ac:dyDescent="0.2"/>
  <cols>
    <col min="1" max="1" width="12.140625" customWidth="1"/>
    <col min="2" max="2" width="10.28515625" customWidth="1"/>
    <col min="3" max="3" width="16.85546875" customWidth="1"/>
    <col min="4" max="4" width="32" customWidth="1"/>
    <col min="5" max="6" width="34.42578125" customWidth="1"/>
    <col min="7" max="8" width="13" customWidth="1"/>
    <col min="9" max="9" width="10" customWidth="1"/>
    <col min="10" max="10" width="12.7109375" customWidth="1"/>
    <col min="11" max="11" width="14.5703125" customWidth="1"/>
    <col min="12" max="12" width="10" customWidth="1"/>
    <col min="13" max="13" width="10" style="52" customWidth="1"/>
    <col min="14" max="16" width="10" customWidth="1"/>
    <col min="17" max="18" width="10" style="39" customWidth="1"/>
    <col min="19" max="19" width="10" style="73" customWidth="1"/>
    <col min="20" max="20" width="10" customWidth="1"/>
    <col min="21" max="21" width="10" style="39" customWidth="1"/>
    <col min="22" max="26" width="10" customWidth="1"/>
    <col min="27" max="27" width="13.85546875" bestFit="1" customWidth="1"/>
    <col min="28" max="28" width="14.85546875" bestFit="1" customWidth="1"/>
    <col min="29" max="29" width="18.140625" bestFit="1" customWidth="1"/>
  </cols>
  <sheetData>
    <row r="1" spans="1:29" x14ac:dyDescent="0.2">
      <c r="A1" s="1" t="s">
        <v>0</v>
      </c>
      <c r="S1" s="70"/>
    </row>
    <row r="2" spans="1:29" x14ac:dyDescent="0.2">
      <c r="S2" s="70"/>
    </row>
    <row r="3" spans="1:29" ht="24" x14ac:dyDescent="0.2">
      <c r="A3" s="40" t="s">
        <v>1</v>
      </c>
      <c r="B3" s="41" t="s">
        <v>2</v>
      </c>
      <c r="C3" s="41" t="s">
        <v>3</v>
      </c>
      <c r="D3" s="40" t="s">
        <v>270</v>
      </c>
      <c r="E3" s="40" t="s">
        <v>4</v>
      </c>
      <c r="F3" s="40" t="s">
        <v>73</v>
      </c>
      <c r="G3" s="40" t="s">
        <v>5</v>
      </c>
      <c r="H3" s="40" t="s">
        <v>304</v>
      </c>
      <c r="I3" s="40" t="s">
        <v>6</v>
      </c>
      <c r="J3" s="40" t="s">
        <v>7</v>
      </c>
      <c r="K3" s="41" t="s">
        <v>8</v>
      </c>
      <c r="L3" s="41" t="s">
        <v>9</v>
      </c>
      <c r="M3" s="53" t="s">
        <v>10</v>
      </c>
      <c r="N3" s="40" t="s">
        <v>11</v>
      </c>
      <c r="O3" s="40" t="s">
        <v>12</v>
      </c>
      <c r="P3" s="40" t="s">
        <v>69</v>
      </c>
      <c r="Q3" s="40" t="s">
        <v>265</v>
      </c>
      <c r="R3" s="40" t="s">
        <v>264</v>
      </c>
      <c r="S3" s="40" t="s">
        <v>70</v>
      </c>
      <c r="T3" s="40" t="s">
        <v>72</v>
      </c>
      <c r="U3" s="40" t="s">
        <v>71</v>
      </c>
      <c r="V3" s="41" t="s">
        <v>13</v>
      </c>
      <c r="W3" s="41" t="s">
        <v>262</v>
      </c>
      <c r="X3" s="41" t="s">
        <v>263</v>
      </c>
      <c r="Y3" s="40" t="s">
        <v>14</v>
      </c>
      <c r="Z3" s="40" t="s">
        <v>15</v>
      </c>
      <c r="AA3" s="40" t="s">
        <v>16</v>
      </c>
      <c r="AB3" s="40" t="s">
        <v>17</v>
      </c>
      <c r="AC3" s="40" t="s">
        <v>18</v>
      </c>
    </row>
    <row r="4" spans="1:29" x14ac:dyDescent="0.2">
      <c r="A4" s="42">
        <v>100000</v>
      </c>
      <c r="B4" s="43">
        <v>8</v>
      </c>
      <c r="C4" s="42" t="s">
        <v>271</v>
      </c>
      <c r="D4" s="43" t="s">
        <v>19</v>
      </c>
      <c r="E4" s="43" t="s">
        <v>261</v>
      </c>
      <c r="F4" s="42" t="s">
        <v>21</v>
      </c>
      <c r="G4" s="43" t="s">
        <v>21</v>
      </c>
      <c r="H4" s="42">
        <v>50</v>
      </c>
      <c r="I4" s="44">
        <v>44501</v>
      </c>
      <c r="J4" s="43" t="s">
        <v>22</v>
      </c>
      <c r="K4" s="45"/>
      <c r="L4" s="51">
        <f>VLOOKUP(A4,'[1]ناتج ملف Excel'!$A:$AV,44,0)</f>
        <v>38833.7664</v>
      </c>
      <c r="M4" s="51">
        <f>VLOOKUP(A4,'[1]ناتج ملف Excel'!$A:$AV,46,0)</f>
        <v>3000</v>
      </c>
      <c r="N4" s="51">
        <f>VLOOKUP(A4,'[1]ناتج ملف Excel'!$A:$AV,47,0)</f>
        <v>9708.4419999999991</v>
      </c>
      <c r="O4" s="47">
        <f>VLOOKUP(A4,'[1]ناتج ملف Excel'!$A:$AV,48,0)</f>
        <v>500</v>
      </c>
      <c r="P4" s="47">
        <v>4166.666666666667</v>
      </c>
      <c r="Q4" s="48">
        <f t="shared" ref="Q4:Q34" si="0">(L4+M4+N4+O4)/12</f>
        <v>4336.8507</v>
      </c>
      <c r="R4" s="48">
        <f t="shared" ref="R4:R34" si="1">(O4+N4+M4+L4)/12/2</f>
        <v>2168.42535</v>
      </c>
      <c r="S4" s="71">
        <v>5287.5</v>
      </c>
      <c r="T4" s="47">
        <v>3080</v>
      </c>
      <c r="U4" s="48">
        <f t="shared" ref="U4:U66" si="2">(L4+M4+N4+O4)*2.5/12</f>
        <v>10842.126750000001</v>
      </c>
      <c r="V4" s="42">
        <v>0</v>
      </c>
      <c r="W4" s="42">
        <v>0</v>
      </c>
      <c r="X4" s="42">
        <v>0</v>
      </c>
      <c r="Y4" s="42">
        <v>0</v>
      </c>
      <c r="Z4" s="42">
        <v>0</v>
      </c>
      <c r="AA4" s="3">
        <f t="shared" ref="AA4:AA34" si="3">SUBTOTAL(9,L4:Z4)</f>
        <v>81923.777866666671</v>
      </c>
      <c r="AB4" s="3">
        <f t="shared" ref="AB4:AB66" si="4">AA4*12</f>
        <v>983085.33440000005</v>
      </c>
      <c r="AC4" s="3">
        <f t="shared" ref="AC4:AC34" si="5">AB4</f>
        <v>983085.33440000005</v>
      </c>
    </row>
    <row r="5" spans="1:29" x14ac:dyDescent="0.2">
      <c r="A5" s="42">
        <v>100001</v>
      </c>
      <c r="B5" s="43">
        <v>6</v>
      </c>
      <c r="C5" s="42" t="s">
        <v>272</v>
      </c>
      <c r="D5" s="43" t="s">
        <v>19</v>
      </c>
      <c r="E5" s="43" t="s">
        <v>261</v>
      </c>
      <c r="F5" s="42" t="s">
        <v>21</v>
      </c>
      <c r="G5" s="43" t="s">
        <v>21</v>
      </c>
      <c r="H5" s="42">
        <v>37</v>
      </c>
      <c r="I5" s="44">
        <v>44535</v>
      </c>
      <c r="J5" s="43" t="s">
        <v>22</v>
      </c>
      <c r="K5" s="45"/>
      <c r="L5" s="51">
        <f>VLOOKUP(A5,'[1]ناتج ملف Excel'!$A:$AV,44,0)</f>
        <v>20416.80056</v>
      </c>
      <c r="M5" s="51">
        <f>VLOOKUP(A5,'[1]ناتج ملف Excel'!$A:$AV,46,0)</f>
        <v>2041.68</v>
      </c>
      <c r="N5" s="51">
        <f>VLOOKUP(A5,'[1]ناتج ملف Excel'!$A:$AV,47,0)</f>
        <v>5104.2</v>
      </c>
      <c r="O5" s="47">
        <f>VLOOKUP(A5,'[1]ناتج ملف Excel'!$A:$AV,48,0)</f>
        <v>500</v>
      </c>
      <c r="P5" s="47">
        <v>0</v>
      </c>
      <c r="Q5" s="48">
        <f t="shared" si="0"/>
        <v>2338.5567133333334</v>
      </c>
      <c r="R5" s="48">
        <f t="shared" si="1"/>
        <v>1169.2783566666667</v>
      </c>
      <c r="S5" s="71">
        <f>(L5+N5)*11.75%</f>
        <v>2998.7175658000001</v>
      </c>
      <c r="T5" s="47">
        <v>3080</v>
      </c>
      <c r="U5" s="48">
        <f t="shared" si="2"/>
        <v>5846.3917833333335</v>
      </c>
      <c r="V5" s="42">
        <v>0</v>
      </c>
      <c r="W5" s="42">
        <v>0</v>
      </c>
      <c r="X5" s="42">
        <v>0</v>
      </c>
      <c r="Y5" s="42">
        <v>0</v>
      </c>
      <c r="Z5" s="42">
        <v>0</v>
      </c>
      <c r="AA5" s="3">
        <f t="shared" si="3"/>
        <v>43495.624979133332</v>
      </c>
      <c r="AB5" s="3">
        <f t="shared" si="4"/>
        <v>521947.49974959996</v>
      </c>
      <c r="AC5" s="3">
        <f t="shared" si="5"/>
        <v>521947.49974959996</v>
      </c>
    </row>
    <row r="6" spans="1:29" x14ac:dyDescent="0.2">
      <c r="A6" s="42">
        <v>100004</v>
      </c>
      <c r="B6" s="43">
        <v>9</v>
      </c>
      <c r="C6" s="42" t="s">
        <v>57</v>
      </c>
      <c r="D6" s="43" t="s">
        <v>19</v>
      </c>
      <c r="E6" s="43" t="s">
        <v>261</v>
      </c>
      <c r="F6" s="42" t="s">
        <v>21</v>
      </c>
      <c r="G6" s="43" t="s">
        <v>21</v>
      </c>
      <c r="H6" s="42">
        <v>49</v>
      </c>
      <c r="I6" s="44">
        <v>44470</v>
      </c>
      <c r="J6" s="43" t="s">
        <v>22</v>
      </c>
      <c r="K6" s="45"/>
      <c r="L6" s="51">
        <f>VLOOKUP(A6,'[1]ناتج ملف Excel'!$A:$AV,44,0)</f>
        <v>64271.750399999997</v>
      </c>
      <c r="M6" s="51">
        <f>VLOOKUP(A6,'[1]ناتج ملف Excel'!$A:$AV,46,0)</f>
        <v>3500</v>
      </c>
      <c r="N6" s="51">
        <f>VLOOKUP(A6,'[1]ناتج ملف Excel'!$A:$AV,47,0)</f>
        <v>16067.938</v>
      </c>
      <c r="O6" s="47">
        <f>VLOOKUP(A6,'[1]ناتج ملف Excel'!$A:$AV,48,0)</f>
        <v>800</v>
      </c>
      <c r="P6" s="47">
        <v>4166.666666666667</v>
      </c>
      <c r="Q6" s="48">
        <f t="shared" si="0"/>
        <v>7053.3073666666651</v>
      </c>
      <c r="R6" s="48">
        <f t="shared" si="1"/>
        <v>3526.6536833333334</v>
      </c>
      <c r="S6" s="71">
        <v>5287.5</v>
      </c>
      <c r="T6" s="47">
        <v>3080</v>
      </c>
      <c r="U6" s="48">
        <f t="shared" si="2"/>
        <v>17633.268416666662</v>
      </c>
      <c r="V6" s="42">
        <v>0</v>
      </c>
      <c r="W6" s="42">
        <v>0</v>
      </c>
      <c r="X6" s="42">
        <v>0</v>
      </c>
      <c r="Y6" s="42">
        <v>0</v>
      </c>
      <c r="Z6" s="42">
        <v>0</v>
      </c>
      <c r="AA6" s="3">
        <f t="shared" si="3"/>
        <v>125387.08453333331</v>
      </c>
      <c r="AB6" s="3">
        <f t="shared" si="4"/>
        <v>1504645.0143999998</v>
      </c>
      <c r="AC6" s="3">
        <f t="shared" si="5"/>
        <v>1504645.0143999998</v>
      </c>
    </row>
    <row r="7" spans="1:29" x14ac:dyDescent="0.2">
      <c r="A7" s="42">
        <v>100005</v>
      </c>
      <c r="B7" s="43">
        <v>9</v>
      </c>
      <c r="C7" s="42" t="s">
        <v>57</v>
      </c>
      <c r="D7" s="43" t="s">
        <v>23</v>
      </c>
      <c r="E7" s="43" t="s">
        <v>261</v>
      </c>
      <c r="F7" s="42" t="s">
        <v>21</v>
      </c>
      <c r="G7" s="43" t="s">
        <v>21</v>
      </c>
      <c r="H7" s="42">
        <v>46</v>
      </c>
      <c r="I7" s="44">
        <v>44542</v>
      </c>
      <c r="J7" s="43" t="s">
        <v>22</v>
      </c>
      <c r="K7" s="45"/>
      <c r="L7" s="51">
        <f>VLOOKUP(A7,'[1]ناتج ملف Excel'!$A:$AV,44,0)</f>
        <v>39975.936000000002</v>
      </c>
      <c r="M7" s="51">
        <f>VLOOKUP(A7,'[1]ناتج ملف Excel'!$A:$AV,46,0)</f>
        <v>3500</v>
      </c>
      <c r="N7" s="51">
        <f>VLOOKUP(A7,'[1]ناتج ملف Excel'!$A:$AV,47,0)</f>
        <v>9993.9840000000004</v>
      </c>
      <c r="O7" s="47">
        <f>VLOOKUP(A7,'[1]ناتج ملف Excel'!$A:$AV,48,0)</f>
        <v>800</v>
      </c>
      <c r="P7" s="47">
        <v>2083.3333333333335</v>
      </c>
      <c r="Q7" s="48">
        <f t="shared" si="0"/>
        <v>4522.4933333333329</v>
      </c>
      <c r="R7" s="48">
        <f t="shared" si="1"/>
        <v>2261.2466666666664</v>
      </c>
      <c r="S7" s="71">
        <v>5287.5</v>
      </c>
      <c r="T7" s="47">
        <v>3080</v>
      </c>
      <c r="U7" s="48">
        <f t="shared" si="2"/>
        <v>11306.233333333332</v>
      </c>
      <c r="V7" s="42">
        <v>0</v>
      </c>
      <c r="W7" s="42">
        <v>0</v>
      </c>
      <c r="X7" s="42">
        <v>0</v>
      </c>
      <c r="Y7" s="42">
        <v>0</v>
      </c>
      <c r="Z7" s="42">
        <v>0</v>
      </c>
      <c r="AA7" s="3">
        <f t="shared" si="3"/>
        <v>82810.726666666669</v>
      </c>
      <c r="AB7" s="3">
        <f t="shared" si="4"/>
        <v>993728.72</v>
      </c>
      <c r="AC7" s="3">
        <f t="shared" si="5"/>
        <v>993728.72</v>
      </c>
    </row>
    <row r="8" spans="1:29" x14ac:dyDescent="0.2">
      <c r="A8" s="42">
        <v>100008</v>
      </c>
      <c r="B8" s="43">
        <v>8</v>
      </c>
      <c r="C8" s="42" t="s">
        <v>273</v>
      </c>
      <c r="D8" s="43" t="s">
        <v>24</v>
      </c>
      <c r="E8" s="43" t="s">
        <v>261</v>
      </c>
      <c r="F8" s="42" t="s">
        <v>21</v>
      </c>
      <c r="G8" s="43" t="s">
        <v>21</v>
      </c>
      <c r="H8" s="42">
        <v>43</v>
      </c>
      <c r="I8" s="44">
        <v>44621</v>
      </c>
      <c r="J8" s="43" t="s">
        <v>22</v>
      </c>
      <c r="K8" s="45"/>
      <c r="L8" s="51">
        <f>VLOOKUP(A8,'[1]ناتج ملف Excel'!$A:$AV,44,0)</f>
        <v>46980</v>
      </c>
      <c r="M8" s="51">
        <f>VLOOKUP(A8,'[1]ناتج ملف Excel'!$A:$AV,46,0)</f>
        <v>3000</v>
      </c>
      <c r="N8" s="51">
        <f>VLOOKUP(A8,'[1]ناتج ملف Excel'!$A:$AV,47,0)</f>
        <v>11745</v>
      </c>
      <c r="O8" s="47">
        <f>VLOOKUP(A8,'[1]ناتج ملف Excel'!$A:$AV,48,0)</f>
        <v>500</v>
      </c>
      <c r="P8" s="47">
        <v>8333.3333333333339</v>
      </c>
      <c r="Q8" s="48">
        <f t="shared" si="0"/>
        <v>5185.416666666667</v>
      </c>
      <c r="R8" s="48">
        <f t="shared" si="1"/>
        <v>2592.7083333333335</v>
      </c>
      <c r="S8" s="71">
        <v>5287.5</v>
      </c>
      <c r="T8" s="47">
        <v>3080</v>
      </c>
      <c r="U8" s="48">
        <f t="shared" si="2"/>
        <v>12963.541666666666</v>
      </c>
      <c r="V8" s="42">
        <v>0</v>
      </c>
      <c r="W8" s="42">
        <v>0</v>
      </c>
      <c r="X8" s="42">
        <v>0</v>
      </c>
      <c r="Y8" s="42">
        <v>0</v>
      </c>
      <c r="Z8" s="42">
        <v>0</v>
      </c>
      <c r="AA8" s="3">
        <f t="shared" si="3"/>
        <v>99667.5</v>
      </c>
      <c r="AB8" s="3">
        <f t="shared" si="4"/>
        <v>1196010</v>
      </c>
      <c r="AC8" s="3">
        <f t="shared" si="5"/>
        <v>1196010</v>
      </c>
    </row>
    <row r="9" spans="1:29" x14ac:dyDescent="0.2">
      <c r="A9" s="42">
        <v>100009</v>
      </c>
      <c r="B9" s="43">
        <v>9</v>
      </c>
      <c r="C9" s="42" t="s">
        <v>57</v>
      </c>
      <c r="D9" s="43" t="s">
        <v>25</v>
      </c>
      <c r="E9" s="43" t="s">
        <v>261</v>
      </c>
      <c r="F9" s="42" t="s">
        <v>21</v>
      </c>
      <c r="G9" s="43" t="s">
        <v>21</v>
      </c>
      <c r="H9" s="42">
        <v>45</v>
      </c>
      <c r="I9" s="44">
        <v>44668</v>
      </c>
      <c r="J9" s="43" t="s">
        <v>22</v>
      </c>
      <c r="K9" s="45"/>
      <c r="L9" s="51">
        <f>VLOOKUP(A9,'[1]ناتج ملف Excel'!$A:$AV,44,0)</f>
        <v>61567.188900000001</v>
      </c>
      <c r="M9" s="51">
        <f>VLOOKUP(A9,'[1]ناتج ملف Excel'!$A:$AV,46,0)</f>
        <v>3500</v>
      </c>
      <c r="N9" s="51">
        <f>VLOOKUP(A9,'[1]ناتج ملف Excel'!$A:$AV,47,0)</f>
        <v>15391.797</v>
      </c>
      <c r="O9" s="47">
        <f>VLOOKUP(A9,'[1]ناتج ملف Excel'!$A:$AV,48,0)</f>
        <v>800</v>
      </c>
      <c r="P9" s="47">
        <v>4166.666666666667</v>
      </c>
      <c r="Q9" s="48">
        <f t="shared" si="0"/>
        <v>6771.5821583333336</v>
      </c>
      <c r="R9" s="48">
        <f t="shared" si="1"/>
        <v>3385.7910791666668</v>
      </c>
      <c r="S9" s="71">
        <v>5287.5</v>
      </c>
      <c r="T9" s="47">
        <v>3080</v>
      </c>
      <c r="U9" s="48">
        <f t="shared" si="2"/>
        <v>16928.955395833331</v>
      </c>
      <c r="V9" s="42">
        <v>0</v>
      </c>
      <c r="W9" s="42">
        <v>0</v>
      </c>
      <c r="X9" s="42">
        <v>0</v>
      </c>
      <c r="Y9" s="42">
        <v>0</v>
      </c>
      <c r="Z9" s="42">
        <v>0</v>
      </c>
      <c r="AA9" s="3">
        <f t="shared" si="3"/>
        <v>120879.48119999999</v>
      </c>
      <c r="AB9" s="3">
        <f t="shared" si="4"/>
        <v>1450553.7744</v>
      </c>
      <c r="AC9" s="3">
        <f t="shared" si="5"/>
        <v>1450553.7744</v>
      </c>
    </row>
    <row r="10" spans="1:29" x14ac:dyDescent="0.2">
      <c r="A10" s="42">
        <v>100012</v>
      </c>
      <c r="B10" s="43">
        <v>6</v>
      </c>
      <c r="C10" s="42" t="s">
        <v>288</v>
      </c>
      <c r="D10" s="38" t="s">
        <v>52</v>
      </c>
      <c r="E10" s="43" t="s">
        <v>27</v>
      </c>
      <c r="F10" s="42" t="s">
        <v>21</v>
      </c>
      <c r="G10" s="43" t="s">
        <v>21</v>
      </c>
      <c r="H10" s="42">
        <v>32</v>
      </c>
      <c r="I10" s="44">
        <v>44689</v>
      </c>
      <c r="J10" s="43" t="s">
        <v>22</v>
      </c>
      <c r="K10" s="45"/>
      <c r="L10" s="51">
        <f>VLOOKUP(A10,'[1]ناتج ملف Excel'!$A:$AV,44,0)</f>
        <v>18615.0825</v>
      </c>
      <c r="M10" s="51">
        <f>VLOOKUP(A10,'[1]ناتج ملف Excel'!$A:$AV,46,0)</f>
        <v>1861.508</v>
      </c>
      <c r="N10" s="51">
        <f>VLOOKUP(A10,'[1]ناتج ملف Excel'!$A:$AV,47,0)</f>
        <v>4653.7709999999997</v>
      </c>
      <c r="O10" s="47">
        <f>VLOOKUP(A10,'[1]ناتج ملف Excel'!$A:$AV,48,0)</f>
        <v>500</v>
      </c>
      <c r="P10" s="47">
        <v>0</v>
      </c>
      <c r="Q10" s="48">
        <f t="shared" si="0"/>
        <v>2135.8634583333337</v>
      </c>
      <c r="R10" s="48">
        <f t="shared" si="1"/>
        <v>1067.9317291666666</v>
      </c>
      <c r="S10" s="71">
        <f t="shared" ref="S8:S18" si="6">(L10+N10)*11.75%</f>
        <v>2734.0902862500002</v>
      </c>
      <c r="T10" s="47">
        <v>3080</v>
      </c>
      <c r="U10" s="48">
        <f t="shared" si="2"/>
        <v>5339.658645833334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3">
        <f t="shared" si="3"/>
        <v>39987.90561958334</v>
      </c>
      <c r="AB10" s="3">
        <f t="shared" si="4"/>
        <v>479854.86743500008</v>
      </c>
      <c r="AC10" s="3">
        <f t="shared" si="5"/>
        <v>479854.86743500008</v>
      </c>
    </row>
    <row r="11" spans="1:29" x14ac:dyDescent="0.2">
      <c r="A11" s="42">
        <v>100014</v>
      </c>
      <c r="B11" s="43">
        <v>6</v>
      </c>
      <c r="C11" s="43" t="s">
        <v>28</v>
      </c>
      <c r="D11" s="43" t="s">
        <v>57</v>
      </c>
      <c r="E11" s="43" t="s">
        <v>57</v>
      </c>
      <c r="F11" s="42" t="s">
        <v>21</v>
      </c>
      <c r="G11" s="43" t="s">
        <v>21</v>
      </c>
      <c r="H11" s="42">
        <v>39</v>
      </c>
      <c r="I11" s="44">
        <v>44698</v>
      </c>
      <c r="J11" s="43" t="s">
        <v>22</v>
      </c>
      <c r="K11" s="45"/>
      <c r="L11" s="51">
        <f>VLOOKUP(A11,'[1]ناتج ملف Excel'!$A:$AV,44,0)</f>
        <v>18160</v>
      </c>
      <c r="M11" s="51">
        <f>VLOOKUP(A11,'[1]ناتج ملف Excel'!$A:$AV,46,0)</f>
        <v>1816</v>
      </c>
      <c r="N11" s="51">
        <f>VLOOKUP(A11,'[1]ناتج ملف Excel'!$A:$AV,47,0)</f>
        <v>4540</v>
      </c>
      <c r="O11" s="47">
        <v>0</v>
      </c>
      <c r="P11" s="47">
        <v>0</v>
      </c>
      <c r="Q11" s="48">
        <f t="shared" si="0"/>
        <v>2043</v>
      </c>
      <c r="R11" s="48">
        <f t="shared" si="1"/>
        <v>1021.5</v>
      </c>
      <c r="S11" s="71">
        <f t="shared" si="6"/>
        <v>2667.25</v>
      </c>
      <c r="T11" s="47">
        <v>3080</v>
      </c>
      <c r="U11" s="48">
        <f t="shared" si="2"/>
        <v>5107.5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3">
        <f t="shared" si="3"/>
        <v>38435.25</v>
      </c>
      <c r="AB11" s="3">
        <f t="shared" si="4"/>
        <v>461223</v>
      </c>
      <c r="AC11" s="3">
        <f t="shared" si="5"/>
        <v>461223</v>
      </c>
    </row>
    <row r="12" spans="1:29" x14ac:dyDescent="0.2">
      <c r="A12" s="42">
        <v>100016</v>
      </c>
      <c r="B12" s="43">
        <v>6</v>
      </c>
      <c r="C12" s="42" t="s">
        <v>271</v>
      </c>
      <c r="D12" s="43" t="s">
        <v>19</v>
      </c>
      <c r="E12" s="43" t="s">
        <v>261</v>
      </c>
      <c r="F12" s="42" t="s">
        <v>21</v>
      </c>
      <c r="G12" s="43" t="s">
        <v>21</v>
      </c>
      <c r="H12" s="42">
        <v>42</v>
      </c>
      <c r="I12" s="44">
        <v>44713</v>
      </c>
      <c r="J12" s="43" t="s">
        <v>22</v>
      </c>
      <c r="K12" s="45"/>
      <c r="L12" s="51">
        <f>VLOOKUP(A12,'[1]ناتج ملف Excel'!$A:$AV,44,0)</f>
        <v>22352.526000000002</v>
      </c>
      <c r="M12" s="51">
        <f>VLOOKUP(A12,'[1]ناتج ملف Excel'!$A:$AV,46,0)</f>
        <v>2235.2530000000002</v>
      </c>
      <c r="N12" s="51">
        <f>VLOOKUP(A12,'[1]ناتج ملف Excel'!$A:$AV,47,0)</f>
        <v>5588.1319999999996</v>
      </c>
      <c r="O12" s="47">
        <f>VLOOKUP(A12,'[1]ناتج ملف Excel'!$A:$AV,48,0)</f>
        <v>500</v>
      </c>
      <c r="P12" s="47">
        <v>0</v>
      </c>
      <c r="Q12" s="48">
        <f t="shared" si="0"/>
        <v>2556.3259166666667</v>
      </c>
      <c r="R12" s="48">
        <f t="shared" si="1"/>
        <v>1278.1629583333333</v>
      </c>
      <c r="S12" s="71">
        <f t="shared" si="6"/>
        <v>3283.0273150000003</v>
      </c>
      <c r="T12" s="47">
        <v>3080</v>
      </c>
      <c r="U12" s="48">
        <f t="shared" si="2"/>
        <v>6390.8147916666667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3">
        <f t="shared" si="3"/>
        <v>47264.241981666666</v>
      </c>
      <c r="AB12" s="3">
        <f t="shared" si="4"/>
        <v>567170.90378000005</v>
      </c>
      <c r="AC12" s="3">
        <f t="shared" si="5"/>
        <v>567170.90378000005</v>
      </c>
    </row>
    <row r="13" spans="1:29" x14ac:dyDescent="0.2">
      <c r="A13" s="42">
        <v>100021</v>
      </c>
      <c r="B13" s="43">
        <v>6</v>
      </c>
      <c r="C13" s="42" t="s">
        <v>274</v>
      </c>
      <c r="D13" s="43" t="s">
        <v>25</v>
      </c>
      <c r="E13" s="43" t="s">
        <v>261</v>
      </c>
      <c r="F13" s="42" t="s">
        <v>21</v>
      </c>
      <c r="G13" s="43" t="s">
        <v>21</v>
      </c>
      <c r="H13" s="42">
        <v>37</v>
      </c>
      <c r="I13" s="44">
        <v>44760</v>
      </c>
      <c r="J13" s="43" t="s">
        <v>22</v>
      </c>
      <c r="K13" s="45"/>
      <c r="L13" s="51">
        <f>VLOOKUP(A13,'[1]ناتج ملف Excel'!$A:$AV,44,0)</f>
        <v>14240.2785</v>
      </c>
      <c r="M13" s="51">
        <f>VLOOKUP(A13,'[1]ناتج ملف Excel'!$A:$AV,46,0)</f>
        <v>1424.028</v>
      </c>
      <c r="N13" s="51">
        <f>VLOOKUP(A13,'[1]ناتج ملف Excel'!$A:$AV,47,0)</f>
        <v>3560.07</v>
      </c>
      <c r="O13" s="47">
        <f>VLOOKUP(A13,'[1]ناتج ملف Excel'!$A:$AV,48,0)</f>
        <v>500</v>
      </c>
      <c r="P13" s="47">
        <v>0</v>
      </c>
      <c r="Q13" s="48">
        <f t="shared" si="0"/>
        <v>1643.6980416666668</v>
      </c>
      <c r="R13" s="48">
        <f t="shared" si="1"/>
        <v>821.84902083333327</v>
      </c>
      <c r="S13" s="71">
        <f t="shared" si="6"/>
        <v>2091.5409487500001</v>
      </c>
      <c r="T13" s="47">
        <v>3080</v>
      </c>
      <c r="U13" s="48">
        <f t="shared" si="2"/>
        <v>4109.2451041666673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3">
        <f t="shared" si="3"/>
        <v>31470.709615416668</v>
      </c>
      <c r="AB13" s="3">
        <f t="shared" si="4"/>
        <v>377648.51538500004</v>
      </c>
      <c r="AC13" s="3">
        <f t="shared" si="5"/>
        <v>377648.51538500004</v>
      </c>
    </row>
    <row r="14" spans="1:29" x14ac:dyDescent="0.2">
      <c r="A14" s="42">
        <v>100023</v>
      </c>
      <c r="B14" s="43">
        <v>8</v>
      </c>
      <c r="C14" s="42" t="s">
        <v>275</v>
      </c>
      <c r="D14" s="43" t="s">
        <v>29</v>
      </c>
      <c r="E14" s="43" t="s">
        <v>30</v>
      </c>
      <c r="F14" s="42" t="s">
        <v>21</v>
      </c>
      <c r="G14" s="43" t="s">
        <v>21</v>
      </c>
      <c r="H14" s="42">
        <v>39</v>
      </c>
      <c r="I14" s="44">
        <v>44774</v>
      </c>
      <c r="J14" s="43" t="s">
        <v>22</v>
      </c>
      <c r="K14" s="45"/>
      <c r="L14" s="51">
        <f>VLOOKUP(A14,'[1]ناتج ملف Excel'!$A:$AV,44,0)</f>
        <v>34707.680800000002</v>
      </c>
      <c r="M14" s="51">
        <f>VLOOKUP(A14,'[1]ناتج ملف Excel'!$A:$AV,46,0)</f>
        <v>3000</v>
      </c>
      <c r="N14" s="51">
        <f>VLOOKUP(A14,'[1]ناتج ملف Excel'!$A:$AV,47,0)</f>
        <v>8676.92</v>
      </c>
      <c r="O14" s="47">
        <f>VLOOKUP(A14,'[1]ناتج ملف Excel'!$A:$AV,48,0)</f>
        <v>500</v>
      </c>
      <c r="P14" s="47">
        <v>4166.666666666667</v>
      </c>
      <c r="Q14" s="48">
        <f t="shared" si="0"/>
        <v>3907.0500666666667</v>
      </c>
      <c r="R14" s="48">
        <f t="shared" si="1"/>
        <v>1953.5250333333333</v>
      </c>
      <c r="S14" s="71">
        <f t="shared" si="6"/>
        <v>5097.6905939999997</v>
      </c>
      <c r="T14" s="47">
        <v>3080</v>
      </c>
      <c r="U14" s="48">
        <f t="shared" si="2"/>
        <v>9767.6251666666667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3">
        <f t="shared" si="3"/>
        <v>74857.158327333338</v>
      </c>
      <c r="AB14" s="3">
        <f t="shared" si="4"/>
        <v>898285.89992800006</v>
      </c>
      <c r="AC14" s="3">
        <f t="shared" si="5"/>
        <v>898285.89992800006</v>
      </c>
    </row>
    <row r="15" spans="1:29" x14ac:dyDescent="0.2">
      <c r="A15" s="42">
        <v>100024</v>
      </c>
      <c r="B15" s="43">
        <v>8</v>
      </c>
      <c r="C15" s="43" t="s">
        <v>31</v>
      </c>
      <c r="D15" s="38"/>
      <c r="E15" s="43" t="s">
        <v>261</v>
      </c>
      <c r="F15" s="42" t="s">
        <v>21</v>
      </c>
      <c r="G15" s="43" t="s">
        <v>21</v>
      </c>
      <c r="H15" s="42">
        <v>43</v>
      </c>
      <c r="I15" s="44">
        <v>44651</v>
      </c>
      <c r="J15" s="43" t="s">
        <v>22</v>
      </c>
      <c r="K15" s="45"/>
      <c r="L15" s="51">
        <f>VLOOKUP(A15,'[1]ناتج ملف Excel'!$A:$AV,44,0)</f>
        <v>31552.4352</v>
      </c>
      <c r="M15" s="51">
        <f>VLOOKUP(A15,'[1]ناتج ملف Excel'!$A:$AV,46,0)</f>
        <v>3000</v>
      </c>
      <c r="N15" s="51">
        <f>VLOOKUP(A15,'[1]ناتج ملف Excel'!$A:$AV,47,0)</f>
        <v>7888.1090000000004</v>
      </c>
      <c r="O15" s="47">
        <f>VLOOKUP(A15,'[1]ناتج ملف Excel'!$A:$AV,48,0)</f>
        <v>500</v>
      </c>
      <c r="P15" s="47">
        <v>0</v>
      </c>
      <c r="Q15" s="48">
        <f t="shared" si="0"/>
        <v>3578.3786833333338</v>
      </c>
      <c r="R15" s="48">
        <f t="shared" si="1"/>
        <v>1789.1893416666669</v>
      </c>
      <c r="S15" s="71">
        <f t="shared" si="6"/>
        <v>4634.2639435000001</v>
      </c>
      <c r="T15" s="47">
        <v>3080</v>
      </c>
      <c r="U15" s="48">
        <f t="shared" si="2"/>
        <v>8945.9467083333348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3">
        <f t="shared" si="3"/>
        <v>64968.322876833343</v>
      </c>
      <c r="AB15" s="3">
        <f t="shared" si="4"/>
        <v>779619.87452200009</v>
      </c>
      <c r="AC15" s="3">
        <f t="shared" si="5"/>
        <v>779619.87452200009</v>
      </c>
    </row>
    <row r="16" spans="1:29" x14ac:dyDescent="0.2">
      <c r="A16" s="42">
        <v>100033</v>
      </c>
      <c r="B16" s="43">
        <v>5</v>
      </c>
      <c r="C16" s="43" t="s">
        <v>31</v>
      </c>
      <c r="D16" s="43"/>
      <c r="E16" s="43" t="s">
        <v>261</v>
      </c>
      <c r="F16" s="42" t="s">
        <v>21</v>
      </c>
      <c r="G16" s="43" t="s">
        <v>21</v>
      </c>
      <c r="H16" s="42">
        <v>47</v>
      </c>
      <c r="I16" s="44">
        <v>44808</v>
      </c>
      <c r="J16" s="43" t="s">
        <v>22</v>
      </c>
      <c r="K16" s="45"/>
      <c r="L16" s="51">
        <f>VLOOKUP(A16,'[1]ناتج ملف Excel'!$A:$AV,44,0)</f>
        <v>15228.8344</v>
      </c>
      <c r="M16" s="51">
        <f>VLOOKUP(A16,'[1]ناتج ملف Excel'!$A:$AV,46,0)</f>
        <v>1522.883</v>
      </c>
      <c r="N16" s="51">
        <f>VLOOKUP(A16,'[1]ناتج ملف Excel'!$A:$AV,47,0)</f>
        <v>3807.2089999999998</v>
      </c>
      <c r="O16" s="47">
        <f>VLOOKUP(A16,'[1]ناتج ملف Excel'!$A:$AV,48,0)</f>
        <v>300</v>
      </c>
      <c r="P16" s="47">
        <v>0</v>
      </c>
      <c r="Q16" s="48">
        <f t="shared" si="0"/>
        <v>1738.2438666666667</v>
      </c>
      <c r="R16" s="48">
        <f t="shared" si="1"/>
        <v>869.12193333333335</v>
      </c>
      <c r="S16" s="71">
        <f t="shared" si="6"/>
        <v>2236.7350994999997</v>
      </c>
      <c r="T16" s="47">
        <v>3080</v>
      </c>
      <c r="U16" s="48">
        <f t="shared" si="2"/>
        <v>4345.6096666666663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3">
        <f t="shared" si="3"/>
        <v>33128.636966166661</v>
      </c>
      <c r="AB16" s="3">
        <f t="shared" si="4"/>
        <v>397543.64359399991</v>
      </c>
      <c r="AC16" s="3">
        <f t="shared" si="5"/>
        <v>397543.64359399991</v>
      </c>
    </row>
    <row r="17" spans="1:29" x14ac:dyDescent="0.2">
      <c r="A17" s="42">
        <v>100035</v>
      </c>
      <c r="B17" s="43">
        <v>8</v>
      </c>
      <c r="C17" s="42" t="s">
        <v>276</v>
      </c>
      <c r="D17" s="43" t="s">
        <v>25</v>
      </c>
      <c r="E17" s="43" t="s">
        <v>261</v>
      </c>
      <c r="F17" s="42" t="s">
        <v>21</v>
      </c>
      <c r="G17" s="43" t="s">
        <v>21</v>
      </c>
      <c r="H17" s="42">
        <v>41</v>
      </c>
      <c r="I17" s="44">
        <v>44837</v>
      </c>
      <c r="J17" s="43" t="s">
        <v>22</v>
      </c>
      <c r="K17" s="45"/>
      <c r="L17" s="51">
        <f>VLOOKUP(A17,'[1]ناتج ملف Excel'!$A:$AV,44,0)</f>
        <v>32086.4565</v>
      </c>
      <c r="M17" s="51">
        <f>VLOOKUP(A17,'[1]ناتج ملف Excel'!$A:$AV,46,0)</f>
        <v>3000</v>
      </c>
      <c r="N17" s="51">
        <f>VLOOKUP(A17,'[1]ناتج ملف Excel'!$A:$AV,47,0)</f>
        <v>8021.6139999999996</v>
      </c>
      <c r="O17" s="47">
        <f>VLOOKUP(A17,'[1]ناتج ملف Excel'!$A:$AV,48,0)</f>
        <v>500</v>
      </c>
      <c r="P17" s="47">
        <v>6250</v>
      </c>
      <c r="Q17" s="48">
        <f t="shared" si="0"/>
        <v>3634.0058750000003</v>
      </c>
      <c r="R17" s="48">
        <f t="shared" si="1"/>
        <v>1817.0029375000001</v>
      </c>
      <c r="S17" s="71">
        <f t="shared" si="6"/>
        <v>4712.69828375</v>
      </c>
      <c r="T17" s="47">
        <v>3080</v>
      </c>
      <c r="U17" s="48">
        <f t="shared" si="2"/>
        <v>9085.0146875000009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3">
        <f t="shared" si="3"/>
        <v>72186.792283750008</v>
      </c>
      <c r="AB17" s="3">
        <f t="shared" si="4"/>
        <v>866241.50740500004</v>
      </c>
      <c r="AC17" s="3">
        <f t="shared" si="5"/>
        <v>866241.50740500004</v>
      </c>
    </row>
    <row r="18" spans="1:29" x14ac:dyDescent="0.2">
      <c r="A18" s="42">
        <v>100036</v>
      </c>
      <c r="B18" s="43">
        <v>8</v>
      </c>
      <c r="C18" s="42" t="s">
        <v>32</v>
      </c>
      <c r="D18" s="43" t="s">
        <v>33</v>
      </c>
      <c r="E18" s="43" t="s">
        <v>57</v>
      </c>
      <c r="F18" s="42" t="s">
        <v>21</v>
      </c>
      <c r="G18" s="43" t="s">
        <v>21</v>
      </c>
      <c r="H18" s="42">
        <v>44</v>
      </c>
      <c r="I18" s="44">
        <v>44836</v>
      </c>
      <c r="J18" s="43" t="s">
        <v>22</v>
      </c>
      <c r="K18" s="45"/>
      <c r="L18" s="51">
        <f>VLOOKUP(A18,'[1]ناتج ملف Excel'!$A:$AV,44,0)</f>
        <v>35410.718719999997</v>
      </c>
      <c r="M18" s="51">
        <f>VLOOKUP(A18,'[1]ناتج ملف Excel'!$A:$AV,46,0)</f>
        <v>3000</v>
      </c>
      <c r="N18" s="51">
        <f>VLOOKUP(A18,'[1]ناتج ملف Excel'!$A:$AV,47,0)</f>
        <v>8852.68</v>
      </c>
      <c r="O18" s="47">
        <f>VLOOKUP(A18,'[1]ناتج ملف Excel'!$A:$AV,48,0)</f>
        <v>500</v>
      </c>
      <c r="P18" s="47">
        <v>6250</v>
      </c>
      <c r="Q18" s="48">
        <f t="shared" si="0"/>
        <v>3980.2832266666665</v>
      </c>
      <c r="R18" s="48">
        <f t="shared" si="1"/>
        <v>1990.1416133333332</v>
      </c>
      <c r="S18" s="71">
        <f t="shared" si="6"/>
        <v>5200.9493495999996</v>
      </c>
      <c r="T18" s="47">
        <v>3080</v>
      </c>
      <c r="U18" s="48">
        <f t="shared" si="2"/>
        <v>9950.7080666666661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3">
        <f t="shared" si="3"/>
        <v>78215.48097626667</v>
      </c>
      <c r="AB18" s="3">
        <f t="shared" si="4"/>
        <v>938585.77171520004</v>
      </c>
      <c r="AC18" s="3">
        <f t="shared" si="5"/>
        <v>938585.77171520004</v>
      </c>
    </row>
    <row r="19" spans="1:29" x14ac:dyDescent="0.2">
      <c r="A19" s="42">
        <v>100042</v>
      </c>
      <c r="B19" s="43">
        <v>8</v>
      </c>
      <c r="C19" s="43" t="s">
        <v>34</v>
      </c>
      <c r="D19" s="38"/>
      <c r="E19" s="43" t="s">
        <v>35</v>
      </c>
      <c r="F19" s="42" t="s">
        <v>21</v>
      </c>
      <c r="G19" s="43" t="s">
        <v>21</v>
      </c>
      <c r="H19" s="42">
        <v>40</v>
      </c>
      <c r="I19" s="44">
        <v>44871</v>
      </c>
      <c r="J19" s="43" t="s">
        <v>22</v>
      </c>
      <c r="K19" s="45"/>
      <c r="L19" s="51">
        <f>VLOOKUP(A19,'[1]ناتج ملف Excel'!$A:$AV,44,0)</f>
        <v>45503.473599999998</v>
      </c>
      <c r="M19" s="51">
        <f>VLOOKUP(A19,'[1]ناتج ملف Excel'!$A:$AV,46,0)</f>
        <v>3000</v>
      </c>
      <c r="N19" s="51">
        <f>VLOOKUP(A19,'[1]ناتج ملف Excel'!$A:$AV,47,0)</f>
        <v>11375.868</v>
      </c>
      <c r="O19" s="47">
        <f>VLOOKUP(A19,'[1]ناتج ملف Excel'!$A:$AV,48,0)</f>
        <v>500</v>
      </c>
      <c r="P19" s="47">
        <v>6250</v>
      </c>
      <c r="Q19" s="48">
        <f t="shared" si="0"/>
        <v>5031.6117999999997</v>
      </c>
      <c r="R19" s="48">
        <f t="shared" si="1"/>
        <v>2515.8058999999998</v>
      </c>
      <c r="S19" s="71">
        <v>5287.5</v>
      </c>
      <c r="T19" s="47">
        <v>3080</v>
      </c>
      <c r="U19" s="48">
        <f t="shared" si="2"/>
        <v>12579.029499999999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3">
        <f t="shared" si="3"/>
        <v>95123.288800000009</v>
      </c>
      <c r="AB19" s="3">
        <f t="shared" si="4"/>
        <v>1141479.4656000002</v>
      </c>
      <c r="AC19" s="3">
        <f t="shared" si="5"/>
        <v>1141479.4656000002</v>
      </c>
    </row>
    <row r="20" spans="1:29" x14ac:dyDescent="0.2">
      <c r="A20" s="42">
        <v>100043</v>
      </c>
      <c r="B20" s="43">
        <v>9</v>
      </c>
      <c r="C20" s="42"/>
      <c r="D20" s="43" t="s">
        <v>297</v>
      </c>
      <c r="E20" s="43" t="s">
        <v>30</v>
      </c>
      <c r="F20" s="42" t="s">
        <v>21</v>
      </c>
      <c r="G20" s="43" t="s">
        <v>21</v>
      </c>
      <c r="H20" s="42">
        <v>46</v>
      </c>
      <c r="I20" s="44">
        <v>44878</v>
      </c>
      <c r="J20" s="43" t="s">
        <v>22</v>
      </c>
      <c r="K20" s="45"/>
      <c r="L20" s="51">
        <f>VLOOKUP(A20,'[1]ناتج ملف Excel'!$A:$AV,44,0)</f>
        <v>62398.801919999998</v>
      </c>
      <c r="M20" s="51">
        <f>VLOOKUP(A20,'[1]ناتج ملف Excel'!$A:$AV,46,0)</f>
        <v>3500</v>
      </c>
      <c r="N20" s="51">
        <f>VLOOKUP(A20,'[1]ناتج ملف Excel'!$A:$AV,47,0)</f>
        <v>15599.7</v>
      </c>
      <c r="O20" s="47">
        <f>VLOOKUP(A20,'[1]ناتج ملف Excel'!$A:$AV,48,0)</f>
        <v>800</v>
      </c>
      <c r="P20" s="47">
        <v>6250</v>
      </c>
      <c r="Q20" s="48">
        <f t="shared" si="0"/>
        <v>6858.2084933333326</v>
      </c>
      <c r="R20" s="48">
        <f t="shared" si="1"/>
        <v>3429.1042466666663</v>
      </c>
      <c r="S20" s="71">
        <v>5287.5</v>
      </c>
      <c r="T20" s="47">
        <v>3080</v>
      </c>
      <c r="U20" s="48">
        <f t="shared" si="2"/>
        <v>17145.521233333333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3">
        <f t="shared" si="3"/>
        <v>124348.83589333334</v>
      </c>
      <c r="AB20" s="3">
        <f t="shared" si="4"/>
        <v>1492186.0307200002</v>
      </c>
      <c r="AC20" s="3">
        <f t="shared" si="5"/>
        <v>1492186.0307200002</v>
      </c>
    </row>
    <row r="21" spans="1:29" x14ac:dyDescent="0.2">
      <c r="A21" s="42">
        <v>100044</v>
      </c>
      <c r="B21" s="43">
        <v>9</v>
      </c>
      <c r="C21" s="42"/>
      <c r="D21" s="43" t="s">
        <v>37</v>
      </c>
      <c r="E21" s="38"/>
      <c r="F21" s="42" t="s">
        <v>21</v>
      </c>
      <c r="G21" s="43" t="s">
        <v>21</v>
      </c>
      <c r="H21" s="42">
        <v>54</v>
      </c>
      <c r="I21" s="44">
        <v>44885</v>
      </c>
      <c r="J21" s="43" t="s">
        <v>22</v>
      </c>
      <c r="K21" s="45"/>
      <c r="L21" s="51">
        <f>VLOOKUP(A21,'[1]ناتج ملف Excel'!$A:$AV,44,0)</f>
        <v>55692</v>
      </c>
      <c r="M21" s="51">
        <f>VLOOKUP(A21,'[1]ناتج ملف Excel'!$A:$AV,46,0)</f>
        <v>3500</v>
      </c>
      <c r="N21" s="51">
        <f>VLOOKUP(A21,'[1]ناتج ملف Excel'!$A:$AV,47,0)</f>
        <v>13923</v>
      </c>
      <c r="O21" s="47">
        <f>VLOOKUP(A21,'[1]ناتج ملف Excel'!$A:$AV,48,0)</f>
        <v>800</v>
      </c>
      <c r="P21" s="47">
        <v>4166.666666666667</v>
      </c>
      <c r="Q21" s="48">
        <f t="shared" si="0"/>
        <v>6159.583333333333</v>
      </c>
      <c r="R21" s="48">
        <f t="shared" si="1"/>
        <v>3079.7916666666665</v>
      </c>
      <c r="S21" s="71">
        <v>5287.5</v>
      </c>
      <c r="T21" s="47">
        <v>3080</v>
      </c>
      <c r="U21" s="48">
        <f t="shared" si="2"/>
        <v>15398.958333333334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3">
        <f t="shared" si="3"/>
        <v>111087.5</v>
      </c>
      <c r="AB21" s="3">
        <f t="shared" si="4"/>
        <v>1333050</v>
      </c>
      <c r="AC21" s="3">
        <f t="shared" si="5"/>
        <v>1333050</v>
      </c>
    </row>
    <row r="22" spans="1:29" x14ac:dyDescent="0.2">
      <c r="A22" s="42">
        <v>100047</v>
      </c>
      <c r="B22" s="43">
        <v>7</v>
      </c>
      <c r="C22" s="43" t="s">
        <v>28</v>
      </c>
      <c r="D22" s="43" t="s">
        <v>57</v>
      </c>
      <c r="E22" s="43" t="s">
        <v>57</v>
      </c>
      <c r="F22" s="42" t="s">
        <v>21</v>
      </c>
      <c r="G22" s="43" t="s">
        <v>21</v>
      </c>
      <c r="H22" s="42">
        <v>35</v>
      </c>
      <c r="I22" s="44">
        <v>44969</v>
      </c>
      <c r="J22" s="43" t="s">
        <v>22</v>
      </c>
      <c r="K22" s="45"/>
      <c r="L22" s="51">
        <f>VLOOKUP(A22,'[1]ناتج ملف Excel'!$A:$AV,44,0)</f>
        <v>20728.259999999998</v>
      </c>
      <c r="M22" s="51">
        <f>VLOOKUP(A22,'[1]ناتج ملف Excel'!$A:$AV,46,0)</f>
        <v>2072.826</v>
      </c>
      <c r="N22" s="51">
        <f>VLOOKUP(A22,'[1]ناتج ملف Excel'!$A:$AV,47,0)</f>
        <v>5182.0649999999996</v>
      </c>
      <c r="O22" s="47">
        <f>VLOOKUP(A22,'[1]ناتج ملف Excel'!$A:$AV,48,0)</f>
        <v>500</v>
      </c>
      <c r="P22" s="47">
        <v>0</v>
      </c>
      <c r="Q22" s="48">
        <f t="shared" si="0"/>
        <v>2373.5959166666667</v>
      </c>
      <c r="R22" s="48">
        <f t="shared" si="1"/>
        <v>1186.7979583333333</v>
      </c>
      <c r="S22" s="71">
        <f t="shared" ref="S20:S53" si="7">(L22+N22)*11.75%</f>
        <v>3044.4631874999995</v>
      </c>
      <c r="T22" s="47">
        <v>3080</v>
      </c>
      <c r="U22" s="48">
        <f t="shared" si="2"/>
        <v>5933.9897916666669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3">
        <f t="shared" si="3"/>
        <v>44101.997854166664</v>
      </c>
      <c r="AB22" s="3">
        <f t="shared" si="4"/>
        <v>529223.97424999997</v>
      </c>
      <c r="AC22" s="3">
        <f t="shared" si="5"/>
        <v>529223.97424999997</v>
      </c>
    </row>
    <row r="23" spans="1:29" x14ac:dyDescent="0.2">
      <c r="A23" s="42">
        <v>100048</v>
      </c>
      <c r="B23" s="43">
        <v>9</v>
      </c>
      <c r="C23" s="42"/>
      <c r="D23" s="43" t="s">
        <v>29</v>
      </c>
      <c r="E23" s="43" t="s">
        <v>30</v>
      </c>
      <c r="F23" s="42" t="s">
        <v>21</v>
      </c>
      <c r="G23" s="43" t="s">
        <v>21</v>
      </c>
      <c r="H23" s="42">
        <v>40</v>
      </c>
      <c r="I23" s="44">
        <v>44986</v>
      </c>
      <c r="J23" s="43" t="s">
        <v>22</v>
      </c>
      <c r="K23" s="45"/>
      <c r="L23" s="51">
        <f>VLOOKUP(A23,'[1]ناتج ملف Excel'!$A:$AV,44,0)</f>
        <v>52525.709600000002</v>
      </c>
      <c r="M23" s="51">
        <f>VLOOKUP(A23,'[1]ناتج ملف Excel'!$A:$AV,46,0)</f>
        <v>3500</v>
      </c>
      <c r="N23" s="51">
        <f>VLOOKUP(A23,'[1]ناتج ملف Excel'!$A:$AV,47,0)</f>
        <v>13131.427</v>
      </c>
      <c r="O23" s="47">
        <f>VLOOKUP(A23,'[1]ناتج ملف Excel'!$A:$AV,48,0)</f>
        <v>800</v>
      </c>
      <c r="P23" s="47">
        <v>0</v>
      </c>
      <c r="Q23" s="48">
        <f t="shared" si="0"/>
        <v>5829.7613833333335</v>
      </c>
      <c r="R23" s="48">
        <f t="shared" si="1"/>
        <v>2914.8806916666667</v>
      </c>
      <c r="S23" s="71">
        <v>5287.5</v>
      </c>
      <c r="T23" s="47">
        <v>3080</v>
      </c>
      <c r="U23" s="48">
        <f t="shared" si="2"/>
        <v>14574.403458333332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3">
        <f t="shared" si="3"/>
        <v>101643.68213333332</v>
      </c>
      <c r="AB23" s="3">
        <f t="shared" si="4"/>
        <v>1219724.1856</v>
      </c>
      <c r="AC23" s="3">
        <f t="shared" si="5"/>
        <v>1219724.1856</v>
      </c>
    </row>
    <row r="24" spans="1:29" x14ac:dyDescent="0.2">
      <c r="A24" s="42">
        <v>100049</v>
      </c>
      <c r="B24" s="43">
        <v>9</v>
      </c>
      <c r="C24" s="42"/>
      <c r="D24" s="43" t="s">
        <v>286</v>
      </c>
      <c r="E24" s="43" t="s">
        <v>30</v>
      </c>
      <c r="F24" s="42" t="s">
        <v>21</v>
      </c>
      <c r="G24" s="43" t="s">
        <v>21</v>
      </c>
      <c r="H24" s="42">
        <v>40</v>
      </c>
      <c r="I24" s="44">
        <v>44990</v>
      </c>
      <c r="J24" s="43" t="s">
        <v>22</v>
      </c>
      <c r="K24" s="45"/>
      <c r="L24" s="51">
        <f>VLOOKUP(A24,'[1]ناتج ملف Excel'!$A:$AV,44,0)</f>
        <v>59728.864000000001</v>
      </c>
      <c r="M24" s="51">
        <f>VLOOKUP(A24,'[1]ناتج ملف Excel'!$A:$AV,46,0)</f>
        <v>3500</v>
      </c>
      <c r="N24" s="51">
        <f>VLOOKUP(A24,'[1]ناتج ملف Excel'!$A:$AV,47,0)</f>
        <v>14932.216</v>
      </c>
      <c r="O24" s="47">
        <f>VLOOKUP(A24,'[1]ناتج ملف Excel'!$A:$AV,48,0)</f>
        <v>800</v>
      </c>
      <c r="P24" s="47">
        <v>4166.666666666667</v>
      </c>
      <c r="Q24" s="48">
        <f t="shared" si="0"/>
        <v>6580.09</v>
      </c>
      <c r="R24" s="48">
        <f t="shared" si="1"/>
        <v>3290.0450000000001</v>
      </c>
      <c r="S24" s="71">
        <v>5287.5</v>
      </c>
      <c r="T24" s="47">
        <v>3080</v>
      </c>
      <c r="U24" s="48">
        <f t="shared" si="2"/>
        <v>16450.225000000002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3">
        <f t="shared" si="3"/>
        <v>117815.60666666667</v>
      </c>
      <c r="AB24" s="3">
        <f t="shared" si="4"/>
        <v>1413787.28</v>
      </c>
      <c r="AC24" s="3">
        <f t="shared" si="5"/>
        <v>1413787.28</v>
      </c>
    </row>
    <row r="25" spans="1:29" x14ac:dyDescent="0.2">
      <c r="A25" s="42">
        <v>100051</v>
      </c>
      <c r="B25" s="43">
        <v>7</v>
      </c>
      <c r="C25" s="42" t="s">
        <v>277</v>
      </c>
      <c r="D25" s="43" t="s">
        <v>39</v>
      </c>
      <c r="E25" s="43" t="s">
        <v>40</v>
      </c>
      <c r="F25" s="42" t="s">
        <v>236</v>
      </c>
      <c r="G25" s="43" t="s">
        <v>41</v>
      </c>
      <c r="H25" s="42">
        <v>59</v>
      </c>
      <c r="I25" s="44">
        <v>44999</v>
      </c>
      <c r="J25" s="43" t="s">
        <v>22</v>
      </c>
      <c r="K25" s="45"/>
      <c r="L25" s="51">
        <f>VLOOKUP(A25,'[1]ناتج ملف Excel'!$A:$AV,44,0)</f>
        <v>27344.171399999999</v>
      </c>
      <c r="M25" s="51">
        <f>VLOOKUP(A25,'[1]ناتج ملف Excel'!$A:$AV,46,0)</f>
        <v>2734.4169999999999</v>
      </c>
      <c r="N25" s="51">
        <f>VLOOKUP(A25,'[1]ناتج ملف Excel'!$A:$AV,47,0)</f>
        <v>6836.0429999999997</v>
      </c>
      <c r="O25" s="47">
        <f>VLOOKUP(A25,'[1]ناتج ملف Excel'!$A:$AV,48,0)</f>
        <v>500</v>
      </c>
      <c r="P25" s="47">
        <v>0</v>
      </c>
      <c r="Q25" s="48">
        <f t="shared" si="0"/>
        <v>3117.8859499999999</v>
      </c>
      <c r="R25" s="48">
        <f t="shared" si="1"/>
        <v>1558.9429749999999</v>
      </c>
      <c r="S25" s="71">
        <f t="shared" si="7"/>
        <v>4016.1751919999992</v>
      </c>
      <c r="T25" s="47">
        <v>3080</v>
      </c>
      <c r="U25" s="48">
        <f t="shared" si="2"/>
        <v>7794.7148750000006</v>
      </c>
      <c r="V25" s="42">
        <v>0</v>
      </c>
      <c r="W25" s="42">
        <v>0</v>
      </c>
      <c r="X25" s="42">
        <v>0</v>
      </c>
      <c r="Y25" s="45">
        <v>0</v>
      </c>
      <c r="Z25" s="42">
        <v>0</v>
      </c>
      <c r="AA25" s="3">
        <f t="shared" si="3"/>
        <v>56982.350391999993</v>
      </c>
      <c r="AB25" s="3">
        <f t="shared" si="4"/>
        <v>683788.20470399992</v>
      </c>
      <c r="AC25" s="3">
        <f t="shared" si="5"/>
        <v>683788.20470399992</v>
      </c>
    </row>
    <row r="26" spans="1:29" x14ac:dyDescent="0.2">
      <c r="A26" s="42">
        <v>100053</v>
      </c>
      <c r="B26" s="43">
        <v>10</v>
      </c>
      <c r="C26" s="42" t="s">
        <v>291</v>
      </c>
      <c r="D26" s="43"/>
      <c r="E26" s="43" t="s">
        <v>42</v>
      </c>
      <c r="F26" s="42" t="s">
        <v>21</v>
      </c>
      <c r="G26" s="43" t="s">
        <v>21</v>
      </c>
      <c r="H26" s="42">
        <v>50</v>
      </c>
      <c r="I26" s="44">
        <v>45042</v>
      </c>
      <c r="J26" s="43" t="s">
        <v>22</v>
      </c>
      <c r="K26" s="45"/>
      <c r="L26" s="51">
        <f>VLOOKUP(A26,'[1]ناتج ملف Excel'!$A:$AV,44,0)</f>
        <v>87644.76</v>
      </c>
      <c r="M26" s="51">
        <f>VLOOKUP(A26,'[1]ناتج ملف Excel'!$A:$AV,46,0)</f>
        <v>3500</v>
      </c>
      <c r="N26" s="51">
        <f>VLOOKUP(A26,'[1]ناتج ملف Excel'!$A:$AV,47,0)</f>
        <v>21911.19</v>
      </c>
      <c r="O26" s="47">
        <f>VLOOKUP(A26,'[1]ناتج ملف Excel'!$A:$AV,48,0)</f>
        <v>800</v>
      </c>
      <c r="P26" s="47">
        <v>8333.3333333333339</v>
      </c>
      <c r="Q26" s="48">
        <f t="shared" si="0"/>
        <v>9487.9958333333325</v>
      </c>
      <c r="R26" s="48">
        <f t="shared" si="1"/>
        <v>4743.9979166666662</v>
      </c>
      <c r="S26" s="71">
        <v>5287.5</v>
      </c>
      <c r="T26" s="47">
        <v>3080</v>
      </c>
      <c r="U26" s="48">
        <f t="shared" si="2"/>
        <v>23719.989583333332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3">
        <f t="shared" si="3"/>
        <v>168508.76666666666</v>
      </c>
      <c r="AB26" s="3">
        <f t="shared" si="4"/>
        <v>2022105.2</v>
      </c>
      <c r="AC26" s="3">
        <f t="shared" si="5"/>
        <v>2022105.2</v>
      </c>
    </row>
    <row r="27" spans="1:29" x14ac:dyDescent="0.2">
      <c r="A27" s="42">
        <v>100054</v>
      </c>
      <c r="B27" s="43">
        <v>5</v>
      </c>
      <c r="C27" s="43" t="s">
        <v>43</v>
      </c>
      <c r="D27" s="38"/>
      <c r="E27" s="43" t="s">
        <v>42</v>
      </c>
      <c r="F27" s="42" t="s">
        <v>21</v>
      </c>
      <c r="G27" s="43" t="s">
        <v>21</v>
      </c>
      <c r="H27" s="42">
        <v>28</v>
      </c>
      <c r="I27" s="44">
        <v>45063</v>
      </c>
      <c r="J27" s="43" t="s">
        <v>22</v>
      </c>
      <c r="K27" s="45"/>
      <c r="L27" s="51">
        <f>VLOOKUP(A27,'[1]ناتج ملف Excel'!$A:$AV,44,0)</f>
        <v>10580.409</v>
      </c>
      <c r="M27" s="51">
        <f>VLOOKUP(A27,'[1]ناتج ملف Excel'!$A:$AV,46,0)</f>
        <v>1058.0409999999999</v>
      </c>
      <c r="N27" s="51">
        <f>VLOOKUP(A27,'[1]ناتج ملف Excel'!$A:$AV,47,0)</f>
        <v>2645.1019999999999</v>
      </c>
      <c r="O27" s="47">
        <v>0</v>
      </c>
      <c r="P27" s="47">
        <v>0</v>
      </c>
      <c r="Q27" s="48">
        <f t="shared" si="0"/>
        <v>1190.296</v>
      </c>
      <c r="R27" s="48">
        <f t="shared" si="1"/>
        <v>595.14800000000002</v>
      </c>
      <c r="S27" s="71">
        <f t="shared" si="7"/>
        <v>1553.9975424999998</v>
      </c>
      <c r="T27" s="47">
        <v>3080</v>
      </c>
      <c r="U27" s="48">
        <f t="shared" si="2"/>
        <v>2975.74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3">
        <f t="shared" si="3"/>
        <v>23678.733542499998</v>
      </c>
      <c r="AB27" s="3">
        <f t="shared" si="4"/>
        <v>284144.80250999995</v>
      </c>
      <c r="AC27" s="3">
        <f t="shared" si="5"/>
        <v>284144.80250999995</v>
      </c>
    </row>
    <row r="28" spans="1:29" x14ac:dyDescent="0.2">
      <c r="A28" s="42">
        <v>100055</v>
      </c>
      <c r="B28" s="43">
        <v>5</v>
      </c>
      <c r="C28" s="43" t="s">
        <v>43</v>
      </c>
      <c r="D28" s="43"/>
      <c r="E28" s="43" t="s">
        <v>42</v>
      </c>
      <c r="F28" s="42" t="s">
        <v>21</v>
      </c>
      <c r="G28" s="43" t="s">
        <v>21</v>
      </c>
      <c r="H28" s="42">
        <v>57</v>
      </c>
      <c r="I28" s="44">
        <v>45047</v>
      </c>
      <c r="J28" s="43" t="s">
        <v>22</v>
      </c>
      <c r="K28" s="45"/>
      <c r="L28" s="51">
        <f>VLOOKUP(A28,'[1]ناتج ملف Excel'!$A:$AV,44,0)</f>
        <v>11874.044</v>
      </c>
      <c r="M28" s="51">
        <f>VLOOKUP(A28,'[1]ناتج ملف Excel'!$A:$AV,46,0)</f>
        <v>1187.404</v>
      </c>
      <c r="N28" s="51">
        <f>VLOOKUP(A28,'[1]ناتج ملف Excel'!$A:$AV,47,0)</f>
        <v>2968.511</v>
      </c>
      <c r="O28" s="47">
        <v>0</v>
      </c>
      <c r="P28" s="47">
        <v>0</v>
      </c>
      <c r="Q28" s="48">
        <f t="shared" si="0"/>
        <v>1335.8299166666668</v>
      </c>
      <c r="R28" s="48">
        <f t="shared" si="1"/>
        <v>667.91495833333329</v>
      </c>
      <c r="S28" s="71">
        <f t="shared" si="7"/>
        <v>1744.0002124999999</v>
      </c>
      <c r="T28" s="47">
        <v>3080</v>
      </c>
      <c r="U28" s="48">
        <f t="shared" si="2"/>
        <v>3339.5747916666664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3">
        <f t="shared" si="3"/>
        <v>26197.278879166668</v>
      </c>
      <c r="AB28" s="3">
        <f t="shared" si="4"/>
        <v>314367.34655000002</v>
      </c>
      <c r="AC28" s="3">
        <f t="shared" si="5"/>
        <v>314367.34655000002</v>
      </c>
    </row>
    <row r="29" spans="1:29" x14ac:dyDescent="0.2">
      <c r="A29" s="42">
        <v>100056</v>
      </c>
      <c r="B29" s="43">
        <v>5</v>
      </c>
      <c r="C29" s="42" t="s">
        <v>44</v>
      </c>
      <c r="D29" s="43"/>
      <c r="E29" s="43" t="s">
        <v>42</v>
      </c>
      <c r="F29" s="42" t="s">
        <v>21</v>
      </c>
      <c r="G29" s="43" t="s">
        <v>21</v>
      </c>
      <c r="H29" s="42">
        <v>29</v>
      </c>
      <c r="I29" s="44">
        <v>45081</v>
      </c>
      <c r="J29" s="43" t="s">
        <v>22</v>
      </c>
      <c r="K29" s="45"/>
      <c r="L29" s="51">
        <f>VLOOKUP(A29,'[1]ناتج ملف Excel'!$A:$AV,44,0)</f>
        <v>10550.232</v>
      </c>
      <c r="M29" s="51">
        <f>VLOOKUP(A29,'[1]ناتج ملف Excel'!$A:$AV,46,0)</f>
        <v>1055.0229999999999</v>
      </c>
      <c r="N29" s="51">
        <f>VLOOKUP(A29,'[1]ناتج ملف Excel'!$A:$AV,47,0)</f>
        <v>2637.558</v>
      </c>
      <c r="O29" s="47">
        <v>0</v>
      </c>
      <c r="P29" s="47">
        <v>0</v>
      </c>
      <c r="Q29" s="48">
        <f t="shared" si="0"/>
        <v>1186.9010833333332</v>
      </c>
      <c r="R29" s="48">
        <f t="shared" si="1"/>
        <v>593.45054166666671</v>
      </c>
      <c r="S29" s="71">
        <f t="shared" si="7"/>
        <v>1549.565325</v>
      </c>
      <c r="T29" s="47">
        <v>3080</v>
      </c>
      <c r="U29" s="48">
        <f t="shared" si="2"/>
        <v>2967.252708333333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3">
        <f t="shared" si="3"/>
        <v>23619.982658333334</v>
      </c>
      <c r="AB29" s="3">
        <f t="shared" si="4"/>
        <v>283439.79190000001</v>
      </c>
      <c r="AC29" s="3">
        <f t="shared" si="5"/>
        <v>283439.79190000001</v>
      </c>
    </row>
    <row r="30" spans="1:29" x14ac:dyDescent="0.2">
      <c r="A30" s="42">
        <v>100058</v>
      </c>
      <c r="B30" s="43">
        <v>9</v>
      </c>
      <c r="C30" s="42" t="s">
        <v>57</v>
      </c>
      <c r="D30" s="43" t="s">
        <v>45</v>
      </c>
      <c r="E30" s="38"/>
      <c r="F30" s="42" t="s">
        <v>21</v>
      </c>
      <c r="G30" s="43" t="s">
        <v>21</v>
      </c>
      <c r="H30" s="42">
        <v>43</v>
      </c>
      <c r="I30" s="44">
        <v>45081</v>
      </c>
      <c r="J30" s="43" t="s">
        <v>22</v>
      </c>
      <c r="K30" s="45"/>
      <c r="L30" s="51">
        <f>VLOOKUP(A30,'[1]ناتج ملف Excel'!$A:$AV,44,0)</f>
        <v>65060.205000000002</v>
      </c>
      <c r="M30" s="51">
        <f>VLOOKUP(A30,'[1]ناتج ملف Excel'!$A:$AV,46,0)</f>
        <v>3500</v>
      </c>
      <c r="N30" s="51">
        <f>VLOOKUP(A30,'[1]ناتج ملف Excel'!$A:$AV,47,0)</f>
        <v>16265.050999999999</v>
      </c>
      <c r="O30" s="47">
        <f>VLOOKUP(A30,'[1]ناتج ملف Excel'!$A:$AV,48,0)</f>
        <v>800</v>
      </c>
      <c r="P30" s="47">
        <v>4166.666666666667</v>
      </c>
      <c r="Q30" s="48">
        <f t="shared" si="0"/>
        <v>7135.4379999999992</v>
      </c>
      <c r="R30" s="48">
        <f t="shared" si="1"/>
        <v>3567.7189999999996</v>
      </c>
      <c r="S30" s="71">
        <v>5287.5</v>
      </c>
      <c r="T30" s="47">
        <v>3080</v>
      </c>
      <c r="U30" s="48">
        <f t="shared" si="2"/>
        <v>17838.594999999998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3">
        <f t="shared" si="3"/>
        <v>126701.17466666666</v>
      </c>
      <c r="AB30" s="3">
        <f t="shared" si="4"/>
        <v>1520414.0959999999</v>
      </c>
      <c r="AC30" s="3">
        <f t="shared" si="5"/>
        <v>1520414.0959999999</v>
      </c>
    </row>
    <row r="31" spans="1:29" x14ac:dyDescent="0.2">
      <c r="A31" s="42">
        <v>100060</v>
      </c>
      <c r="B31" s="43">
        <v>6</v>
      </c>
      <c r="C31" s="43" t="s">
        <v>46</v>
      </c>
      <c r="D31" s="38"/>
      <c r="E31" s="43" t="s">
        <v>42</v>
      </c>
      <c r="F31" s="42" t="s">
        <v>21</v>
      </c>
      <c r="G31" s="43" t="s">
        <v>21</v>
      </c>
      <c r="H31" s="42">
        <v>35</v>
      </c>
      <c r="I31" s="44">
        <v>45089</v>
      </c>
      <c r="J31" s="43" t="s">
        <v>22</v>
      </c>
      <c r="K31" s="45"/>
      <c r="L31" s="51">
        <f>VLOOKUP(A31,'[1]ناتج ملف Excel'!$A:$AV,44,0)</f>
        <v>10504.977000000001</v>
      </c>
      <c r="M31" s="51">
        <f>VLOOKUP(A31,'[1]ناتج ملف Excel'!$A:$AV,46,0)</f>
        <v>1050.498</v>
      </c>
      <c r="N31" s="51">
        <f>VLOOKUP(A31,'[1]ناتج ملف Excel'!$A:$AV,47,0)</f>
        <v>2626.2440000000001</v>
      </c>
      <c r="O31" s="47">
        <f>VLOOKUP(A31,'[1]ناتج ملف Excel'!$A:$AV,48,0)</f>
        <v>500</v>
      </c>
      <c r="P31" s="47">
        <v>0</v>
      </c>
      <c r="Q31" s="48">
        <f t="shared" si="0"/>
        <v>1223.4765833333333</v>
      </c>
      <c r="R31" s="48">
        <f t="shared" si="1"/>
        <v>611.73829166666667</v>
      </c>
      <c r="S31" s="71">
        <f t="shared" si="7"/>
        <v>1542.9184675000001</v>
      </c>
      <c r="T31" s="47">
        <v>3080</v>
      </c>
      <c r="U31" s="48">
        <f t="shared" si="2"/>
        <v>3058.6914583333332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3">
        <f t="shared" si="3"/>
        <v>24198.543800833337</v>
      </c>
      <c r="AB31" s="3">
        <f t="shared" si="4"/>
        <v>290382.52561000001</v>
      </c>
      <c r="AC31" s="3">
        <f t="shared" si="5"/>
        <v>290382.52561000001</v>
      </c>
    </row>
    <row r="32" spans="1:29" x14ac:dyDescent="0.2">
      <c r="A32" s="42">
        <v>100062</v>
      </c>
      <c r="B32" s="43">
        <v>5</v>
      </c>
      <c r="C32" s="42" t="s">
        <v>44</v>
      </c>
      <c r="D32" s="43"/>
      <c r="E32" s="43" t="s">
        <v>42</v>
      </c>
      <c r="F32" s="42" t="s">
        <v>21</v>
      </c>
      <c r="G32" s="43" t="s">
        <v>21</v>
      </c>
      <c r="H32" s="42">
        <v>28</v>
      </c>
      <c r="I32" s="44">
        <v>45111</v>
      </c>
      <c r="J32" s="43" t="s">
        <v>22</v>
      </c>
      <c r="K32" s="45"/>
      <c r="L32" s="51">
        <f>VLOOKUP(A32,'[1]ناتج ملف Excel'!$A:$AV,44,0)</f>
        <v>10198.188</v>
      </c>
      <c r="M32" s="51">
        <f>VLOOKUP(A32,'[1]ناتج ملف Excel'!$A:$AV,46,0)</f>
        <v>1019.819</v>
      </c>
      <c r="N32" s="51">
        <f>VLOOKUP(A32,'[1]ناتج ملف Excel'!$A:$AV,47,0)</f>
        <v>2549.547</v>
      </c>
      <c r="O32" s="47">
        <v>0</v>
      </c>
      <c r="P32" s="47">
        <v>0</v>
      </c>
      <c r="Q32" s="48">
        <f t="shared" si="0"/>
        <v>1147.2961666666667</v>
      </c>
      <c r="R32" s="48">
        <f t="shared" si="1"/>
        <v>573.64808333333337</v>
      </c>
      <c r="S32" s="71">
        <f t="shared" si="7"/>
        <v>1497.8588625</v>
      </c>
      <c r="T32" s="47">
        <v>3080</v>
      </c>
      <c r="U32" s="48">
        <f t="shared" si="2"/>
        <v>2868.240416666667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3">
        <f t="shared" si="3"/>
        <v>22934.597529166669</v>
      </c>
      <c r="AB32" s="3">
        <f t="shared" si="4"/>
        <v>275215.17035000003</v>
      </c>
      <c r="AC32" s="3">
        <f t="shared" si="5"/>
        <v>275215.17035000003</v>
      </c>
    </row>
    <row r="33" spans="1:29" x14ac:dyDescent="0.2">
      <c r="A33" s="42">
        <v>100065</v>
      </c>
      <c r="B33" s="43">
        <v>6</v>
      </c>
      <c r="C33" s="42" t="s">
        <v>52</v>
      </c>
      <c r="D33" s="43" t="s">
        <v>26</v>
      </c>
      <c r="E33" s="43" t="s">
        <v>27</v>
      </c>
      <c r="F33" s="42" t="s">
        <v>21</v>
      </c>
      <c r="G33" s="43" t="s">
        <v>21</v>
      </c>
      <c r="H33" s="42">
        <v>36</v>
      </c>
      <c r="I33" s="44">
        <v>45140</v>
      </c>
      <c r="J33" s="43" t="s">
        <v>22</v>
      </c>
      <c r="K33" s="45"/>
      <c r="L33" s="51">
        <f>VLOOKUP(A33,'[1]ناتج ملف Excel'!$A:$AV,44,0)</f>
        <v>14654.764800000001</v>
      </c>
      <c r="M33" s="51">
        <f>VLOOKUP(A33,'[1]ناتج ملف Excel'!$A:$AV,46,0)</f>
        <v>1465.4760000000001</v>
      </c>
      <c r="N33" s="51">
        <f>VLOOKUP(A33,'[1]ناتج ملف Excel'!$A:$AV,47,0)</f>
        <v>3663.6909999999998</v>
      </c>
      <c r="O33" s="47">
        <f>VLOOKUP(A33,'[1]ناتج ملف Excel'!$A:$AV,48,0)</f>
        <v>500</v>
      </c>
      <c r="P33" s="47">
        <v>0</v>
      </c>
      <c r="Q33" s="48">
        <f t="shared" si="0"/>
        <v>1690.3276500000002</v>
      </c>
      <c r="R33" s="48">
        <f t="shared" si="1"/>
        <v>845.16382499999997</v>
      </c>
      <c r="S33" s="71">
        <f t="shared" si="7"/>
        <v>2152.4185564999998</v>
      </c>
      <c r="T33" s="47">
        <v>3080</v>
      </c>
      <c r="U33" s="48">
        <f t="shared" si="2"/>
        <v>4225.8191250000009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3">
        <f t="shared" si="3"/>
        <v>32277.660956500004</v>
      </c>
      <c r="AB33" s="3">
        <f t="shared" si="4"/>
        <v>387331.93147800001</v>
      </c>
      <c r="AC33" s="3">
        <f t="shared" si="5"/>
        <v>387331.93147800001</v>
      </c>
    </row>
    <row r="34" spans="1:29" x14ac:dyDescent="0.2">
      <c r="A34" s="42">
        <v>100066</v>
      </c>
      <c r="B34" s="43">
        <v>5</v>
      </c>
      <c r="C34" s="42" t="s">
        <v>278</v>
      </c>
      <c r="D34" s="43" t="s">
        <v>39</v>
      </c>
      <c r="E34" s="43" t="s">
        <v>40</v>
      </c>
      <c r="F34" s="42" t="s">
        <v>21</v>
      </c>
      <c r="G34" s="43" t="s">
        <v>21</v>
      </c>
      <c r="H34" s="42">
        <v>27</v>
      </c>
      <c r="I34" s="44">
        <v>45146</v>
      </c>
      <c r="J34" s="43" t="s">
        <v>22</v>
      </c>
      <c r="K34" s="45"/>
      <c r="L34" s="51">
        <f>VLOOKUP(A34,'[1]ناتج ملف Excel'!$A:$AV,44,0)</f>
        <v>11375.594999999999</v>
      </c>
      <c r="M34" s="51">
        <f>VLOOKUP(A34,'[1]ناتج ملف Excel'!$A:$AV,46,0)</f>
        <v>1137.56</v>
      </c>
      <c r="N34" s="51">
        <f>VLOOKUP(A34,'[1]ناتج ملف Excel'!$A:$AV,47,0)</f>
        <v>2843.8989999999999</v>
      </c>
      <c r="O34" s="47">
        <v>0</v>
      </c>
      <c r="P34" s="47">
        <v>0</v>
      </c>
      <c r="Q34" s="48">
        <f t="shared" si="0"/>
        <v>1279.7544999999998</v>
      </c>
      <c r="R34" s="48">
        <f t="shared" si="1"/>
        <v>639.87725</v>
      </c>
      <c r="S34" s="71">
        <f t="shared" si="7"/>
        <v>1670.7905449999998</v>
      </c>
      <c r="T34" s="47">
        <v>3080</v>
      </c>
      <c r="U34" s="48">
        <f t="shared" si="2"/>
        <v>3199.3862499999996</v>
      </c>
      <c r="V34" s="42">
        <v>0</v>
      </c>
      <c r="W34" s="42">
        <v>0</v>
      </c>
      <c r="X34" s="42">
        <v>0</v>
      </c>
      <c r="Y34" s="45">
        <v>0</v>
      </c>
      <c r="Z34" s="42">
        <v>0</v>
      </c>
      <c r="AA34" s="3">
        <f t="shared" si="3"/>
        <v>25226.862545</v>
      </c>
      <c r="AB34" s="3">
        <f t="shared" si="4"/>
        <v>302722.35054000001</v>
      </c>
      <c r="AC34" s="3">
        <f t="shared" si="5"/>
        <v>302722.35054000001</v>
      </c>
    </row>
    <row r="35" spans="1:29" x14ac:dyDescent="0.2">
      <c r="A35" s="42">
        <v>100067</v>
      </c>
      <c r="B35" s="43">
        <v>9</v>
      </c>
      <c r="C35" s="42"/>
      <c r="D35" s="43" t="s">
        <v>24</v>
      </c>
      <c r="E35" s="43" t="s">
        <v>261</v>
      </c>
      <c r="F35" s="42" t="s">
        <v>21</v>
      </c>
      <c r="G35" s="43" t="s">
        <v>21</v>
      </c>
      <c r="H35" s="42">
        <v>36</v>
      </c>
      <c r="I35" s="44">
        <v>45151</v>
      </c>
      <c r="J35" s="43" t="s">
        <v>22</v>
      </c>
      <c r="K35" s="45"/>
      <c r="L35" s="51">
        <f>VLOOKUP(A35,'[1]ناتج ملف Excel'!$A:$AV,44,0)</f>
        <v>55288.688000000002</v>
      </c>
      <c r="M35" s="51">
        <f>VLOOKUP(A35,'[1]ناتج ملف Excel'!$A:$AV,46,0)</f>
        <v>3500</v>
      </c>
      <c r="N35" s="51">
        <f>VLOOKUP(A35,'[1]ناتج ملف Excel'!$A:$AV,47,0)</f>
        <v>13822.172</v>
      </c>
      <c r="O35" s="47">
        <f>VLOOKUP(A35,'[1]ناتج ملف Excel'!$A:$AV,48,0)</f>
        <v>800</v>
      </c>
      <c r="P35" s="47">
        <v>2083.3333333333335</v>
      </c>
      <c r="Q35" s="48">
        <f t="shared" ref="Q35:Q66" si="8">(L35+M35+N35+O35)/12</f>
        <v>6117.5716666666667</v>
      </c>
      <c r="R35" s="48">
        <f t="shared" ref="R35:R66" si="9">(O35+N35+M35+L35)/12/2</f>
        <v>3058.7858333333334</v>
      </c>
      <c r="S35" s="71">
        <v>5287.5</v>
      </c>
      <c r="T35" s="47">
        <v>3080</v>
      </c>
      <c r="U35" s="48">
        <f t="shared" si="2"/>
        <v>15293.929166666667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3">
        <f t="shared" ref="AA35:AA66" si="10">SUBTOTAL(9,L35:Z35)</f>
        <v>108331.98</v>
      </c>
      <c r="AB35" s="3">
        <f t="shared" si="4"/>
        <v>1299983.76</v>
      </c>
      <c r="AC35" s="3">
        <f t="shared" ref="AC35:AC66" si="11">AB35</f>
        <v>1299983.76</v>
      </c>
    </row>
    <row r="36" spans="1:29" x14ac:dyDescent="0.2">
      <c r="A36" s="42">
        <v>100068</v>
      </c>
      <c r="B36" s="43">
        <v>6</v>
      </c>
      <c r="C36" s="42" t="s">
        <v>289</v>
      </c>
      <c r="D36" s="43" t="s">
        <v>26</v>
      </c>
      <c r="E36" s="43" t="s">
        <v>27</v>
      </c>
      <c r="F36" s="42" t="s">
        <v>21</v>
      </c>
      <c r="G36" s="43" t="s">
        <v>21</v>
      </c>
      <c r="H36" s="42">
        <v>46</v>
      </c>
      <c r="I36" s="44">
        <v>45151</v>
      </c>
      <c r="J36" s="43" t="s">
        <v>22</v>
      </c>
      <c r="K36" s="45"/>
      <c r="L36" s="51">
        <f>VLOOKUP(A36,'[1]ناتج ملف Excel'!$A:$AV,44,0)</f>
        <v>19699.554</v>
      </c>
      <c r="M36" s="51">
        <f>VLOOKUP(A36,'[1]ناتج ملف Excel'!$A:$AV,46,0)</f>
        <v>1969.9549999999999</v>
      </c>
      <c r="N36" s="51">
        <f>VLOOKUP(A36,'[1]ناتج ملف Excel'!$A:$AV,47,0)</f>
        <v>4924.8879999999999</v>
      </c>
      <c r="O36" s="47">
        <f>VLOOKUP(A36,'[1]ناتج ملف Excel'!$A:$AV,48,0)</f>
        <v>500</v>
      </c>
      <c r="P36" s="47">
        <v>0</v>
      </c>
      <c r="Q36" s="48">
        <f t="shared" si="8"/>
        <v>2257.8664166666663</v>
      </c>
      <c r="R36" s="48">
        <f t="shared" si="9"/>
        <v>1128.9332083333334</v>
      </c>
      <c r="S36" s="71">
        <f t="shared" si="7"/>
        <v>2893.3719349999997</v>
      </c>
      <c r="T36" s="47">
        <v>3080</v>
      </c>
      <c r="U36" s="48">
        <f t="shared" si="2"/>
        <v>5644.6660416666664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3">
        <f t="shared" si="10"/>
        <v>42099.234601666663</v>
      </c>
      <c r="AB36" s="3">
        <f t="shared" si="4"/>
        <v>505190.81521999999</v>
      </c>
      <c r="AC36" s="3">
        <f t="shared" si="11"/>
        <v>505190.81521999999</v>
      </c>
    </row>
    <row r="37" spans="1:29" x14ac:dyDescent="0.2">
      <c r="A37" s="42">
        <v>100071</v>
      </c>
      <c r="B37" s="43">
        <v>8</v>
      </c>
      <c r="C37" s="42" t="s">
        <v>47</v>
      </c>
      <c r="D37" s="43" t="s">
        <v>33</v>
      </c>
      <c r="E37" s="43" t="s">
        <v>57</v>
      </c>
      <c r="F37" s="42" t="s">
        <v>21</v>
      </c>
      <c r="G37" s="43" t="s">
        <v>21</v>
      </c>
      <c r="H37" s="42">
        <v>35</v>
      </c>
      <c r="I37" s="44">
        <v>45165</v>
      </c>
      <c r="J37" s="43" t="s">
        <v>22</v>
      </c>
      <c r="K37" s="45"/>
      <c r="L37" s="51">
        <f>VLOOKUP(A37,'[1]ناتج ملف Excel'!$A:$AV,44,0)</f>
        <v>19968.936000000002</v>
      </c>
      <c r="M37" s="51">
        <f>VLOOKUP(A37,'[1]ناتج ملف Excel'!$A:$AV,46,0)</f>
        <v>1996.894</v>
      </c>
      <c r="N37" s="51">
        <f>VLOOKUP(A37,'[1]ناتج ملف Excel'!$A:$AV,47,0)</f>
        <v>4992.2340000000004</v>
      </c>
      <c r="O37" s="47">
        <f>VLOOKUP(A37,'[1]ناتج ملف Excel'!$A:$AV,48,0)</f>
        <v>500</v>
      </c>
      <c r="P37" s="47">
        <v>0</v>
      </c>
      <c r="Q37" s="48">
        <f t="shared" si="8"/>
        <v>2288.172</v>
      </c>
      <c r="R37" s="48">
        <f t="shared" si="9"/>
        <v>1144.086</v>
      </c>
      <c r="S37" s="71">
        <f t="shared" si="7"/>
        <v>2932.9374750000002</v>
      </c>
      <c r="T37" s="47">
        <v>3080</v>
      </c>
      <c r="U37" s="48">
        <f t="shared" si="2"/>
        <v>5720.43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3">
        <f t="shared" si="10"/>
        <v>42623.689474999999</v>
      </c>
      <c r="AB37" s="3">
        <f t="shared" si="4"/>
        <v>511484.27370000002</v>
      </c>
      <c r="AC37" s="3">
        <f t="shared" si="11"/>
        <v>511484.27370000002</v>
      </c>
    </row>
    <row r="38" spans="1:29" x14ac:dyDescent="0.2">
      <c r="A38" s="42">
        <v>100073</v>
      </c>
      <c r="B38" s="43">
        <v>4</v>
      </c>
      <c r="C38" s="42" t="s">
        <v>291</v>
      </c>
      <c r="D38" s="43" t="s">
        <v>37</v>
      </c>
      <c r="E38" s="38"/>
      <c r="F38" s="42" t="s">
        <v>21</v>
      </c>
      <c r="G38" s="43" t="s">
        <v>21</v>
      </c>
      <c r="H38" s="42">
        <v>25</v>
      </c>
      <c r="I38" s="44">
        <v>45208</v>
      </c>
      <c r="J38" s="43" t="s">
        <v>22</v>
      </c>
      <c r="K38" s="45"/>
      <c r="L38" s="51">
        <f>VLOOKUP(A38,'[1]ناتج ملف Excel'!$A:$AV,44,0)</f>
        <v>9182.7839999999997</v>
      </c>
      <c r="M38" s="51">
        <f>VLOOKUP(A38,'[1]ناتج ملف Excel'!$A:$AV,46,0)</f>
        <v>918.27800000000002</v>
      </c>
      <c r="N38" s="51">
        <f>VLOOKUP(A38,'[1]ناتج ملف Excel'!$A:$AV,47,0)</f>
        <v>2295.6959999999999</v>
      </c>
      <c r="O38" s="47">
        <v>0</v>
      </c>
      <c r="P38" s="47">
        <v>0</v>
      </c>
      <c r="Q38" s="48">
        <f t="shared" si="8"/>
        <v>1033.0631666666666</v>
      </c>
      <c r="R38" s="48">
        <f t="shared" si="9"/>
        <v>516.53158333333329</v>
      </c>
      <c r="S38" s="71">
        <f t="shared" si="7"/>
        <v>1348.7213999999999</v>
      </c>
      <c r="T38" s="47">
        <v>3080</v>
      </c>
      <c r="U38" s="48">
        <f t="shared" si="2"/>
        <v>2582.6579166666666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3">
        <f t="shared" si="10"/>
        <v>20957.732066666667</v>
      </c>
      <c r="AB38" s="3">
        <f t="shared" si="4"/>
        <v>251492.78480000002</v>
      </c>
      <c r="AC38" s="3">
        <f t="shared" si="11"/>
        <v>251492.78480000002</v>
      </c>
    </row>
    <row r="39" spans="1:29" x14ac:dyDescent="0.2">
      <c r="A39" s="42">
        <v>100074</v>
      </c>
      <c r="B39" s="43">
        <v>4</v>
      </c>
      <c r="C39" s="42" t="s">
        <v>294</v>
      </c>
      <c r="D39" s="43" t="s">
        <v>25</v>
      </c>
      <c r="E39" s="43" t="s">
        <v>261</v>
      </c>
      <c r="F39" s="42" t="s">
        <v>21</v>
      </c>
      <c r="G39" s="43" t="s">
        <v>21</v>
      </c>
      <c r="H39" s="42">
        <v>25</v>
      </c>
      <c r="I39" s="44">
        <v>45210</v>
      </c>
      <c r="J39" s="43" t="s">
        <v>22</v>
      </c>
      <c r="K39" s="45"/>
      <c r="L39" s="51">
        <f>VLOOKUP(A39,'[1]ناتج ملف Excel'!$A:$AV,44,0)</f>
        <v>9271.08</v>
      </c>
      <c r="M39" s="51">
        <f>VLOOKUP(A39,'[1]ناتج ملف Excel'!$A:$AV,46,0)</f>
        <v>927.10799999999995</v>
      </c>
      <c r="N39" s="51">
        <f>VLOOKUP(A39,'[1]ناتج ملف Excel'!$A:$AV,47,0)</f>
        <v>2317.77</v>
      </c>
      <c r="O39" s="47">
        <v>0</v>
      </c>
      <c r="P39" s="47">
        <v>0</v>
      </c>
      <c r="Q39" s="48">
        <f t="shared" si="8"/>
        <v>1042.9965</v>
      </c>
      <c r="R39" s="48">
        <f t="shared" si="9"/>
        <v>521.49824999999998</v>
      </c>
      <c r="S39" s="71">
        <f t="shared" si="7"/>
        <v>1361.689875</v>
      </c>
      <c r="T39" s="47">
        <v>3080</v>
      </c>
      <c r="U39" s="48">
        <f t="shared" si="2"/>
        <v>2607.49125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3">
        <f t="shared" si="10"/>
        <v>21129.633875</v>
      </c>
      <c r="AB39" s="3">
        <f t="shared" si="4"/>
        <v>253555.60649999999</v>
      </c>
      <c r="AC39" s="3">
        <f t="shared" si="11"/>
        <v>253555.60649999999</v>
      </c>
    </row>
    <row r="40" spans="1:29" x14ac:dyDescent="0.2">
      <c r="A40" s="42">
        <v>100078</v>
      </c>
      <c r="B40" s="43">
        <v>8</v>
      </c>
      <c r="C40" s="43" t="s">
        <v>34</v>
      </c>
      <c r="D40" s="38"/>
      <c r="E40" s="43" t="s">
        <v>35</v>
      </c>
      <c r="F40" s="42" t="s">
        <v>21</v>
      </c>
      <c r="G40" s="43" t="s">
        <v>21</v>
      </c>
      <c r="H40" s="42">
        <v>34</v>
      </c>
      <c r="I40" s="44">
        <v>45215</v>
      </c>
      <c r="J40" s="43" t="s">
        <v>22</v>
      </c>
      <c r="K40" s="45"/>
      <c r="L40" s="51">
        <f>VLOOKUP(A40,'[1]ناتج ملف Excel'!$A:$AV,44,0)</f>
        <v>32967.167999999998</v>
      </c>
      <c r="M40" s="51">
        <f>VLOOKUP(A40,'[1]ناتج ملف Excel'!$A:$AV,46,0)</f>
        <v>3000</v>
      </c>
      <c r="N40" s="51">
        <f>VLOOKUP(A40,'[1]ناتج ملف Excel'!$A:$AV,47,0)</f>
        <v>8241.7919999999995</v>
      </c>
      <c r="O40" s="47">
        <f>VLOOKUP(A40,'[1]ناتج ملف Excel'!$A:$AV,48,0)</f>
        <v>500</v>
      </c>
      <c r="P40" s="47">
        <v>0</v>
      </c>
      <c r="Q40" s="48">
        <f t="shared" si="8"/>
        <v>3725.7466666666664</v>
      </c>
      <c r="R40" s="48">
        <f t="shared" si="9"/>
        <v>1862.8733333333332</v>
      </c>
      <c r="S40" s="71">
        <f t="shared" si="7"/>
        <v>4842.0527999999995</v>
      </c>
      <c r="T40" s="47">
        <v>3080</v>
      </c>
      <c r="U40" s="48">
        <f t="shared" si="2"/>
        <v>9314.3666666666668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3">
        <f t="shared" si="10"/>
        <v>67533.999466666661</v>
      </c>
      <c r="AB40" s="3">
        <f t="shared" si="4"/>
        <v>810407.99359999993</v>
      </c>
      <c r="AC40" s="3">
        <f t="shared" si="11"/>
        <v>810407.99359999993</v>
      </c>
    </row>
    <row r="41" spans="1:29" x14ac:dyDescent="0.2">
      <c r="A41" s="42">
        <v>100079</v>
      </c>
      <c r="B41" s="43">
        <v>7</v>
      </c>
      <c r="C41" s="42" t="s">
        <v>279</v>
      </c>
      <c r="D41" s="43" t="s">
        <v>286</v>
      </c>
      <c r="E41" s="43" t="s">
        <v>30</v>
      </c>
      <c r="F41" s="42" t="s">
        <v>21</v>
      </c>
      <c r="G41" s="43" t="s">
        <v>21</v>
      </c>
      <c r="H41" s="42">
        <v>33</v>
      </c>
      <c r="I41" s="44">
        <v>45228</v>
      </c>
      <c r="J41" s="43" t="s">
        <v>22</v>
      </c>
      <c r="K41" s="45"/>
      <c r="L41" s="51">
        <f>VLOOKUP(A41,'[1]ناتج ملف Excel'!$A:$AV,44,0)</f>
        <v>29645.000700000001</v>
      </c>
      <c r="M41" s="51">
        <f>VLOOKUP(A41,'[1]ناتج ملف Excel'!$A:$AV,46,0)</f>
        <v>2964.5</v>
      </c>
      <c r="N41" s="51">
        <f>VLOOKUP(A41,'[1]ناتج ملف Excel'!$A:$AV,47,0)</f>
        <v>7411.25</v>
      </c>
      <c r="O41" s="47">
        <f>VLOOKUP(A41,'[1]ناتج ملف Excel'!$A:$AV,48,0)</f>
        <v>500</v>
      </c>
      <c r="P41" s="47">
        <v>0</v>
      </c>
      <c r="Q41" s="48">
        <f t="shared" si="8"/>
        <v>3376.7292250000005</v>
      </c>
      <c r="R41" s="48">
        <f t="shared" si="9"/>
        <v>1688.3646125000002</v>
      </c>
      <c r="S41" s="71">
        <f t="shared" si="7"/>
        <v>4354.1094572500006</v>
      </c>
      <c r="T41" s="47">
        <v>3080</v>
      </c>
      <c r="U41" s="48">
        <f t="shared" si="2"/>
        <v>8441.8230625000015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3">
        <f t="shared" si="10"/>
        <v>61461.777057250009</v>
      </c>
      <c r="AB41" s="3">
        <f t="shared" si="4"/>
        <v>737541.32468700013</v>
      </c>
      <c r="AC41" s="3">
        <f t="shared" si="11"/>
        <v>737541.32468700013</v>
      </c>
    </row>
    <row r="42" spans="1:29" x14ac:dyDescent="0.2">
      <c r="A42" s="42">
        <v>100081</v>
      </c>
      <c r="B42" s="43">
        <v>4</v>
      </c>
      <c r="C42" s="42" t="s">
        <v>291</v>
      </c>
      <c r="D42" s="43" t="s">
        <v>293</v>
      </c>
      <c r="E42" s="43" t="s">
        <v>35</v>
      </c>
      <c r="F42" s="42" t="s">
        <v>21</v>
      </c>
      <c r="G42" s="43" t="s">
        <v>21</v>
      </c>
      <c r="H42" s="42">
        <v>26</v>
      </c>
      <c r="I42" s="44">
        <v>45231</v>
      </c>
      <c r="J42" s="43" t="s">
        <v>22</v>
      </c>
      <c r="K42" s="45"/>
      <c r="L42" s="51">
        <f>VLOOKUP(A42,'[1]ناتج ملف Excel'!$A:$AV,44,0)</f>
        <v>9271.08</v>
      </c>
      <c r="M42" s="51">
        <f>VLOOKUP(A42,'[1]ناتج ملف Excel'!$A:$AV,46,0)</f>
        <v>927.10799999999995</v>
      </c>
      <c r="N42" s="51">
        <f>VLOOKUP(A42,'[1]ناتج ملف Excel'!$A:$AV,47,0)</f>
        <v>2317.77</v>
      </c>
      <c r="O42" s="47">
        <v>0</v>
      </c>
      <c r="P42" s="47">
        <v>0</v>
      </c>
      <c r="Q42" s="48">
        <f t="shared" si="8"/>
        <v>1042.9965</v>
      </c>
      <c r="R42" s="48">
        <f t="shared" si="9"/>
        <v>521.49824999999998</v>
      </c>
      <c r="S42" s="71">
        <f t="shared" si="7"/>
        <v>1361.689875</v>
      </c>
      <c r="T42" s="47">
        <v>3080</v>
      </c>
      <c r="U42" s="48">
        <f t="shared" si="2"/>
        <v>2607.49125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3">
        <f t="shared" si="10"/>
        <v>21129.633875</v>
      </c>
      <c r="AB42" s="3">
        <f t="shared" si="4"/>
        <v>253555.60649999999</v>
      </c>
      <c r="AC42" s="3">
        <f t="shared" si="11"/>
        <v>253555.60649999999</v>
      </c>
    </row>
    <row r="43" spans="1:29" x14ac:dyDescent="0.2">
      <c r="A43" s="42">
        <v>100082</v>
      </c>
      <c r="B43" s="43">
        <v>5</v>
      </c>
      <c r="C43" s="42" t="s">
        <v>280</v>
      </c>
      <c r="D43" s="43" t="s">
        <v>29</v>
      </c>
      <c r="E43" s="43" t="s">
        <v>30</v>
      </c>
      <c r="F43" s="42" t="s">
        <v>21</v>
      </c>
      <c r="G43" s="43" t="s">
        <v>21</v>
      </c>
      <c r="H43" s="42">
        <v>33</v>
      </c>
      <c r="I43" s="44">
        <v>45246</v>
      </c>
      <c r="J43" s="43" t="s">
        <v>22</v>
      </c>
      <c r="K43" s="45"/>
      <c r="L43" s="51">
        <f>VLOOKUP(A43,'[1]ناتج ملف Excel'!$A:$AV,44,0)</f>
        <v>16502.304</v>
      </c>
      <c r="M43" s="51">
        <f>VLOOKUP(A43,'[1]ناتج ملف Excel'!$A:$AV,46,0)</f>
        <v>1650.23</v>
      </c>
      <c r="N43" s="51">
        <f>VLOOKUP(A43,'[1]ناتج ملف Excel'!$A:$AV,47,0)</f>
        <v>4125.576</v>
      </c>
      <c r="O43" s="47">
        <f>VLOOKUP(A43,'[1]ناتج ملف Excel'!$A:$AV,48,0)</f>
        <v>300</v>
      </c>
      <c r="P43" s="47">
        <v>0</v>
      </c>
      <c r="Q43" s="48">
        <f t="shared" si="8"/>
        <v>1881.5091666666667</v>
      </c>
      <c r="R43" s="48">
        <f t="shared" si="9"/>
        <v>940.75458333333336</v>
      </c>
      <c r="S43" s="71">
        <f t="shared" si="7"/>
        <v>2423.7759000000001</v>
      </c>
      <c r="T43" s="47">
        <v>3080</v>
      </c>
      <c r="U43" s="48">
        <f t="shared" si="2"/>
        <v>4703.7729166666668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3">
        <f t="shared" si="10"/>
        <v>35607.922566666668</v>
      </c>
      <c r="AB43" s="3">
        <f t="shared" si="4"/>
        <v>427295.07079999999</v>
      </c>
      <c r="AC43" s="3">
        <f t="shared" si="11"/>
        <v>427295.07079999999</v>
      </c>
    </row>
    <row r="44" spans="1:29" x14ac:dyDescent="0.2">
      <c r="A44" s="42">
        <v>100083</v>
      </c>
      <c r="B44" s="43">
        <v>7</v>
      </c>
      <c r="C44" s="42" t="s">
        <v>281</v>
      </c>
      <c r="D44" s="43" t="s">
        <v>24</v>
      </c>
      <c r="E44" s="43" t="s">
        <v>261</v>
      </c>
      <c r="F44" s="42" t="s">
        <v>21</v>
      </c>
      <c r="G44" s="43" t="s">
        <v>21</v>
      </c>
      <c r="H44" s="42">
        <v>31</v>
      </c>
      <c r="I44" s="44">
        <v>45249</v>
      </c>
      <c r="J44" s="43" t="s">
        <v>22</v>
      </c>
      <c r="K44" s="45"/>
      <c r="L44" s="51">
        <f>VLOOKUP(A44,'[1]ناتج ملف Excel'!$A:$AV,44,0)</f>
        <v>27640.89328</v>
      </c>
      <c r="M44" s="51">
        <f>VLOOKUP(A44,'[1]ناتج ملف Excel'!$A:$AV,46,0)</f>
        <v>2764.0889999999999</v>
      </c>
      <c r="N44" s="51">
        <f>VLOOKUP(A44,'[1]ناتج ملف Excel'!$A:$AV,47,0)</f>
        <v>6910.223</v>
      </c>
      <c r="O44" s="47">
        <f>VLOOKUP(A44,'[1]ناتج ملف Excel'!$A:$AV,48,0)</f>
        <v>500</v>
      </c>
      <c r="P44" s="47">
        <v>0</v>
      </c>
      <c r="Q44" s="48">
        <f t="shared" si="8"/>
        <v>3151.2671066666667</v>
      </c>
      <c r="R44" s="48">
        <f t="shared" si="9"/>
        <v>1575.6335533333333</v>
      </c>
      <c r="S44" s="71">
        <f t="shared" si="7"/>
        <v>4059.7561629000002</v>
      </c>
      <c r="T44" s="47">
        <v>3080</v>
      </c>
      <c r="U44" s="48">
        <f t="shared" si="2"/>
        <v>7878.1677666666665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3">
        <f t="shared" si="10"/>
        <v>57560.029869566664</v>
      </c>
      <c r="AB44" s="3">
        <f t="shared" si="4"/>
        <v>690720.35843479994</v>
      </c>
      <c r="AC44" s="3">
        <f t="shared" si="11"/>
        <v>690720.35843479994</v>
      </c>
    </row>
    <row r="45" spans="1:29" x14ac:dyDescent="0.2">
      <c r="A45" s="42">
        <v>100084</v>
      </c>
      <c r="B45" s="43">
        <v>9</v>
      </c>
      <c r="C45" s="42"/>
      <c r="D45" s="43" t="s">
        <v>287</v>
      </c>
      <c r="E45" s="43" t="s">
        <v>35</v>
      </c>
      <c r="F45" s="42" t="s">
        <v>21</v>
      </c>
      <c r="G45" s="43" t="s">
        <v>21</v>
      </c>
      <c r="H45" s="42">
        <v>42</v>
      </c>
      <c r="I45" s="44">
        <v>45263</v>
      </c>
      <c r="J45" s="43" t="s">
        <v>22</v>
      </c>
      <c r="K45" s="45"/>
      <c r="L45" s="51">
        <f>VLOOKUP(A45,'[1]ناتج ملف Excel'!$A:$AV,44,0)</f>
        <v>60518.64</v>
      </c>
      <c r="M45" s="51">
        <f>VLOOKUP(A45,'[1]ناتج ملف Excel'!$A:$AV,46,0)</f>
        <v>3500</v>
      </c>
      <c r="N45" s="51">
        <f>VLOOKUP(A45,'[1]ناتج ملف Excel'!$A:$AV,47,0)</f>
        <v>15129.66</v>
      </c>
      <c r="O45" s="47">
        <f>VLOOKUP(A45,'[1]ناتج ملف Excel'!$A:$AV,48,0)</f>
        <v>800</v>
      </c>
      <c r="P45" s="47">
        <v>0</v>
      </c>
      <c r="Q45" s="48">
        <f t="shared" si="8"/>
        <v>6662.3583333333336</v>
      </c>
      <c r="R45" s="48">
        <f t="shared" si="9"/>
        <v>3331.1791666666668</v>
      </c>
      <c r="S45" s="71">
        <v>5287.5</v>
      </c>
      <c r="T45" s="47">
        <v>3080</v>
      </c>
      <c r="U45" s="48">
        <f t="shared" si="2"/>
        <v>16655.895833333332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3">
        <f t="shared" si="10"/>
        <v>114965.23333333334</v>
      </c>
      <c r="AB45" s="3">
        <f t="shared" si="4"/>
        <v>1379582.8</v>
      </c>
      <c r="AC45" s="3">
        <f t="shared" si="11"/>
        <v>1379582.8</v>
      </c>
    </row>
    <row r="46" spans="1:29" x14ac:dyDescent="0.2">
      <c r="A46" s="42">
        <v>100085</v>
      </c>
      <c r="B46" s="43">
        <v>7</v>
      </c>
      <c r="C46" s="43" t="s">
        <v>34</v>
      </c>
      <c r="D46" s="38"/>
      <c r="E46" s="43" t="s">
        <v>35</v>
      </c>
      <c r="F46" s="42" t="s">
        <v>21</v>
      </c>
      <c r="G46" s="43" t="s">
        <v>21</v>
      </c>
      <c r="H46" s="42">
        <v>43</v>
      </c>
      <c r="I46" s="44">
        <v>45263</v>
      </c>
      <c r="J46" s="43" t="s">
        <v>22</v>
      </c>
      <c r="K46" s="45"/>
      <c r="L46" s="51">
        <f>VLOOKUP(A46,'[1]ناتج ملف Excel'!$A:$AV,44,0)</f>
        <v>31168</v>
      </c>
      <c r="M46" s="51">
        <f>VLOOKUP(A46,'[1]ناتج ملف Excel'!$A:$AV,46,0)</f>
        <v>3000</v>
      </c>
      <c r="N46" s="51">
        <f>VLOOKUP(A46,'[1]ناتج ملف Excel'!$A:$AV,47,0)</f>
        <v>7792</v>
      </c>
      <c r="O46" s="47">
        <f>VLOOKUP(A46,'[1]ناتج ملف Excel'!$A:$AV,48,0)</f>
        <v>500</v>
      </c>
      <c r="P46" s="47">
        <v>8333.3333333333339</v>
      </c>
      <c r="Q46" s="48">
        <f t="shared" si="8"/>
        <v>3538.3333333333335</v>
      </c>
      <c r="R46" s="48">
        <f t="shared" si="9"/>
        <v>1769.1666666666667</v>
      </c>
      <c r="S46" s="71">
        <f t="shared" si="7"/>
        <v>4577.8</v>
      </c>
      <c r="T46" s="47">
        <v>3080</v>
      </c>
      <c r="U46" s="48">
        <f t="shared" si="2"/>
        <v>8845.8333333333339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3">
        <f t="shared" si="10"/>
        <v>72604.466666666674</v>
      </c>
      <c r="AB46" s="3">
        <f t="shared" si="4"/>
        <v>871253.60000000009</v>
      </c>
      <c r="AC46" s="3">
        <f t="shared" si="11"/>
        <v>871253.60000000009</v>
      </c>
    </row>
    <row r="47" spans="1:29" x14ac:dyDescent="0.2">
      <c r="A47" s="42">
        <v>100087</v>
      </c>
      <c r="B47" s="43">
        <v>5</v>
      </c>
      <c r="C47" s="42" t="s">
        <v>32</v>
      </c>
      <c r="D47" s="43" t="s">
        <v>33</v>
      </c>
      <c r="E47" s="43"/>
      <c r="F47" s="42" t="s">
        <v>21</v>
      </c>
      <c r="G47" s="43" t="s">
        <v>21</v>
      </c>
      <c r="H47" s="42">
        <v>38</v>
      </c>
      <c r="I47" s="44">
        <v>45270</v>
      </c>
      <c r="J47" s="43" t="s">
        <v>22</v>
      </c>
      <c r="K47" s="45"/>
      <c r="L47" s="51">
        <f>VLOOKUP(A47,'[1]ناتج ملف Excel'!$A:$AV,44,0)</f>
        <v>13074.71048</v>
      </c>
      <c r="M47" s="51">
        <f>VLOOKUP(A47,'[1]ناتج ملف Excel'!$A:$AV,46,0)</f>
        <v>1307.471</v>
      </c>
      <c r="N47" s="51">
        <f>VLOOKUP(A47,'[1]ناتج ملف Excel'!$A:$AV,47,0)</f>
        <v>3268.6779999999999</v>
      </c>
      <c r="O47" s="47">
        <f>VLOOKUP(A47,'[1]ناتج ملف Excel'!$A:$AV,48,0)</f>
        <v>300</v>
      </c>
      <c r="P47" s="47">
        <v>0</v>
      </c>
      <c r="Q47" s="48">
        <f t="shared" si="8"/>
        <v>1495.9049566666665</v>
      </c>
      <c r="R47" s="48">
        <f t="shared" si="9"/>
        <v>747.95247833333326</v>
      </c>
      <c r="S47" s="71">
        <f t="shared" si="7"/>
        <v>1920.3481463999999</v>
      </c>
      <c r="T47" s="47">
        <v>3080</v>
      </c>
      <c r="U47" s="48">
        <f t="shared" si="2"/>
        <v>3739.7623916666666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3">
        <f t="shared" si="10"/>
        <v>28934.827453066664</v>
      </c>
      <c r="AB47" s="3">
        <f t="shared" si="4"/>
        <v>347217.92943679995</v>
      </c>
      <c r="AC47" s="3">
        <f t="shared" si="11"/>
        <v>347217.92943679995</v>
      </c>
    </row>
    <row r="48" spans="1:29" x14ac:dyDescent="0.2">
      <c r="A48" s="42">
        <v>100088</v>
      </c>
      <c r="B48" s="43">
        <v>5</v>
      </c>
      <c r="C48" s="42" t="s">
        <v>291</v>
      </c>
      <c r="D48" s="43" t="s">
        <v>293</v>
      </c>
      <c r="E48" s="43" t="s">
        <v>35</v>
      </c>
      <c r="F48" s="42" t="s">
        <v>21</v>
      </c>
      <c r="G48" s="43" t="s">
        <v>21</v>
      </c>
      <c r="H48" s="42">
        <v>30</v>
      </c>
      <c r="I48" s="44">
        <v>45277</v>
      </c>
      <c r="J48" s="43" t="s">
        <v>22</v>
      </c>
      <c r="K48" s="45"/>
      <c r="L48" s="51">
        <f>VLOOKUP(A48,'[1]ناتج ملف Excel'!$A:$AV,44,0)</f>
        <v>15169.44</v>
      </c>
      <c r="M48" s="51">
        <f>VLOOKUP(A48,'[1]ناتج ملف Excel'!$A:$AV,46,0)</f>
        <v>1516.944</v>
      </c>
      <c r="N48" s="51">
        <f>VLOOKUP(A48,'[1]ناتج ملف Excel'!$A:$AV,47,0)</f>
        <v>3792.36</v>
      </c>
      <c r="O48" s="47">
        <f>VLOOKUP(A48,'[1]ناتج ملف Excel'!$A:$AV,48,0)</f>
        <v>300</v>
      </c>
      <c r="P48" s="47">
        <v>0</v>
      </c>
      <c r="Q48" s="48">
        <f t="shared" si="8"/>
        <v>1731.5620000000001</v>
      </c>
      <c r="R48" s="48">
        <f t="shared" si="9"/>
        <v>865.78099999999995</v>
      </c>
      <c r="S48" s="71">
        <f t="shared" si="7"/>
        <v>2228.0114999999996</v>
      </c>
      <c r="T48" s="47">
        <v>3080</v>
      </c>
      <c r="U48" s="48">
        <f t="shared" si="2"/>
        <v>4328.9050000000007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3">
        <f t="shared" si="10"/>
        <v>33013.003500000006</v>
      </c>
      <c r="AB48" s="3">
        <f t="shared" si="4"/>
        <v>396156.04200000007</v>
      </c>
      <c r="AC48" s="3">
        <f t="shared" si="11"/>
        <v>396156.04200000007</v>
      </c>
    </row>
    <row r="49" spans="1:29" x14ac:dyDescent="0.2">
      <c r="A49" s="42">
        <v>100089</v>
      </c>
      <c r="B49" s="43">
        <v>7</v>
      </c>
      <c r="C49" s="42" t="s">
        <v>282</v>
      </c>
      <c r="D49" s="43" t="s">
        <v>45</v>
      </c>
      <c r="E49" s="38"/>
      <c r="F49" s="42" t="s">
        <v>21</v>
      </c>
      <c r="G49" s="43" t="s">
        <v>21</v>
      </c>
      <c r="H49" s="42">
        <v>36</v>
      </c>
      <c r="I49" s="44">
        <v>45298</v>
      </c>
      <c r="J49" s="43" t="s">
        <v>22</v>
      </c>
      <c r="K49" s="45"/>
      <c r="L49" s="51">
        <f>VLOOKUP(A49,'[1]ناتج ملف Excel'!$A:$AV,44,0)</f>
        <v>21944</v>
      </c>
      <c r="M49" s="51">
        <f>VLOOKUP(A49,'[1]ناتج ملف Excel'!$A:$AV,46,0)</f>
        <v>2194.4</v>
      </c>
      <c r="N49" s="51">
        <f>VLOOKUP(A49,'[1]ناتج ملف Excel'!$A:$AV,47,0)</f>
        <v>5486</v>
      </c>
      <c r="O49" s="47">
        <f>VLOOKUP(A49,'[1]ناتج ملف Excel'!$A:$AV,48,0)</f>
        <v>500</v>
      </c>
      <c r="P49" s="47">
        <v>0</v>
      </c>
      <c r="Q49" s="48">
        <f t="shared" si="8"/>
        <v>2510.3666666666668</v>
      </c>
      <c r="R49" s="48">
        <f t="shared" si="9"/>
        <v>1255.1833333333334</v>
      </c>
      <c r="S49" s="71">
        <f t="shared" si="7"/>
        <v>3223.0249999999996</v>
      </c>
      <c r="T49" s="47">
        <v>3080</v>
      </c>
      <c r="U49" s="48">
        <f t="shared" si="2"/>
        <v>6275.916666666667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3">
        <f t="shared" si="10"/>
        <v>46468.89166666667</v>
      </c>
      <c r="AB49" s="3">
        <f t="shared" si="4"/>
        <v>557626.70000000007</v>
      </c>
      <c r="AC49" s="3">
        <f t="shared" si="11"/>
        <v>557626.70000000007</v>
      </c>
    </row>
    <row r="50" spans="1:29" x14ac:dyDescent="0.2">
      <c r="A50" s="42">
        <v>100090</v>
      </c>
      <c r="B50" s="43">
        <v>4</v>
      </c>
      <c r="C50" s="43" t="s">
        <v>20</v>
      </c>
      <c r="D50" s="38"/>
      <c r="E50" s="43" t="s">
        <v>261</v>
      </c>
      <c r="F50" s="42" t="s">
        <v>21</v>
      </c>
      <c r="G50" s="43" t="s">
        <v>21</v>
      </c>
      <c r="H50" s="42">
        <v>29</v>
      </c>
      <c r="I50" s="44">
        <v>45298</v>
      </c>
      <c r="J50" s="43" t="s">
        <v>22</v>
      </c>
      <c r="K50" s="45"/>
      <c r="L50" s="51">
        <f>VLOOKUP(A50,'[1]ناتج ملف Excel'!$A:$AV,44,0)</f>
        <v>10198.188</v>
      </c>
      <c r="M50" s="51">
        <f>VLOOKUP(A50,'[1]ناتج ملف Excel'!$A:$AV,46,0)</f>
        <v>1019.819</v>
      </c>
      <c r="N50" s="51">
        <f>VLOOKUP(A50,'[1]ناتج ملف Excel'!$A:$AV,47,0)</f>
        <v>2549.547</v>
      </c>
      <c r="O50" s="47">
        <v>0</v>
      </c>
      <c r="P50" s="47">
        <v>0</v>
      </c>
      <c r="Q50" s="48">
        <f t="shared" si="8"/>
        <v>1147.2961666666667</v>
      </c>
      <c r="R50" s="48">
        <f t="shared" si="9"/>
        <v>573.64808333333337</v>
      </c>
      <c r="S50" s="71">
        <f t="shared" si="7"/>
        <v>1497.8588625</v>
      </c>
      <c r="T50" s="47">
        <v>3080</v>
      </c>
      <c r="U50" s="48">
        <f t="shared" si="2"/>
        <v>2868.240416666667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3">
        <f t="shared" si="10"/>
        <v>22934.597529166669</v>
      </c>
      <c r="AB50" s="3">
        <f t="shared" si="4"/>
        <v>275215.17035000003</v>
      </c>
      <c r="AC50" s="3">
        <f t="shared" si="11"/>
        <v>275215.17035000003</v>
      </c>
    </row>
    <row r="51" spans="1:29" x14ac:dyDescent="0.2">
      <c r="A51" s="42">
        <v>100091</v>
      </c>
      <c r="B51" s="43">
        <v>4</v>
      </c>
      <c r="C51" s="43" t="s">
        <v>31</v>
      </c>
      <c r="D51" s="43"/>
      <c r="E51" s="43" t="s">
        <v>261</v>
      </c>
      <c r="F51" s="42" t="s">
        <v>21</v>
      </c>
      <c r="G51" s="43" t="s">
        <v>21</v>
      </c>
      <c r="H51" s="42">
        <v>27</v>
      </c>
      <c r="I51" s="44">
        <v>45298</v>
      </c>
      <c r="J51" s="43" t="s">
        <v>22</v>
      </c>
      <c r="K51" s="45"/>
      <c r="L51" s="51">
        <f>VLOOKUP(A51,'[1]ناتج ملف Excel'!$A:$AV,44,0)</f>
        <v>9182.7839999999997</v>
      </c>
      <c r="M51" s="51">
        <f>VLOOKUP(A51,'[1]ناتج ملف Excel'!$A:$AV,46,0)</f>
        <v>918.27800000000002</v>
      </c>
      <c r="N51" s="51">
        <f>VLOOKUP(A51,'[1]ناتج ملف Excel'!$A:$AV,47,0)</f>
        <v>2295.6959999999999</v>
      </c>
      <c r="O51" s="47">
        <f>VLOOKUP(A51,'[1]ناتج ملف Excel'!$A:$AV,48,0)</f>
        <v>300</v>
      </c>
      <c r="P51" s="47">
        <v>0</v>
      </c>
      <c r="Q51" s="48">
        <f t="shared" si="8"/>
        <v>1058.0631666666666</v>
      </c>
      <c r="R51" s="48">
        <f t="shared" si="9"/>
        <v>529.03158333333329</v>
      </c>
      <c r="S51" s="71">
        <f t="shared" si="7"/>
        <v>1348.7213999999999</v>
      </c>
      <c r="T51" s="47">
        <v>3080</v>
      </c>
      <c r="U51" s="48">
        <f t="shared" si="2"/>
        <v>2645.1579166666666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3">
        <f t="shared" si="10"/>
        <v>21357.732066666667</v>
      </c>
      <c r="AB51" s="3">
        <f t="shared" si="4"/>
        <v>256292.78480000002</v>
      </c>
      <c r="AC51" s="3">
        <f t="shared" si="11"/>
        <v>256292.78480000002</v>
      </c>
    </row>
    <row r="52" spans="1:29" x14ac:dyDescent="0.2">
      <c r="A52" s="42">
        <v>100093</v>
      </c>
      <c r="B52" s="43">
        <v>4</v>
      </c>
      <c r="C52" s="42" t="s">
        <v>295</v>
      </c>
      <c r="D52" s="43" t="s">
        <v>26</v>
      </c>
      <c r="E52" s="43" t="s">
        <v>27</v>
      </c>
      <c r="F52" s="42" t="s">
        <v>21</v>
      </c>
      <c r="G52" s="43" t="s">
        <v>21</v>
      </c>
      <c r="H52" s="42">
        <v>26</v>
      </c>
      <c r="I52" s="44">
        <v>45307</v>
      </c>
      <c r="J52" s="43" t="s">
        <v>22</v>
      </c>
      <c r="K52" s="45"/>
      <c r="L52" s="51">
        <f>VLOOKUP(A52,'[1]ناتج ملف Excel'!$A:$AV,44,0)</f>
        <v>10198.188</v>
      </c>
      <c r="M52" s="51">
        <f>VLOOKUP(A52,'[1]ناتج ملف Excel'!$A:$AV,46,0)</f>
        <v>1019.819</v>
      </c>
      <c r="N52" s="51">
        <f>VLOOKUP(A52,'[1]ناتج ملف Excel'!$A:$AV,47,0)</f>
        <v>2549.547</v>
      </c>
      <c r="O52" s="47">
        <v>0</v>
      </c>
      <c r="P52" s="47">
        <v>0</v>
      </c>
      <c r="Q52" s="48">
        <f t="shared" si="8"/>
        <v>1147.2961666666667</v>
      </c>
      <c r="R52" s="48">
        <f t="shared" si="9"/>
        <v>573.64808333333337</v>
      </c>
      <c r="S52" s="71">
        <f t="shared" si="7"/>
        <v>1497.8588625</v>
      </c>
      <c r="T52" s="47">
        <v>3080</v>
      </c>
      <c r="U52" s="48">
        <f t="shared" si="2"/>
        <v>2868.240416666667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3">
        <f t="shared" si="10"/>
        <v>22934.597529166669</v>
      </c>
      <c r="AB52" s="3">
        <f t="shared" si="4"/>
        <v>275215.17035000003</v>
      </c>
      <c r="AC52" s="3">
        <f t="shared" si="11"/>
        <v>275215.17035000003</v>
      </c>
    </row>
    <row r="53" spans="1:29" x14ac:dyDescent="0.2">
      <c r="A53" s="42">
        <v>100094</v>
      </c>
      <c r="B53" s="43">
        <v>4</v>
      </c>
      <c r="C53" s="42" t="s">
        <v>283</v>
      </c>
      <c r="D53" s="43" t="s">
        <v>19</v>
      </c>
      <c r="E53" s="43" t="s">
        <v>261</v>
      </c>
      <c r="F53" s="42" t="s">
        <v>21</v>
      </c>
      <c r="G53" s="43" t="s">
        <v>21</v>
      </c>
      <c r="H53" s="42">
        <v>29</v>
      </c>
      <c r="I53" s="44">
        <v>45313</v>
      </c>
      <c r="J53" s="43" t="s">
        <v>22</v>
      </c>
      <c r="K53" s="45"/>
      <c r="L53" s="51">
        <f>VLOOKUP(A53,'[1]ناتج ملف Excel'!$A:$AV,44,0)</f>
        <v>9182.7839999999997</v>
      </c>
      <c r="M53" s="51">
        <f>VLOOKUP(A53,'[1]ناتج ملف Excel'!$A:$AV,46,0)</f>
        <v>918.27800000000002</v>
      </c>
      <c r="N53" s="51">
        <f>VLOOKUP(A53,'[1]ناتج ملف Excel'!$A:$AV,47,0)</f>
        <v>2295.6959999999999</v>
      </c>
      <c r="O53" s="47">
        <f>VLOOKUP(A53,'[1]ناتج ملف Excel'!$A:$AV,48,0)</f>
        <v>300</v>
      </c>
      <c r="P53" s="47">
        <v>0</v>
      </c>
      <c r="Q53" s="48">
        <f t="shared" si="8"/>
        <v>1058.0631666666666</v>
      </c>
      <c r="R53" s="48">
        <f t="shared" si="9"/>
        <v>529.03158333333329</v>
      </c>
      <c r="S53" s="71">
        <f t="shared" si="7"/>
        <v>1348.7213999999999</v>
      </c>
      <c r="T53" s="47">
        <v>3080</v>
      </c>
      <c r="U53" s="48">
        <f t="shared" si="2"/>
        <v>2645.1579166666666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3">
        <f t="shared" si="10"/>
        <v>21357.732066666667</v>
      </c>
      <c r="AB53" s="3">
        <f t="shared" si="4"/>
        <v>256292.78480000002</v>
      </c>
      <c r="AC53" s="3">
        <f t="shared" si="11"/>
        <v>256292.78480000002</v>
      </c>
    </row>
    <row r="54" spans="1:29" x14ac:dyDescent="0.2">
      <c r="A54" s="42">
        <v>100095</v>
      </c>
      <c r="B54" s="43">
        <v>8</v>
      </c>
      <c r="C54" s="42" t="s">
        <v>291</v>
      </c>
      <c r="D54" s="43" t="s">
        <v>293</v>
      </c>
      <c r="E54" s="43" t="s">
        <v>35</v>
      </c>
      <c r="F54" s="42" t="s">
        <v>21</v>
      </c>
      <c r="G54" s="43" t="s">
        <v>21</v>
      </c>
      <c r="H54" s="42">
        <v>46</v>
      </c>
      <c r="I54" s="44">
        <v>45314</v>
      </c>
      <c r="J54" s="43" t="s">
        <v>22</v>
      </c>
      <c r="K54" s="45"/>
      <c r="L54" s="51">
        <f>VLOOKUP(A54,'[1]ناتج ملف Excel'!$A:$AV,44,0)</f>
        <v>43243.199999999997</v>
      </c>
      <c r="M54" s="51">
        <f>VLOOKUP(A54,'[1]ناتج ملف Excel'!$A:$AV,46,0)</f>
        <v>3000</v>
      </c>
      <c r="N54" s="51">
        <f>VLOOKUP(A54,'[1]ناتج ملف Excel'!$A:$AV,47,0)</f>
        <v>10810.8</v>
      </c>
      <c r="O54" s="47">
        <f>VLOOKUP(A54,'[1]ناتج ملف Excel'!$A:$AV,48,0)</f>
        <v>500</v>
      </c>
      <c r="P54" s="47">
        <v>8333.3333333333339</v>
      </c>
      <c r="Q54" s="48">
        <f t="shared" si="8"/>
        <v>4796.166666666667</v>
      </c>
      <c r="R54" s="48">
        <f t="shared" si="9"/>
        <v>2398.0833333333335</v>
      </c>
      <c r="S54" s="71">
        <v>5287.5</v>
      </c>
      <c r="T54" s="47">
        <v>3080</v>
      </c>
      <c r="U54" s="48">
        <f t="shared" si="2"/>
        <v>11990.416666666666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3">
        <f t="shared" si="10"/>
        <v>93439.5</v>
      </c>
      <c r="AB54" s="3">
        <f t="shared" si="4"/>
        <v>1121274</v>
      </c>
      <c r="AC54" s="3">
        <f t="shared" si="11"/>
        <v>1121274</v>
      </c>
    </row>
    <row r="55" spans="1:29" x14ac:dyDescent="0.2">
      <c r="A55" s="42">
        <v>100099</v>
      </c>
      <c r="B55" s="43">
        <v>4</v>
      </c>
      <c r="C55" s="43" t="s">
        <v>49</v>
      </c>
      <c r="D55" s="38"/>
      <c r="E55" s="43" t="s">
        <v>40</v>
      </c>
      <c r="F55" s="42" t="s">
        <v>21</v>
      </c>
      <c r="G55" s="43" t="s">
        <v>21</v>
      </c>
      <c r="H55" s="42">
        <v>27</v>
      </c>
      <c r="I55" s="44">
        <v>45337</v>
      </c>
      <c r="J55" s="43" t="s">
        <v>22</v>
      </c>
      <c r="K55" s="45"/>
      <c r="L55" s="51">
        <f>VLOOKUP(A55,'[1]ناتج ملف Excel'!$A:$AV,44,0)</f>
        <v>9182.7839999999997</v>
      </c>
      <c r="M55" s="51">
        <f>VLOOKUP(A55,'[1]ناتج ملف Excel'!$A:$AV,46,0)</f>
        <v>918.27800000000002</v>
      </c>
      <c r="N55" s="51">
        <f>VLOOKUP(A55,'[1]ناتج ملف Excel'!$A:$AV,47,0)</f>
        <v>2295.6959999999999</v>
      </c>
      <c r="O55" s="47">
        <v>0</v>
      </c>
      <c r="P55" s="47">
        <v>0</v>
      </c>
      <c r="Q55" s="48">
        <f t="shared" si="8"/>
        <v>1033.0631666666666</v>
      </c>
      <c r="R55" s="48">
        <f t="shared" si="9"/>
        <v>516.53158333333329</v>
      </c>
      <c r="S55" s="71">
        <f t="shared" ref="S55:S61" si="12">(L55+N55)*11.75%</f>
        <v>1348.7213999999999</v>
      </c>
      <c r="T55" s="47">
        <v>3080</v>
      </c>
      <c r="U55" s="48">
        <f t="shared" si="2"/>
        <v>2582.6579166666666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3">
        <f t="shared" si="10"/>
        <v>20957.732066666667</v>
      </c>
      <c r="AB55" s="3">
        <f t="shared" si="4"/>
        <v>251492.78480000002</v>
      </c>
      <c r="AC55" s="3">
        <f t="shared" si="11"/>
        <v>251492.78480000002</v>
      </c>
    </row>
    <row r="56" spans="1:29" x14ac:dyDescent="0.2">
      <c r="A56" s="42">
        <v>100100</v>
      </c>
      <c r="B56" s="43">
        <v>4</v>
      </c>
      <c r="C56" s="43" t="s">
        <v>296</v>
      </c>
      <c r="D56" s="38"/>
      <c r="E56" s="43" t="s">
        <v>30</v>
      </c>
      <c r="F56" s="42" t="s">
        <v>21</v>
      </c>
      <c r="G56" s="43" t="s">
        <v>21</v>
      </c>
      <c r="H56" s="42">
        <v>26</v>
      </c>
      <c r="I56" s="44">
        <v>45341</v>
      </c>
      <c r="J56" s="43" t="s">
        <v>22</v>
      </c>
      <c r="K56" s="45"/>
      <c r="L56" s="51">
        <f>VLOOKUP(A56,'[1]ناتج ملف Excel'!$A:$AV,44,0)</f>
        <v>9360.2250000000004</v>
      </c>
      <c r="M56" s="51">
        <f>VLOOKUP(A56,'[1]ناتج ملف Excel'!$A:$AV,46,0)</f>
        <v>936.02200000000005</v>
      </c>
      <c r="N56" s="51">
        <f>VLOOKUP(A56,'[1]ناتج ملف Excel'!$A:$AV,47,0)</f>
        <v>2340.056</v>
      </c>
      <c r="O56" s="47">
        <v>0</v>
      </c>
      <c r="P56" s="47">
        <v>0</v>
      </c>
      <c r="Q56" s="48">
        <f t="shared" si="8"/>
        <v>1053.0252500000001</v>
      </c>
      <c r="R56" s="48">
        <f t="shared" si="9"/>
        <v>526.51262499999996</v>
      </c>
      <c r="S56" s="71">
        <f t="shared" si="12"/>
        <v>1374.7830174999999</v>
      </c>
      <c r="T56" s="47">
        <v>3080</v>
      </c>
      <c r="U56" s="48">
        <f t="shared" si="2"/>
        <v>2632.5631250000001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3">
        <f t="shared" si="10"/>
        <v>21303.1870175</v>
      </c>
      <c r="AB56" s="3">
        <f t="shared" si="4"/>
        <v>255638.24421</v>
      </c>
      <c r="AC56" s="3">
        <f t="shared" si="11"/>
        <v>255638.24421</v>
      </c>
    </row>
    <row r="57" spans="1:29" x14ac:dyDescent="0.2">
      <c r="A57" s="42">
        <v>100101</v>
      </c>
      <c r="B57" s="43">
        <v>6</v>
      </c>
      <c r="C57" s="43" t="s">
        <v>34</v>
      </c>
      <c r="D57" s="38"/>
      <c r="E57" s="43" t="s">
        <v>35</v>
      </c>
      <c r="F57" s="42" t="s">
        <v>21</v>
      </c>
      <c r="G57" s="43" t="s">
        <v>21</v>
      </c>
      <c r="H57" s="42">
        <v>33</v>
      </c>
      <c r="I57" s="44">
        <v>45341</v>
      </c>
      <c r="J57" s="43" t="s">
        <v>22</v>
      </c>
      <c r="K57" s="45"/>
      <c r="L57" s="51">
        <f>VLOOKUP(A57,'[1]ناتج ملف Excel'!$A:$AV,44,0)</f>
        <v>19579.560000000001</v>
      </c>
      <c r="M57" s="51">
        <f>VLOOKUP(A57,'[1]ناتج ملف Excel'!$A:$AV,46,0)</f>
        <v>1957.9559999999999</v>
      </c>
      <c r="N57" s="51">
        <f>VLOOKUP(A57,'[1]ناتج ملف Excel'!$A:$AV,47,0)</f>
        <v>4894.8900000000003</v>
      </c>
      <c r="O57" s="47">
        <f>VLOOKUP(A57,'[1]ناتج ملف Excel'!$A:$AV,48,0)</f>
        <v>500</v>
      </c>
      <c r="P57" s="47">
        <v>0</v>
      </c>
      <c r="Q57" s="48">
        <f t="shared" si="8"/>
        <v>2244.3671666666664</v>
      </c>
      <c r="R57" s="48">
        <f t="shared" si="9"/>
        <v>1122.1835833333334</v>
      </c>
      <c r="S57" s="71">
        <f t="shared" si="12"/>
        <v>2875.747875</v>
      </c>
      <c r="T57" s="47">
        <v>3080</v>
      </c>
      <c r="U57" s="48">
        <f t="shared" si="2"/>
        <v>5610.9179166666663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3">
        <f t="shared" si="10"/>
        <v>41865.622541666664</v>
      </c>
      <c r="AB57" s="3">
        <f t="shared" si="4"/>
        <v>502387.47049999994</v>
      </c>
      <c r="AC57" s="3">
        <f t="shared" si="11"/>
        <v>502387.47049999994</v>
      </c>
    </row>
    <row r="58" spans="1:29" x14ac:dyDescent="0.2">
      <c r="A58" s="42">
        <v>100102</v>
      </c>
      <c r="B58" s="43">
        <v>6</v>
      </c>
      <c r="C58" s="43" t="s">
        <v>273</v>
      </c>
      <c r="D58" s="43" t="s">
        <v>24</v>
      </c>
      <c r="E58" s="43" t="s">
        <v>261</v>
      </c>
      <c r="F58" s="42" t="s">
        <v>21</v>
      </c>
      <c r="G58" s="43" t="s">
        <v>21</v>
      </c>
      <c r="H58" s="42">
        <v>34</v>
      </c>
      <c r="I58" s="44">
        <v>45354</v>
      </c>
      <c r="J58" s="43" t="s">
        <v>22</v>
      </c>
      <c r="K58" s="45"/>
      <c r="L58" s="51">
        <f>VLOOKUP(A58,'[1]ناتج ملف Excel'!$A:$AV,44,0)</f>
        <v>21829.5</v>
      </c>
      <c r="M58" s="51">
        <f>VLOOKUP(A58,'[1]ناتج ملف Excel'!$A:$AV,46,0)</f>
        <v>2182.9499999999998</v>
      </c>
      <c r="N58" s="51">
        <f>VLOOKUP(A58,'[1]ناتج ملف Excel'!$A:$AV,47,0)</f>
        <v>5457.375</v>
      </c>
      <c r="O58" s="47">
        <f>VLOOKUP(A58,'[1]ناتج ملف Excel'!$A:$AV,48,0)</f>
        <v>500</v>
      </c>
      <c r="P58" s="47">
        <v>0</v>
      </c>
      <c r="Q58" s="48">
        <f t="shared" si="8"/>
        <v>2497.4854166666669</v>
      </c>
      <c r="R58" s="48">
        <f t="shared" si="9"/>
        <v>1248.7427083333334</v>
      </c>
      <c r="S58" s="71">
        <f t="shared" si="12"/>
        <v>3206.2078124999998</v>
      </c>
      <c r="T58" s="47">
        <v>3080</v>
      </c>
      <c r="U58" s="48">
        <f t="shared" si="2"/>
        <v>6243.713541666667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3">
        <f t="shared" si="10"/>
        <v>46245.97447916666</v>
      </c>
      <c r="AB58" s="3">
        <f t="shared" si="4"/>
        <v>554951.69374999986</v>
      </c>
      <c r="AC58" s="3">
        <f t="shared" si="11"/>
        <v>554951.69374999986</v>
      </c>
    </row>
    <row r="59" spans="1:29" x14ac:dyDescent="0.2">
      <c r="A59" s="42">
        <v>100103</v>
      </c>
      <c r="B59" s="43">
        <v>6</v>
      </c>
      <c r="C59" s="43"/>
      <c r="D59" s="43" t="s">
        <v>293</v>
      </c>
      <c r="E59" s="43" t="s">
        <v>35</v>
      </c>
      <c r="F59" s="42" t="s">
        <v>21</v>
      </c>
      <c r="G59" s="43" t="s">
        <v>21</v>
      </c>
      <c r="H59" s="42">
        <v>33</v>
      </c>
      <c r="I59" s="44">
        <v>45368</v>
      </c>
      <c r="J59" s="43" t="s">
        <v>22</v>
      </c>
      <c r="K59" s="45"/>
      <c r="L59" s="51">
        <f>VLOOKUP(A59,'[1]ناتج ملف Excel'!$A:$AV,44,0)</f>
        <v>21949.200000000001</v>
      </c>
      <c r="M59" s="51">
        <f>VLOOKUP(A59,'[1]ناتج ملف Excel'!$A:$AV,46,0)</f>
        <v>2194.92</v>
      </c>
      <c r="N59" s="51">
        <f>VLOOKUP(A59,'[1]ناتج ملف Excel'!$A:$AV,47,0)</f>
        <v>5487.3</v>
      </c>
      <c r="O59" s="47">
        <f>VLOOKUP(A59,'[1]ناتج ملف Excel'!$A:$AV,48,0)</f>
        <v>500</v>
      </c>
      <c r="P59" s="47">
        <v>0</v>
      </c>
      <c r="Q59" s="48">
        <f t="shared" si="8"/>
        <v>2510.9516666666668</v>
      </c>
      <c r="R59" s="48">
        <f t="shared" si="9"/>
        <v>1255.4758333333334</v>
      </c>
      <c r="S59" s="71">
        <f t="shared" si="12"/>
        <v>3223.7887499999997</v>
      </c>
      <c r="T59" s="47">
        <v>3080</v>
      </c>
      <c r="U59" s="48">
        <f t="shared" si="2"/>
        <v>6277.3791666666666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3">
        <f t="shared" si="10"/>
        <v>46479.015416666669</v>
      </c>
      <c r="AB59" s="3">
        <f t="shared" si="4"/>
        <v>557748.18500000006</v>
      </c>
      <c r="AC59" s="3">
        <f t="shared" si="11"/>
        <v>557748.18500000006</v>
      </c>
    </row>
    <row r="60" spans="1:29" x14ac:dyDescent="0.2">
      <c r="A60" s="42">
        <v>100105</v>
      </c>
      <c r="B60" s="43">
        <v>7</v>
      </c>
      <c r="C60" s="43" t="s">
        <v>303</v>
      </c>
      <c r="D60" s="43" t="s">
        <v>25</v>
      </c>
      <c r="E60" s="43" t="s">
        <v>261</v>
      </c>
      <c r="F60" s="42" t="s">
        <v>21</v>
      </c>
      <c r="G60" s="43" t="s">
        <v>21</v>
      </c>
      <c r="H60" s="42">
        <v>31</v>
      </c>
      <c r="I60" s="44">
        <v>45368</v>
      </c>
      <c r="J60" s="43" t="s">
        <v>22</v>
      </c>
      <c r="K60" s="45"/>
      <c r="L60" s="51">
        <f>VLOOKUP(A60,'[1]ناتج ملف Excel'!$A:$AV,44,0)</f>
        <v>24596.3848</v>
      </c>
      <c r="M60" s="51">
        <f>VLOOKUP(A60,'[1]ناتج ملف Excel'!$A:$AV,46,0)</f>
        <v>2459.6379999999999</v>
      </c>
      <c r="N60" s="51">
        <f>VLOOKUP(A60,'[1]ناتج ملف Excel'!$A:$AV,47,0)</f>
        <v>6149.0959999999995</v>
      </c>
      <c r="O60" s="47">
        <f>VLOOKUP(A60,'[1]ناتج ملف Excel'!$A:$AV,48,0)</f>
        <v>500</v>
      </c>
      <c r="P60" s="47">
        <v>0</v>
      </c>
      <c r="Q60" s="48">
        <f t="shared" si="8"/>
        <v>2808.7598999999996</v>
      </c>
      <c r="R60" s="48">
        <f t="shared" si="9"/>
        <v>1404.3799499999998</v>
      </c>
      <c r="S60" s="71">
        <f t="shared" si="12"/>
        <v>3612.5939939999994</v>
      </c>
      <c r="T60" s="47">
        <v>3080</v>
      </c>
      <c r="U60" s="48">
        <f t="shared" si="2"/>
        <v>7021.8997499999996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3">
        <f t="shared" si="10"/>
        <v>51632.752393999996</v>
      </c>
      <c r="AB60" s="3">
        <f t="shared" si="4"/>
        <v>619593.02872799989</v>
      </c>
      <c r="AC60" s="3">
        <f t="shared" si="11"/>
        <v>619593.02872799989</v>
      </c>
    </row>
    <row r="61" spans="1:29" x14ac:dyDescent="0.2">
      <c r="A61" s="42">
        <v>100106</v>
      </c>
      <c r="B61" s="43">
        <v>4</v>
      </c>
      <c r="C61" s="43" t="s">
        <v>23</v>
      </c>
      <c r="D61" s="38"/>
      <c r="E61" s="43" t="s">
        <v>261</v>
      </c>
      <c r="F61" s="42" t="s">
        <v>21</v>
      </c>
      <c r="G61" s="43" t="s">
        <v>21</v>
      </c>
      <c r="H61" s="42">
        <v>28</v>
      </c>
      <c r="I61" s="44">
        <v>45376</v>
      </c>
      <c r="J61" s="43" t="s">
        <v>22</v>
      </c>
      <c r="K61" s="45"/>
      <c r="L61" s="51">
        <f>VLOOKUP(A61,'[1]ناتج ملف Excel'!$A:$AV,44,0)</f>
        <v>9006.1919999999991</v>
      </c>
      <c r="M61" s="51">
        <f>VLOOKUP(A61,'[1]ناتج ملف Excel'!$A:$AV,46,0)</f>
        <v>900.61900000000003</v>
      </c>
      <c r="N61" s="51">
        <f>VLOOKUP(A61,'[1]ناتج ملف Excel'!$A:$AV,47,0)</f>
        <v>2251.5479999999998</v>
      </c>
      <c r="O61" s="47">
        <v>0</v>
      </c>
      <c r="P61" s="47">
        <v>0</v>
      </c>
      <c r="Q61" s="48">
        <f t="shared" si="8"/>
        <v>1013.1965833333334</v>
      </c>
      <c r="R61" s="48">
        <f t="shared" si="9"/>
        <v>506.59829166666663</v>
      </c>
      <c r="S61" s="71">
        <f t="shared" si="12"/>
        <v>1322.7844499999997</v>
      </c>
      <c r="T61" s="47">
        <v>3080</v>
      </c>
      <c r="U61" s="48">
        <f t="shared" si="2"/>
        <v>2532.9914583333334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3">
        <f t="shared" si="10"/>
        <v>20613.929783333337</v>
      </c>
      <c r="AB61" s="3">
        <f t="shared" si="4"/>
        <v>247367.15740000003</v>
      </c>
      <c r="AC61" s="3">
        <f t="shared" si="11"/>
        <v>247367.15740000003</v>
      </c>
    </row>
    <row r="62" spans="1:29" x14ac:dyDescent="0.2">
      <c r="A62" s="42">
        <v>100107</v>
      </c>
      <c r="B62" s="43">
        <v>8</v>
      </c>
      <c r="C62" s="43" t="s">
        <v>34</v>
      </c>
      <c r="D62" s="38"/>
      <c r="E62" s="43" t="s">
        <v>35</v>
      </c>
      <c r="F62" s="42" t="s">
        <v>21</v>
      </c>
      <c r="G62" s="43" t="s">
        <v>21</v>
      </c>
      <c r="H62" s="42">
        <v>36</v>
      </c>
      <c r="I62" s="44">
        <v>45376</v>
      </c>
      <c r="J62" s="43" t="s">
        <v>22</v>
      </c>
      <c r="K62" s="45"/>
      <c r="L62" s="51">
        <f>VLOOKUP(A62,'[1]ناتج ملف Excel'!$A:$AV,44,0)</f>
        <v>45427.199999999997</v>
      </c>
      <c r="M62" s="51">
        <f>VLOOKUP(A62,'[1]ناتج ملف Excel'!$A:$AV,46,0)</f>
        <v>3000</v>
      </c>
      <c r="N62" s="51">
        <f>VLOOKUP(A62,'[1]ناتج ملف Excel'!$A:$AV,47,0)</f>
        <v>11356.8</v>
      </c>
      <c r="O62" s="47">
        <f>VLOOKUP(A62,'[1]ناتج ملف Excel'!$A:$AV,48,0)</f>
        <v>500</v>
      </c>
      <c r="P62" s="47">
        <v>0</v>
      </c>
      <c r="Q62" s="48">
        <f t="shared" si="8"/>
        <v>5023.666666666667</v>
      </c>
      <c r="R62" s="48">
        <f t="shared" si="9"/>
        <v>2511.8333333333335</v>
      </c>
      <c r="S62" s="71">
        <v>5287.5</v>
      </c>
      <c r="T62" s="47">
        <v>3080</v>
      </c>
      <c r="U62" s="48">
        <f t="shared" si="2"/>
        <v>12559.166666666666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3">
        <f t="shared" si="10"/>
        <v>88746.166666666672</v>
      </c>
      <c r="AB62" s="3">
        <f t="shared" si="4"/>
        <v>1064954</v>
      </c>
      <c r="AC62" s="3">
        <f t="shared" si="11"/>
        <v>1064954</v>
      </c>
    </row>
    <row r="63" spans="1:29" x14ac:dyDescent="0.2">
      <c r="A63" s="42">
        <v>100109</v>
      </c>
      <c r="B63" s="43">
        <v>4</v>
      </c>
      <c r="C63" s="43" t="s">
        <v>23</v>
      </c>
      <c r="D63" s="38"/>
      <c r="E63" s="43" t="s">
        <v>261</v>
      </c>
      <c r="F63" s="42" t="s">
        <v>21</v>
      </c>
      <c r="G63" s="43" t="s">
        <v>21</v>
      </c>
      <c r="H63" s="42">
        <v>38</v>
      </c>
      <c r="I63" s="44">
        <v>45396</v>
      </c>
      <c r="J63" s="43" t="s">
        <v>22</v>
      </c>
      <c r="K63" s="45"/>
      <c r="L63" s="51">
        <f>VLOOKUP(A63,'[1]ناتج ملف Excel'!$A:$AV,44,0)</f>
        <v>10198.188</v>
      </c>
      <c r="M63" s="51">
        <f>VLOOKUP(A63,'[1]ناتج ملف Excel'!$A:$AV,46,0)</f>
        <v>1019.819</v>
      </c>
      <c r="N63" s="51">
        <f>VLOOKUP(A63,'[1]ناتج ملف Excel'!$A:$AV,47,0)</f>
        <v>2549.547</v>
      </c>
      <c r="O63" s="47">
        <f>VLOOKUP(A63,'[1]ناتج ملف Excel'!$A:$AV,48,0)</f>
        <v>300</v>
      </c>
      <c r="P63" s="47">
        <v>0</v>
      </c>
      <c r="Q63" s="48">
        <f t="shared" si="8"/>
        <v>1172.2961666666667</v>
      </c>
      <c r="R63" s="48">
        <f t="shared" si="9"/>
        <v>586.14808333333337</v>
      </c>
      <c r="S63" s="71">
        <f t="shared" ref="S63:S68" si="13">(L63+N63)*11.75%</f>
        <v>1497.8588625</v>
      </c>
      <c r="T63" s="47">
        <v>3080</v>
      </c>
      <c r="U63" s="48">
        <f t="shared" si="2"/>
        <v>2930.740416666667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3">
        <f t="shared" si="10"/>
        <v>23334.597529166669</v>
      </c>
      <c r="AB63" s="3">
        <f t="shared" si="4"/>
        <v>280015.17035000003</v>
      </c>
      <c r="AC63" s="3">
        <f t="shared" si="11"/>
        <v>280015.17035000003</v>
      </c>
    </row>
    <row r="64" spans="1:29" x14ac:dyDescent="0.2">
      <c r="A64" s="42">
        <v>100110</v>
      </c>
      <c r="B64" s="43">
        <v>8</v>
      </c>
      <c r="C64" s="43" t="s">
        <v>25</v>
      </c>
      <c r="D64" s="43" t="s">
        <v>25</v>
      </c>
      <c r="E64" s="43" t="s">
        <v>261</v>
      </c>
      <c r="F64" s="42" t="s">
        <v>21</v>
      </c>
      <c r="G64" s="43" t="s">
        <v>21</v>
      </c>
      <c r="H64" s="42">
        <v>42</v>
      </c>
      <c r="I64" s="44">
        <v>45413</v>
      </c>
      <c r="J64" s="43" t="s">
        <v>22</v>
      </c>
      <c r="K64" s="45"/>
      <c r="L64" s="51">
        <f>VLOOKUP(A64,'[1]ناتج ملف Excel'!$A:$AV,44,0)</f>
        <v>46980</v>
      </c>
      <c r="M64" s="51">
        <f>VLOOKUP(A64,'[1]ناتج ملف Excel'!$A:$AV,46,0)</f>
        <v>3000</v>
      </c>
      <c r="N64" s="51">
        <f>VLOOKUP(A64,'[1]ناتج ملف Excel'!$A:$AV,47,0)</f>
        <v>11745</v>
      </c>
      <c r="O64" s="47">
        <f>VLOOKUP(A64,'[1]ناتج ملف Excel'!$A:$AV,48,0)</f>
        <v>500</v>
      </c>
      <c r="P64" s="47">
        <v>0</v>
      </c>
      <c r="Q64" s="48">
        <f t="shared" si="8"/>
        <v>5185.416666666667</v>
      </c>
      <c r="R64" s="48">
        <f t="shared" si="9"/>
        <v>2592.7083333333335</v>
      </c>
      <c r="S64" s="71">
        <v>5287.5</v>
      </c>
      <c r="T64" s="47">
        <v>3080</v>
      </c>
      <c r="U64" s="48">
        <f t="shared" si="2"/>
        <v>12963.541666666666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3">
        <f t="shared" si="10"/>
        <v>91334.166666666672</v>
      </c>
      <c r="AB64" s="3">
        <f t="shared" si="4"/>
        <v>1096010</v>
      </c>
      <c r="AC64" s="3">
        <f t="shared" si="11"/>
        <v>1096010</v>
      </c>
    </row>
    <row r="65" spans="1:29" x14ac:dyDescent="0.2">
      <c r="A65" s="42">
        <v>100111</v>
      </c>
      <c r="B65" s="43">
        <v>4</v>
      </c>
      <c r="C65" s="43" t="s">
        <v>29</v>
      </c>
      <c r="D65" s="38"/>
      <c r="E65" s="43" t="s">
        <v>30</v>
      </c>
      <c r="F65" s="42" t="s">
        <v>21</v>
      </c>
      <c r="G65" s="43" t="s">
        <v>21</v>
      </c>
      <c r="H65" s="42">
        <v>29</v>
      </c>
      <c r="I65" s="44">
        <v>45413</v>
      </c>
      <c r="J65" s="43" t="s">
        <v>22</v>
      </c>
      <c r="K65" s="45"/>
      <c r="L65" s="51">
        <f>VLOOKUP(A65,'[1]ناتج ملف Excel'!$A:$AV,44,0)</f>
        <v>9182.7839999999997</v>
      </c>
      <c r="M65" s="51">
        <f>VLOOKUP(A65,'[1]ناتج ملف Excel'!$A:$AV,46,0)</f>
        <v>918.27800000000002</v>
      </c>
      <c r="N65" s="51">
        <f>VLOOKUP(A65,'[1]ناتج ملف Excel'!$A:$AV,47,0)</f>
        <v>2295.6959999999999</v>
      </c>
      <c r="O65" s="47">
        <v>0</v>
      </c>
      <c r="P65" s="47">
        <v>0</v>
      </c>
      <c r="Q65" s="48">
        <f t="shared" si="8"/>
        <v>1033.0631666666666</v>
      </c>
      <c r="R65" s="48">
        <f t="shared" si="9"/>
        <v>516.53158333333329</v>
      </c>
      <c r="S65" s="71">
        <f t="shared" si="13"/>
        <v>1348.7213999999999</v>
      </c>
      <c r="T65" s="47">
        <v>3080</v>
      </c>
      <c r="U65" s="48">
        <f t="shared" si="2"/>
        <v>2582.6579166666666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3">
        <f t="shared" si="10"/>
        <v>20957.732066666667</v>
      </c>
      <c r="AB65" s="3">
        <f t="shared" si="4"/>
        <v>251492.78480000002</v>
      </c>
      <c r="AC65" s="3">
        <f t="shared" si="11"/>
        <v>251492.78480000002</v>
      </c>
    </row>
    <row r="66" spans="1:29" x14ac:dyDescent="0.2">
      <c r="A66" s="42">
        <v>100112</v>
      </c>
      <c r="B66" s="43">
        <v>7</v>
      </c>
      <c r="C66" s="43" t="s">
        <v>25</v>
      </c>
      <c r="D66" s="43" t="s">
        <v>25</v>
      </c>
      <c r="E66" s="43" t="s">
        <v>261</v>
      </c>
      <c r="F66" s="42" t="s">
        <v>21</v>
      </c>
      <c r="G66" s="43" t="s">
        <v>21</v>
      </c>
      <c r="H66" s="42">
        <v>35</v>
      </c>
      <c r="I66" s="44">
        <v>45417</v>
      </c>
      <c r="J66" s="43" t="s">
        <v>22</v>
      </c>
      <c r="K66" s="45"/>
      <c r="L66" s="51">
        <f>VLOOKUP(A66,'[1]ناتج ملف Excel'!$A:$AV,44,0)</f>
        <v>30717.439999999999</v>
      </c>
      <c r="M66" s="51">
        <f>VLOOKUP(A66,'[1]ناتج ملف Excel'!$A:$AV,46,0)</f>
        <v>3000</v>
      </c>
      <c r="N66" s="51">
        <f>VLOOKUP(A66,'[1]ناتج ملف Excel'!$A:$AV,47,0)</f>
        <v>7679.36</v>
      </c>
      <c r="O66" s="47">
        <f>VLOOKUP(A66,'[1]ناتج ملف Excel'!$A:$AV,48,0)</f>
        <v>500</v>
      </c>
      <c r="P66" s="47">
        <v>0</v>
      </c>
      <c r="Q66" s="48">
        <f t="shared" si="8"/>
        <v>3491.4</v>
      </c>
      <c r="R66" s="48">
        <f t="shared" si="9"/>
        <v>1745.7</v>
      </c>
      <c r="S66" s="71">
        <f t="shared" si="13"/>
        <v>4511.6239999999989</v>
      </c>
      <c r="T66" s="47">
        <v>3080</v>
      </c>
      <c r="U66" s="48">
        <f t="shared" si="2"/>
        <v>8728.5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3">
        <f t="shared" si="10"/>
        <v>63454.023999999998</v>
      </c>
      <c r="AB66" s="3">
        <f t="shared" si="4"/>
        <v>761448.28799999994</v>
      </c>
      <c r="AC66" s="3">
        <f t="shared" si="11"/>
        <v>761448.28799999994</v>
      </c>
    </row>
    <row r="67" spans="1:29" x14ac:dyDescent="0.2">
      <c r="A67" s="42">
        <v>100113</v>
      </c>
      <c r="B67" s="43">
        <v>7</v>
      </c>
      <c r="C67" s="43" t="s">
        <v>34</v>
      </c>
      <c r="D67" s="38"/>
      <c r="E67" s="43" t="s">
        <v>35</v>
      </c>
      <c r="F67" s="42" t="s">
        <v>21</v>
      </c>
      <c r="G67" s="43" t="s">
        <v>21</v>
      </c>
      <c r="H67" s="42">
        <v>39</v>
      </c>
      <c r="I67" s="44">
        <v>45418</v>
      </c>
      <c r="J67" s="43" t="s">
        <v>22</v>
      </c>
      <c r="K67" s="45"/>
      <c r="L67" s="51">
        <f>VLOOKUP(A67,'[1]ناتج ملف Excel'!$A:$AV,44,0)</f>
        <v>24504.30528</v>
      </c>
      <c r="M67" s="51">
        <f>VLOOKUP(A67,'[1]ناتج ملف Excel'!$A:$AV,46,0)</f>
        <v>2450.431</v>
      </c>
      <c r="N67" s="51">
        <f>VLOOKUP(A67,'[1]ناتج ملف Excel'!$A:$AV,47,0)</f>
        <v>6126.076</v>
      </c>
      <c r="O67" s="47">
        <f>VLOOKUP(A67,'[1]ناتج ملف Excel'!$A:$AV,48,0)</f>
        <v>500</v>
      </c>
      <c r="P67" s="47">
        <v>0</v>
      </c>
      <c r="Q67" s="48">
        <f t="shared" ref="Q67:Q98" si="14">(L67+M67+N67+O67)/12</f>
        <v>2798.4010233333333</v>
      </c>
      <c r="R67" s="48">
        <f t="shared" ref="R67:R98" si="15">(O67+N67+M67+L67)/12/2</f>
        <v>1399.2005116666667</v>
      </c>
      <c r="S67" s="71">
        <f t="shared" si="13"/>
        <v>3599.0698004000001</v>
      </c>
      <c r="T67" s="47">
        <v>3080</v>
      </c>
      <c r="U67" s="48">
        <f t="shared" ref="U67:U130" si="16">(L67+M67+N67+O67)*2.5/12</f>
        <v>6996.0025583333336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3">
        <f t="shared" ref="AA67:AA98" si="17">SUBTOTAL(9,L67:Z67)</f>
        <v>51453.486173733334</v>
      </c>
      <c r="AB67" s="3">
        <f t="shared" ref="AB67:AB130" si="18">AA67*12</f>
        <v>617441.83408479998</v>
      </c>
      <c r="AC67" s="3">
        <f t="shared" ref="AC67:AC98" si="19">AB67</f>
        <v>617441.83408479998</v>
      </c>
    </row>
    <row r="68" spans="1:29" x14ac:dyDescent="0.2">
      <c r="A68" s="42">
        <v>100114</v>
      </c>
      <c r="B68" s="43">
        <v>5</v>
      </c>
      <c r="C68" s="42" t="s">
        <v>271</v>
      </c>
      <c r="D68" s="38" t="s">
        <v>19</v>
      </c>
      <c r="E68" s="43" t="s">
        <v>261</v>
      </c>
      <c r="F68" s="42" t="s">
        <v>21</v>
      </c>
      <c r="G68" s="43" t="s">
        <v>21</v>
      </c>
      <c r="H68" s="42">
        <v>30</v>
      </c>
      <c r="I68" s="44">
        <v>45438</v>
      </c>
      <c r="J68" s="43" t="s">
        <v>22</v>
      </c>
      <c r="K68" s="45"/>
      <c r="L68" s="51">
        <f>VLOOKUP(A68,'[1]ناتج ملف Excel'!$A:$AV,44,0)</f>
        <v>17690.400000000001</v>
      </c>
      <c r="M68" s="51">
        <f>VLOOKUP(A68,'[1]ناتج ملف Excel'!$A:$AV,46,0)</f>
        <v>1769.04</v>
      </c>
      <c r="N68" s="51">
        <f>VLOOKUP(A68,'[1]ناتج ملف Excel'!$A:$AV,47,0)</f>
        <v>4422.6000000000004</v>
      </c>
      <c r="O68" s="47">
        <f>VLOOKUP(A68,'[1]ناتج ملف Excel'!$A:$AV,48,0)</f>
        <v>300</v>
      </c>
      <c r="P68" s="47">
        <v>0</v>
      </c>
      <c r="Q68" s="48">
        <f t="shared" si="14"/>
        <v>2015.17</v>
      </c>
      <c r="R68" s="48">
        <f t="shared" si="15"/>
        <v>1007.585</v>
      </c>
      <c r="S68" s="71">
        <f t="shared" si="13"/>
        <v>2598.2774999999997</v>
      </c>
      <c r="T68" s="47">
        <v>3080</v>
      </c>
      <c r="U68" s="48">
        <f t="shared" si="16"/>
        <v>5037.9250000000002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3">
        <f t="shared" si="17"/>
        <v>37920.997499999998</v>
      </c>
      <c r="AB68" s="3">
        <f t="shared" si="18"/>
        <v>455051.97</v>
      </c>
      <c r="AC68" s="3">
        <f t="shared" si="19"/>
        <v>455051.97</v>
      </c>
    </row>
    <row r="69" spans="1:29" x14ac:dyDescent="0.2">
      <c r="A69" s="42">
        <v>100116</v>
      </c>
      <c r="B69" s="43">
        <v>8</v>
      </c>
      <c r="C69" s="43" t="s">
        <v>296</v>
      </c>
      <c r="D69" s="38"/>
      <c r="E69" s="43" t="s">
        <v>30</v>
      </c>
      <c r="F69" s="42" t="s">
        <v>21</v>
      </c>
      <c r="G69" s="43" t="s">
        <v>21</v>
      </c>
      <c r="H69" s="42">
        <v>37</v>
      </c>
      <c r="I69" s="44">
        <v>45445</v>
      </c>
      <c r="J69" s="43" t="s">
        <v>22</v>
      </c>
      <c r="K69" s="45"/>
      <c r="L69" s="51">
        <f>VLOOKUP(A69,'[1]ناتج ملف Excel'!$A:$AV,44,0)</f>
        <v>43680</v>
      </c>
      <c r="M69" s="51">
        <f>VLOOKUP(A69,'[1]ناتج ملف Excel'!$A:$AV,46,0)</f>
        <v>3000</v>
      </c>
      <c r="N69" s="51">
        <f>VLOOKUP(A69,'[1]ناتج ملف Excel'!$A:$AV,47,0)</f>
        <v>10920</v>
      </c>
      <c r="O69" s="47">
        <f>VLOOKUP(A69,'[1]ناتج ملف Excel'!$A:$AV,48,0)</f>
        <v>500</v>
      </c>
      <c r="P69" s="47">
        <v>4166.666666666667</v>
      </c>
      <c r="Q69" s="48">
        <f t="shared" si="14"/>
        <v>4841.666666666667</v>
      </c>
      <c r="R69" s="48">
        <f t="shared" si="15"/>
        <v>2420.8333333333335</v>
      </c>
      <c r="S69" s="71">
        <v>5287.5</v>
      </c>
      <c r="T69" s="47">
        <v>3080</v>
      </c>
      <c r="U69" s="48">
        <f t="shared" si="16"/>
        <v>12104.166666666666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3">
        <f t="shared" si="17"/>
        <v>90000.833333333328</v>
      </c>
      <c r="AB69" s="3">
        <f t="shared" si="18"/>
        <v>1080010</v>
      </c>
      <c r="AC69" s="3">
        <f t="shared" si="19"/>
        <v>1080010</v>
      </c>
    </row>
    <row r="70" spans="1:29" x14ac:dyDescent="0.2">
      <c r="A70" s="42">
        <v>100118</v>
      </c>
      <c r="B70" s="43">
        <v>8</v>
      </c>
      <c r="C70" s="43" t="s">
        <v>302</v>
      </c>
      <c r="D70" s="43" t="s">
        <v>25</v>
      </c>
      <c r="E70" s="43" t="s">
        <v>261</v>
      </c>
      <c r="F70" s="42" t="s">
        <v>21</v>
      </c>
      <c r="G70" s="43" t="s">
        <v>21</v>
      </c>
      <c r="H70" s="42">
        <v>40</v>
      </c>
      <c r="I70" s="44">
        <v>45448</v>
      </c>
      <c r="J70" s="43" t="s">
        <v>22</v>
      </c>
      <c r="K70" s="45"/>
      <c r="L70" s="51">
        <f>VLOOKUP(A70,'[1]ناتج ملف Excel'!$A:$AV,44,0)</f>
        <v>46305</v>
      </c>
      <c r="M70" s="51">
        <f>VLOOKUP(A70,'[1]ناتج ملف Excel'!$A:$AV,46,0)</f>
        <v>3000</v>
      </c>
      <c r="N70" s="51">
        <f>VLOOKUP(A70,'[1]ناتج ملف Excel'!$A:$AV,47,0)</f>
        <v>11576.25</v>
      </c>
      <c r="O70" s="47">
        <f>VLOOKUP(A70,'[1]ناتج ملف Excel'!$A:$AV,48,0)</f>
        <v>500</v>
      </c>
      <c r="P70" s="47">
        <v>4166.666666666667</v>
      </c>
      <c r="Q70" s="48">
        <f t="shared" si="14"/>
        <v>5115.104166666667</v>
      </c>
      <c r="R70" s="48">
        <f t="shared" si="15"/>
        <v>2557.5520833333335</v>
      </c>
      <c r="S70" s="71">
        <v>5287.5</v>
      </c>
      <c r="T70" s="47">
        <v>3080</v>
      </c>
      <c r="U70" s="48">
        <f t="shared" si="16"/>
        <v>12787.760416666666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3">
        <f t="shared" si="17"/>
        <v>94375.833333333343</v>
      </c>
      <c r="AB70" s="3">
        <f t="shared" si="18"/>
        <v>1132510</v>
      </c>
      <c r="AC70" s="3">
        <f t="shared" si="19"/>
        <v>1132510</v>
      </c>
    </row>
    <row r="71" spans="1:29" x14ac:dyDescent="0.2">
      <c r="A71" s="42">
        <v>100120</v>
      </c>
      <c r="B71" s="43">
        <v>6</v>
      </c>
      <c r="C71" s="43"/>
      <c r="D71" s="43" t="s">
        <v>293</v>
      </c>
      <c r="E71" s="43" t="s">
        <v>35</v>
      </c>
      <c r="F71" s="42" t="s">
        <v>21</v>
      </c>
      <c r="G71" s="43" t="s">
        <v>21</v>
      </c>
      <c r="H71" s="42">
        <v>45</v>
      </c>
      <c r="I71" s="44">
        <v>45474</v>
      </c>
      <c r="J71" s="43" t="s">
        <v>22</v>
      </c>
      <c r="K71" s="45"/>
      <c r="L71" s="51">
        <f>VLOOKUP(A71,'[1]ناتج ملف Excel'!$A:$AV,44,0)</f>
        <v>15834</v>
      </c>
      <c r="M71" s="51">
        <f>VLOOKUP(A71,'[1]ناتج ملف Excel'!$A:$AV,46,0)</f>
        <v>1583.4</v>
      </c>
      <c r="N71" s="51">
        <f>VLOOKUP(A71,'[1]ناتج ملف Excel'!$A:$AV,47,0)</f>
        <v>3958.5</v>
      </c>
      <c r="O71" s="47">
        <f>VLOOKUP(A71,'[1]ناتج ملف Excel'!$A:$AV,48,0)</f>
        <v>500</v>
      </c>
      <c r="P71" s="47">
        <v>0</v>
      </c>
      <c r="Q71" s="48">
        <f t="shared" si="14"/>
        <v>1822.9916666666668</v>
      </c>
      <c r="R71" s="48">
        <f t="shared" si="15"/>
        <v>911.49583333333339</v>
      </c>
      <c r="S71" s="71">
        <f t="shared" ref="S71:S77" si="20">(L71+N71)*11.75%</f>
        <v>2325.6187500000001</v>
      </c>
      <c r="T71" s="47">
        <v>3080</v>
      </c>
      <c r="U71" s="48">
        <f t="shared" si="16"/>
        <v>4557.479166666667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3">
        <f t="shared" si="17"/>
        <v>34573.48541666667</v>
      </c>
      <c r="AB71" s="3">
        <f t="shared" si="18"/>
        <v>414881.82500000007</v>
      </c>
      <c r="AC71" s="3">
        <f t="shared" si="19"/>
        <v>414881.82500000007</v>
      </c>
    </row>
    <row r="72" spans="1:29" x14ac:dyDescent="0.2">
      <c r="A72" s="42">
        <v>100122</v>
      </c>
      <c r="B72" s="43">
        <v>7</v>
      </c>
      <c r="C72" s="43" t="s">
        <v>23</v>
      </c>
      <c r="D72" s="38"/>
      <c r="E72" s="43" t="s">
        <v>261</v>
      </c>
      <c r="F72" s="42" t="s">
        <v>21</v>
      </c>
      <c r="G72" s="43" t="s">
        <v>21</v>
      </c>
      <c r="H72" s="42">
        <v>33</v>
      </c>
      <c r="I72" s="44">
        <v>45494</v>
      </c>
      <c r="J72" s="43" t="s">
        <v>22</v>
      </c>
      <c r="K72" s="45"/>
      <c r="L72" s="51">
        <f>VLOOKUP(A72,'[1]ناتج ملف Excel'!$A:$AV,44,0)</f>
        <v>26728</v>
      </c>
      <c r="M72" s="51">
        <f>VLOOKUP(A72,'[1]ناتج ملف Excel'!$A:$AV,46,0)</f>
        <v>2672.8</v>
      </c>
      <c r="N72" s="51">
        <f>VLOOKUP(A72,'[1]ناتج ملف Excel'!$A:$AV,47,0)</f>
        <v>6682</v>
      </c>
      <c r="O72" s="47">
        <f>VLOOKUP(A72,'[1]ناتج ملف Excel'!$A:$AV,48,0)</f>
        <v>500</v>
      </c>
      <c r="P72" s="47">
        <v>0</v>
      </c>
      <c r="Q72" s="48">
        <f t="shared" si="14"/>
        <v>3048.5666666666671</v>
      </c>
      <c r="R72" s="48">
        <f t="shared" si="15"/>
        <v>1524.2833333333335</v>
      </c>
      <c r="S72" s="71">
        <f t="shared" si="20"/>
        <v>3925.6749999999997</v>
      </c>
      <c r="T72" s="47">
        <v>3080</v>
      </c>
      <c r="U72" s="48">
        <f t="shared" si="16"/>
        <v>7621.416666666667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3">
        <f t="shared" si="17"/>
        <v>55782.741666666669</v>
      </c>
      <c r="AB72" s="3">
        <f t="shared" si="18"/>
        <v>669392.9</v>
      </c>
      <c r="AC72" s="3">
        <f t="shared" si="19"/>
        <v>669392.9</v>
      </c>
    </row>
    <row r="73" spans="1:29" x14ac:dyDescent="0.2">
      <c r="A73" s="42">
        <v>100124</v>
      </c>
      <c r="B73" s="43">
        <v>7</v>
      </c>
      <c r="C73" s="43"/>
      <c r="D73" s="43" t="s">
        <v>293</v>
      </c>
      <c r="E73" s="43" t="s">
        <v>35</v>
      </c>
      <c r="F73" s="42" t="s">
        <v>21</v>
      </c>
      <c r="G73" s="43" t="s">
        <v>21</v>
      </c>
      <c r="H73" s="42">
        <v>35</v>
      </c>
      <c r="I73" s="44">
        <v>45497</v>
      </c>
      <c r="J73" s="43" t="s">
        <v>22</v>
      </c>
      <c r="K73" s="45"/>
      <c r="L73" s="51">
        <f>VLOOKUP(A73,'[1]ناتج ملف Excel'!$A:$AV,44,0)</f>
        <v>24752</v>
      </c>
      <c r="M73" s="51">
        <f>VLOOKUP(A73,'[1]ناتج ملف Excel'!$A:$AV,46,0)</f>
        <v>2475.1999999999998</v>
      </c>
      <c r="N73" s="51">
        <f>VLOOKUP(A73,'[1]ناتج ملف Excel'!$A:$AV,47,0)</f>
        <v>6188</v>
      </c>
      <c r="O73" s="47">
        <f>VLOOKUP(A73,'[1]ناتج ملف Excel'!$A:$AV,48,0)</f>
        <v>500</v>
      </c>
      <c r="P73" s="47">
        <v>0</v>
      </c>
      <c r="Q73" s="48">
        <f t="shared" si="14"/>
        <v>2826.2666666666664</v>
      </c>
      <c r="R73" s="48">
        <f t="shared" si="15"/>
        <v>1413.1333333333332</v>
      </c>
      <c r="S73" s="71">
        <f t="shared" si="20"/>
        <v>3635.45</v>
      </c>
      <c r="T73" s="47">
        <v>3080</v>
      </c>
      <c r="U73" s="48">
        <f t="shared" si="16"/>
        <v>7065.666666666667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3">
        <f t="shared" si="17"/>
        <v>51935.716666666653</v>
      </c>
      <c r="AB73" s="3">
        <f t="shared" si="18"/>
        <v>623228.59999999986</v>
      </c>
      <c r="AC73" s="3">
        <f t="shared" si="19"/>
        <v>623228.59999999986</v>
      </c>
    </row>
    <row r="74" spans="1:29" x14ac:dyDescent="0.2">
      <c r="A74" s="42">
        <v>100125</v>
      </c>
      <c r="B74" s="43">
        <v>5</v>
      </c>
      <c r="C74" s="43" t="s">
        <v>273</v>
      </c>
      <c r="D74" s="38" t="s">
        <v>24</v>
      </c>
      <c r="E74" s="43" t="s">
        <v>261</v>
      </c>
      <c r="F74" s="42" t="s">
        <v>21</v>
      </c>
      <c r="G74" s="43" t="s">
        <v>21</v>
      </c>
      <c r="H74" s="42">
        <v>31</v>
      </c>
      <c r="I74" s="44">
        <v>45498</v>
      </c>
      <c r="J74" s="43" t="s">
        <v>22</v>
      </c>
      <c r="K74" s="45"/>
      <c r="L74" s="51">
        <f>VLOOKUP(A74,'[1]ناتج ملف Excel'!$A:$AV,44,0)</f>
        <v>15015</v>
      </c>
      <c r="M74" s="51">
        <f>VLOOKUP(A74,'[1]ناتج ملف Excel'!$A:$AV,46,0)</f>
        <v>1501.5</v>
      </c>
      <c r="N74" s="51">
        <f>VLOOKUP(A74,'[1]ناتج ملف Excel'!$A:$AV,47,0)</f>
        <v>3753.75</v>
      </c>
      <c r="O74" s="47">
        <f>VLOOKUP(A74,'[1]ناتج ملف Excel'!$A:$AV,48,0)</f>
        <v>300</v>
      </c>
      <c r="P74" s="47">
        <v>0</v>
      </c>
      <c r="Q74" s="48">
        <f t="shared" si="14"/>
        <v>1714.1875</v>
      </c>
      <c r="R74" s="48">
        <f t="shared" si="15"/>
        <v>857.09375</v>
      </c>
      <c r="S74" s="71">
        <f t="shared" si="20"/>
        <v>2205.328125</v>
      </c>
      <c r="T74" s="47">
        <v>3080</v>
      </c>
      <c r="U74" s="48">
        <f t="shared" si="16"/>
        <v>4285.46875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3">
        <f t="shared" si="17"/>
        <v>32712.328125</v>
      </c>
      <c r="AB74" s="3">
        <f t="shared" si="18"/>
        <v>392547.9375</v>
      </c>
      <c r="AC74" s="3">
        <f t="shared" si="19"/>
        <v>392547.9375</v>
      </c>
    </row>
    <row r="75" spans="1:29" x14ac:dyDescent="0.2">
      <c r="A75" s="42">
        <v>100126</v>
      </c>
      <c r="B75" s="43">
        <v>7</v>
      </c>
      <c r="C75" s="43" t="s">
        <v>49</v>
      </c>
      <c r="D75" s="38"/>
      <c r="E75" s="43" t="s">
        <v>40</v>
      </c>
      <c r="F75" s="42" t="s">
        <v>21</v>
      </c>
      <c r="G75" s="43" t="s">
        <v>21</v>
      </c>
      <c r="H75" s="42">
        <v>65</v>
      </c>
      <c r="I75" s="44">
        <v>45508</v>
      </c>
      <c r="J75" s="43" t="s">
        <v>22</v>
      </c>
      <c r="K75" s="45"/>
      <c r="L75" s="51">
        <f>VLOOKUP(A75,'[1]ناتج ملف Excel'!$A:$AV,44,0)</f>
        <v>23100</v>
      </c>
      <c r="M75" s="51">
        <f>VLOOKUP(A75,'[1]ناتج ملف Excel'!$A:$AV,46,0)</f>
        <v>2310</v>
      </c>
      <c r="N75" s="51">
        <f>VLOOKUP(A75,'[1]ناتج ملف Excel'!$A:$AV,47,0)</f>
        <v>5775</v>
      </c>
      <c r="O75" s="47">
        <f>VLOOKUP(A75,'[1]ناتج ملف Excel'!$A:$AV,48,0)</f>
        <v>500</v>
      </c>
      <c r="P75" s="47">
        <v>0</v>
      </c>
      <c r="Q75" s="48">
        <f t="shared" si="14"/>
        <v>2640.4166666666665</v>
      </c>
      <c r="R75" s="48">
        <f t="shared" si="15"/>
        <v>1320.2083333333333</v>
      </c>
      <c r="S75" s="71">
        <f t="shared" si="20"/>
        <v>3392.8125</v>
      </c>
      <c r="T75" s="47">
        <v>3080</v>
      </c>
      <c r="U75" s="48">
        <f t="shared" si="16"/>
        <v>6601.041666666667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3">
        <f t="shared" si="17"/>
        <v>48719.479166666664</v>
      </c>
      <c r="AB75" s="3">
        <f t="shared" si="18"/>
        <v>584633.75</v>
      </c>
      <c r="AC75" s="3">
        <f t="shared" si="19"/>
        <v>584633.75</v>
      </c>
    </row>
    <row r="76" spans="1:29" x14ac:dyDescent="0.2">
      <c r="A76" s="42">
        <v>100127</v>
      </c>
      <c r="B76" s="43">
        <v>7</v>
      </c>
      <c r="C76" s="42" t="s">
        <v>44</v>
      </c>
      <c r="D76" s="38"/>
      <c r="E76" s="43" t="s">
        <v>42</v>
      </c>
      <c r="F76" s="42" t="s">
        <v>21</v>
      </c>
      <c r="G76" s="43" t="s">
        <v>21</v>
      </c>
      <c r="H76" s="42">
        <v>33</v>
      </c>
      <c r="I76" s="44">
        <v>45505</v>
      </c>
      <c r="J76" s="43" t="s">
        <v>22</v>
      </c>
      <c r="K76" s="45"/>
      <c r="L76" s="51">
        <f>VLOOKUP(A76,'[1]ناتج ملف Excel'!$A:$AV,44,0)</f>
        <v>19200.896000000001</v>
      </c>
      <c r="M76" s="51">
        <f>VLOOKUP(A76,'[1]ناتج ملف Excel'!$A:$AV,46,0)</f>
        <v>1920.09</v>
      </c>
      <c r="N76" s="51">
        <f>VLOOKUP(A76,'[1]ناتج ملف Excel'!$A:$AV,47,0)</f>
        <v>4800.2240000000002</v>
      </c>
      <c r="O76" s="47">
        <f>VLOOKUP(A76,'[1]ناتج ملف Excel'!$A:$AV,48,0)</f>
        <v>500</v>
      </c>
      <c r="P76" s="47">
        <v>0</v>
      </c>
      <c r="Q76" s="48">
        <f t="shared" si="14"/>
        <v>2201.7674999999999</v>
      </c>
      <c r="R76" s="48">
        <f t="shared" si="15"/>
        <v>1100.88375</v>
      </c>
      <c r="S76" s="71">
        <f t="shared" si="20"/>
        <v>2820.1316000000002</v>
      </c>
      <c r="T76" s="47">
        <v>3080</v>
      </c>
      <c r="U76" s="48">
        <f t="shared" si="16"/>
        <v>5504.4187499999998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3">
        <f t="shared" si="17"/>
        <v>41128.411599999999</v>
      </c>
      <c r="AB76" s="3">
        <f t="shared" si="18"/>
        <v>493540.93920000002</v>
      </c>
      <c r="AC76" s="3">
        <f t="shared" si="19"/>
        <v>493540.93920000002</v>
      </c>
    </row>
    <row r="77" spans="1:29" x14ac:dyDescent="0.2">
      <c r="A77" s="42">
        <v>100128</v>
      </c>
      <c r="B77" s="43">
        <v>7</v>
      </c>
      <c r="C77" s="42" t="s">
        <v>42</v>
      </c>
      <c r="D77" s="38"/>
      <c r="E77" s="43" t="s">
        <v>42</v>
      </c>
      <c r="F77" s="42" t="s">
        <v>21</v>
      </c>
      <c r="G77" s="43" t="s">
        <v>21</v>
      </c>
      <c r="H77" s="42">
        <v>39</v>
      </c>
      <c r="I77" s="44">
        <v>45505</v>
      </c>
      <c r="J77" s="43" t="s">
        <v>22</v>
      </c>
      <c r="K77" s="45"/>
      <c r="L77" s="51">
        <f>VLOOKUP(A77,'[1]ناتج ملف Excel'!$A:$AV,44,0)</f>
        <v>17455.36</v>
      </c>
      <c r="M77" s="51">
        <f>VLOOKUP(A77,'[1]ناتج ملف Excel'!$A:$AV,46,0)</f>
        <v>1745.5360000000001</v>
      </c>
      <c r="N77" s="51">
        <f>VLOOKUP(A77,'[1]ناتج ملف Excel'!$A:$AV,47,0)</f>
        <v>4363.84</v>
      </c>
      <c r="O77" s="47">
        <f>VLOOKUP(A77,'[1]ناتج ملف Excel'!$A:$AV,48,0)</f>
        <v>500</v>
      </c>
      <c r="P77" s="47">
        <v>6250</v>
      </c>
      <c r="Q77" s="48">
        <f t="shared" si="14"/>
        <v>2005.3946666666668</v>
      </c>
      <c r="R77" s="48">
        <f t="shared" si="15"/>
        <v>1002.6973333333334</v>
      </c>
      <c r="S77" s="71">
        <f t="shared" si="20"/>
        <v>2563.7559999999999</v>
      </c>
      <c r="T77" s="47">
        <v>3080</v>
      </c>
      <c r="U77" s="48">
        <f t="shared" si="16"/>
        <v>5013.4866666666667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3">
        <f t="shared" si="17"/>
        <v>43980.070666666667</v>
      </c>
      <c r="AB77" s="3">
        <f t="shared" si="18"/>
        <v>527760.848</v>
      </c>
      <c r="AC77" s="3">
        <f t="shared" si="19"/>
        <v>527760.848</v>
      </c>
    </row>
    <row r="78" spans="1:29" x14ac:dyDescent="0.2">
      <c r="A78" s="42">
        <v>100129</v>
      </c>
      <c r="B78" s="43">
        <v>8</v>
      </c>
      <c r="C78" s="38"/>
      <c r="D78" s="43" t="s">
        <v>297</v>
      </c>
      <c r="E78" s="43" t="s">
        <v>30</v>
      </c>
      <c r="F78" s="42" t="s">
        <v>21</v>
      </c>
      <c r="G78" s="43" t="s">
        <v>21</v>
      </c>
      <c r="H78" s="42">
        <v>40</v>
      </c>
      <c r="I78" s="44">
        <v>45515</v>
      </c>
      <c r="J78" s="43" t="s">
        <v>22</v>
      </c>
      <c r="K78" s="45"/>
      <c r="L78" s="51">
        <f>VLOOKUP(A78,'[1]ناتج ملف Excel'!$A:$AV,44,0)</f>
        <v>41000</v>
      </c>
      <c r="M78" s="51">
        <f>VLOOKUP(A78,'[1]ناتج ملف Excel'!$A:$AV,46,0)</f>
        <v>3000</v>
      </c>
      <c r="N78" s="51">
        <f>VLOOKUP(A78,'[1]ناتج ملف Excel'!$A:$AV,47,0)</f>
        <v>10250</v>
      </c>
      <c r="O78" s="47">
        <f>VLOOKUP(A78,'[1]ناتج ملف Excel'!$A:$AV,48,0)</f>
        <v>500</v>
      </c>
      <c r="P78" s="47">
        <v>0</v>
      </c>
      <c r="Q78" s="48">
        <f t="shared" si="14"/>
        <v>4562.5</v>
      </c>
      <c r="R78" s="48">
        <f t="shared" si="15"/>
        <v>2281.25</v>
      </c>
      <c r="S78" s="71">
        <v>5287.5</v>
      </c>
      <c r="T78" s="47">
        <v>3080</v>
      </c>
      <c r="U78" s="48">
        <f t="shared" si="16"/>
        <v>11406.25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3">
        <f t="shared" si="17"/>
        <v>81367.5</v>
      </c>
      <c r="AB78" s="3">
        <f t="shared" si="18"/>
        <v>976410</v>
      </c>
      <c r="AC78" s="3">
        <f t="shared" si="19"/>
        <v>976410</v>
      </c>
    </row>
    <row r="79" spans="1:29" x14ac:dyDescent="0.2">
      <c r="A79" s="42">
        <v>100131</v>
      </c>
      <c r="B79" s="43">
        <v>7</v>
      </c>
      <c r="C79" s="42" t="s">
        <v>43</v>
      </c>
      <c r="D79" s="38"/>
      <c r="E79" s="43" t="s">
        <v>42</v>
      </c>
      <c r="F79" s="42" t="s">
        <v>21</v>
      </c>
      <c r="G79" s="43" t="s">
        <v>21</v>
      </c>
      <c r="H79" s="42">
        <v>38</v>
      </c>
      <c r="I79" s="44">
        <v>45536</v>
      </c>
      <c r="J79" s="43" t="s">
        <v>22</v>
      </c>
      <c r="K79" s="45"/>
      <c r="L79" s="51">
        <f>VLOOKUP(A79,'[1]ناتج ملف Excel'!$A:$AV,44,0)</f>
        <v>17455.36</v>
      </c>
      <c r="M79" s="51">
        <f>VLOOKUP(A79,'[1]ناتج ملف Excel'!$A:$AV,46,0)</f>
        <v>1745.5360000000001</v>
      </c>
      <c r="N79" s="51">
        <f>VLOOKUP(A79,'[1]ناتج ملف Excel'!$A:$AV,47,0)</f>
        <v>4363.84</v>
      </c>
      <c r="O79" s="47">
        <f>VLOOKUP(A79,'[1]ناتج ملف Excel'!$A:$AV,48,0)</f>
        <v>500</v>
      </c>
      <c r="P79" s="47">
        <v>0</v>
      </c>
      <c r="Q79" s="48">
        <f t="shared" si="14"/>
        <v>2005.3946666666668</v>
      </c>
      <c r="R79" s="48">
        <f t="shared" si="15"/>
        <v>1002.6973333333334</v>
      </c>
      <c r="S79" s="71">
        <f>(L79+N79)*11.75%</f>
        <v>2563.7559999999999</v>
      </c>
      <c r="T79" s="47">
        <v>3080</v>
      </c>
      <c r="U79" s="48">
        <f t="shared" si="16"/>
        <v>5013.4866666666667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3">
        <f t="shared" si="17"/>
        <v>37730.070666666667</v>
      </c>
      <c r="AB79" s="3">
        <f t="shared" si="18"/>
        <v>452760.848</v>
      </c>
      <c r="AC79" s="3">
        <f t="shared" si="19"/>
        <v>452760.848</v>
      </c>
    </row>
    <row r="80" spans="1:29" x14ac:dyDescent="0.2">
      <c r="A80" s="42">
        <v>100132</v>
      </c>
      <c r="B80" s="43">
        <v>7</v>
      </c>
      <c r="C80" s="43" t="s">
        <v>57</v>
      </c>
      <c r="D80" s="43" t="s">
        <v>293</v>
      </c>
      <c r="E80" s="43" t="s">
        <v>35</v>
      </c>
      <c r="F80" s="42" t="s">
        <v>21</v>
      </c>
      <c r="G80" s="43" t="s">
        <v>21</v>
      </c>
      <c r="H80" s="42">
        <v>34</v>
      </c>
      <c r="I80" s="44">
        <v>45536</v>
      </c>
      <c r="J80" s="43" t="s">
        <v>22</v>
      </c>
      <c r="K80" s="45"/>
      <c r="L80" s="51">
        <f>VLOOKUP(A80,'[1]ناتج ملف Excel'!$A:$AV,44,0)</f>
        <v>30135</v>
      </c>
      <c r="M80" s="51">
        <f>VLOOKUP(A80,'[1]ناتج ملف Excel'!$A:$AV,46,0)</f>
        <v>3000</v>
      </c>
      <c r="N80" s="51">
        <f>VLOOKUP(A80,'[1]ناتج ملف Excel'!$A:$AV,47,0)</f>
        <v>7533.75</v>
      </c>
      <c r="O80" s="47">
        <f>VLOOKUP(A80,'[1]ناتج ملف Excel'!$A:$AV,48,0)</f>
        <v>500</v>
      </c>
      <c r="P80" s="47">
        <v>0</v>
      </c>
      <c r="Q80" s="48">
        <f t="shared" si="14"/>
        <v>3430.7291666666665</v>
      </c>
      <c r="R80" s="48">
        <f t="shared" si="15"/>
        <v>1715.3645833333333</v>
      </c>
      <c r="S80" s="71">
        <f>(L80+N80)*11.75%</f>
        <v>4426.078125</v>
      </c>
      <c r="T80" s="47">
        <v>3080</v>
      </c>
      <c r="U80" s="48">
        <f t="shared" si="16"/>
        <v>8576.8229166666661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3">
        <f t="shared" si="17"/>
        <v>62397.744791666664</v>
      </c>
      <c r="AB80" s="3">
        <f t="shared" si="18"/>
        <v>748772.9375</v>
      </c>
      <c r="AC80" s="3">
        <f t="shared" si="19"/>
        <v>748772.9375</v>
      </c>
    </row>
    <row r="81" spans="1:29" x14ac:dyDescent="0.2">
      <c r="A81" s="42">
        <v>100134</v>
      </c>
      <c r="B81" s="43">
        <v>7</v>
      </c>
      <c r="C81" s="42" t="s">
        <v>43</v>
      </c>
      <c r="D81" s="38"/>
      <c r="E81" s="43" t="s">
        <v>42</v>
      </c>
      <c r="F81" s="42" t="s">
        <v>21</v>
      </c>
      <c r="G81" s="43" t="s">
        <v>21</v>
      </c>
      <c r="H81" s="42">
        <v>34</v>
      </c>
      <c r="I81" s="44">
        <v>45536</v>
      </c>
      <c r="J81" s="43" t="s">
        <v>22</v>
      </c>
      <c r="K81" s="45"/>
      <c r="L81" s="51">
        <f>VLOOKUP(A81,'[1]ناتج ملف Excel'!$A:$AV,44,0)</f>
        <v>17455.36</v>
      </c>
      <c r="M81" s="51">
        <f>VLOOKUP(A81,'[1]ناتج ملف Excel'!$A:$AV,46,0)</f>
        <v>1745.5360000000001</v>
      </c>
      <c r="N81" s="51">
        <f>VLOOKUP(A81,'[1]ناتج ملف Excel'!$A:$AV,47,0)</f>
        <v>4363.84</v>
      </c>
      <c r="O81" s="47">
        <f>VLOOKUP(A81,'[1]ناتج ملف Excel'!$A:$AV,48,0)</f>
        <v>500</v>
      </c>
      <c r="P81" s="47">
        <v>2083.3333333333335</v>
      </c>
      <c r="Q81" s="48">
        <f t="shared" si="14"/>
        <v>2005.3946666666668</v>
      </c>
      <c r="R81" s="48">
        <f t="shared" si="15"/>
        <v>1002.6973333333334</v>
      </c>
      <c r="S81" s="71">
        <f>(L81+N81)*11.75%</f>
        <v>2563.7559999999999</v>
      </c>
      <c r="T81" s="47">
        <v>3080</v>
      </c>
      <c r="U81" s="48">
        <f t="shared" si="16"/>
        <v>5013.4866666666667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3">
        <f t="shared" si="17"/>
        <v>39813.403999999995</v>
      </c>
      <c r="AB81" s="3">
        <f t="shared" si="18"/>
        <v>477760.84799999994</v>
      </c>
      <c r="AC81" s="3">
        <f t="shared" si="19"/>
        <v>477760.84799999994</v>
      </c>
    </row>
    <row r="82" spans="1:29" x14ac:dyDescent="0.2">
      <c r="A82" s="42">
        <v>100135</v>
      </c>
      <c r="B82" s="43">
        <v>8</v>
      </c>
      <c r="C82" s="43" t="s">
        <v>57</v>
      </c>
      <c r="D82" s="43" t="s">
        <v>39</v>
      </c>
      <c r="E82" s="43" t="s">
        <v>40</v>
      </c>
      <c r="F82" s="42" t="s">
        <v>21</v>
      </c>
      <c r="G82" s="43" t="s">
        <v>21</v>
      </c>
      <c r="H82" s="42">
        <v>44</v>
      </c>
      <c r="I82" s="44">
        <v>45536</v>
      </c>
      <c r="J82" s="43" t="s">
        <v>22</v>
      </c>
      <c r="K82" s="45"/>
      <c r="L82" s="51">
        <f>VLOOKUP(A82,'[1]ناتج ملف Excel'!$A:$AV,44,0)</f>
        <v>26649</v>
      </c>
      <c r="M82" s="51">
        <f>VLOOKUP(A82,'[1]ناتج ملف Excel'!$A:$AV,46,0)</f>
        <v>2664.9</v>
      </c>
      <c r="N82" s="51">
        <f>VLOOKUP(A82,'[1]ناتج ملف Excel'!$A:$AV,47,0)</f>
        <v>6662.25</v>
      </c>
      <c r="O82" s="47">
        <f>VLOOKUP(A82,'[1]ناتج ملف Excel'!$A:$AV,48,0)</f>
        <v>500</v>
      </c>
      <c r="P82" s="47">
        <v>4166.666666666667</v>
      </c>
      <c r="Q82" s="48">
        <f t="shared" si="14"/>
        <v>3039.6791666666668</v>
      </c>
      <c r="R82" s="48">
        <f t="shared" si="15"/>
        <v>1519.8395833333334</v>
      </c>
      <c r="S82" s="71">
        <f>(L82+N82)*11.75%</f>
        <v>3914.0718749999996</v>
      </c>
      <c r="T82" s="47">
        <v>3080</v>
      </c>
      <c r="U82" s="48">
        <f t="shared" si="16"/>
        <v>7599.197916666667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3">
        <f t="shared" si="17"/>
        <v>59795.605208333334</v>
      </c>
      <c r="AB82" s="3">
        <f t="shared" si="18"/>
        <v>717547.26249999995</v>
      </c>
      <c r="AC82" s="3">
        <f t="shared" si="19"/>
        <v>717547.26249999995</v>
      </c>
    </row>
    <row r="83" spans="1:29" x14ac:dyDescent="0.2">
      <c r="A83" s="42">
        <v>100136</v>
      </c>
      <c r="B83" s="43">
        <v>8</v>
      </c>
      <c r="C83" s="43" t="s">
        <v>49</v>
      </c>
      <c r="D83" s="38"/>
      <c r="E83" s="43" t="s">
        <v>40</v>
      </c>
      <c r="F83" s="42" t="s">
        <v>21</v>
      </c>
      <c r="G83" s="43" t="s">
        <v>21</v>
      </c>
      <c r="H83" s="42">
        <v>40</v>
      </c>
      <c r="I83" s="44">
        <v>45536</v>
      </c>
      <c r="J83" s="43" t="s">
        <v>22</v>
      </c>
      <c r="K83" s="45"/>
      <c r="L83" s="51">
        <f>VLOOKUP(A83,'[1]ناتج ملف Excel'!$A:$AV,44,0)</f>
        <v>26649</v>
      </c>
      <c r="M83" s="51">
        <f>VLOOKUP(A83,'[1]ناتج ملف Excel'!$A:$AV,46,0)</f>
        <v>2664.9</v>
      </c>
      <c r="N83" s="51">
        <f>VLOOKUP(A83,'[1]ناتج ملف Excel'!$A:$AV,47,0)</f>
        <v>6662.25</v>
      </c>
      <c r="O83" s="47">
        <f>VLOOKUP(A83,'[1]ناتج ملف Excel'!$A:$AV,48,0)</f>
        <v>500</v>
      </c>
      <c r="P83" s="47">
        <v>4166.666666666667</v>
      </c>
      <c r="Q83" s="48">
        <f t="shared" si="14"/>
        <v>3039.6791666666668</v>
      </c>
      <c r="R83" s="48">
        <f t="shared" si="15"/>
        <v>1519.8395833333334</v>
      </c>
      <c r="S83" s="71">
        <f>(L83+N83)*11.75%</f>
        <v>3914.0718749999996</v>
      </c>
      <c r="T83" s="47">
        <v>3080</v>
      </c>
      <c r="U83" s="48">
        <f t="shared" si="16"/>
        <v>7599.197916666667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3">
        <f t="shared" si="17"/>
        <v>59795.605208333334</v>
      </c>
      <c r="AB83" s="3">
        <f t="shared" si="18"/>
        <v>717547.26249999995</v>
      </c>
      <c r="AC83" s="3">
        <f t="shared" si="19"/>
        <v>717547.26249999995</v>
      </c>
    </row>
    <row r="84" spans="1:29" x14ac:dyDescent="0.2">
      <c r="A84" s="42">
        <v>100137</v>
      </c>
      <c r="B84" s="43">
        <v>9</v>
      </c>
      <c r="C84" s="43" t="s">
        <v>57</v>
      </c>
      <c r="D84" s="43" t="s">
        <v>39</v>
      </c>
      <c r="E84" s="43" t="s">
        <v>40</v>
      </c>
      <c r="F84" s="42" t="s">
        <v>21</v>
      </c>
      <c r="G84" s="43" t="s">
        <v>21</v>
      </c>
      <c r="H84" s="42">
        <v>45</v>
      </c>
      <c r="I84" s="44">
        <v>45536</v>
      </c>
      <c r="J84" s="43" t="s">
        <v>22</v>
      </c>
      <c r="K84" s="45"/>
      <c r="L84" s="51">
        <f>VLOOKUP(A84,'[1]ناتج ملف Excel'!$A:$AV,44,0)</f>
        <v>39690</v>
      </c>
      <c r="M84" s="51">
        <f>VLOOKUP(A84,'[1]ناتج ملف Excel'!$A:$AV,46,0)</f>
        <v>3500</v>
      </c>
      <c r="N84" s="51">
        <f>VLOOKUP(A84,'[1]ناتج ملف Excel'!$A:$AV,47,0)</f>
        <v>9922.5</v>
      </c>
      <c r="O84" s="47">
        <f>VLOOKUP(A84,'[1]ناتج ملف Excel'!$A:$AV,48,0)</f>
        <v>800</v>
      </c>
      <c r="P84" s="47">
        <v>8333.3333333333339</v>
      </c>
      <c r="Q84" s="48">
        <f t="shared" si="14"/>
        <v>4492.708333333333</v>
      </c>
      <c r="R84" s="48">
        <f t="shared" si="15"/>
        <v>2246.3541666666665</v>
      </c>
      <c r="S84" s="71">
        <v>5287.5</v>
      </c>
      <c r="T84" s="47">
        <v>3080</v>
      </c>
      <c r="U84" s="48">
        <f t="shared" si="16"/>
        <v>11231.770833333334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3">
        <f t="shared" si="17"/>
        <v>88584.166666666672</v>
      </c>
      <c r="AB84" s="3">
        <f t="shared" si="18"/>
        <v>1063010</v>
      </c>
      <c r="AC84" s="3">
        <f t="shared" si="19"/>
        <v>1063010</v>
      </c>
    </row>
    <row r="85" spans="1:29" x14ac:dyDescent="0.2">
      <c r="A85" s="42">
        <v>100138</v>
      </c>
      <c r="B85" s="43">
        <v>5</v>
      </c>
      <c r="C85" s="42" t="s">
        <v>43</v>
      </c>
      <c r="D85" s="38"/>
      <c r="E85" s="43" t="s">
        <v>42</v>
      </c>
      <c r="F85" s="42" t="s">
        <v>21</v>
      </c>
      <c r="G85" s="43" t="s">
        <v>21</v>
      </c>
      <c r="H85" s="42">
        <v>55</v>
      </c>
      <c r="I85" s="44">
        <v>45536</v>
      </c>
      <c r="J85" s="43" t="s">
        <v>22</v>
      </c>
      <c r="K85" s="45"/>
      <c r="L85" s="51">
        <f>VLOOKUP(A85,'[1]ناتج ملف Excel'!$A:$AV,44,0)</f>
        <v>11564.8</v>
      </c>
      <c r="M85" s="51">
        <f>VLOOKUP(A85,'[1]ناتج ملف Excel'!$A:$AV,46,0)</f>
        <v>1156.48</v>
      </c>
      <c r="N85" s="51">
        <f>VLOOKUP(A85,'[1]ناتج ملف Excel'!$A:$AV,47,0)</f>
        <v>2891.2</v>
      </c>
      <c r="O85" s="47">
        <v>0</v>
      </c>
      <c r="P85" s="47">
        <v>0</v>
      </c>
      <c r="Q85" s="48">
        <f t="shared" si="14"/>
        <v>1301.04</v>
      </c>
      <c r="R85" s="48">
        <f t="shared" si="15"/>
        <v>650.52</v>
      </c>
      <c r="S85" s="71">
        <f t="shared" ref="S85:S103" si="21">(L85+N85)*11.75%</f>
        <v>1698.58</v>
      </c>
      <c r="T85" s="47">
        <v>3080</v>
      </c>
      <c r="U85" s="48">
        <f t="shared" si="16"/>
        <v>3252.6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3">
        <f t="shared" si="17"/>
        <v>25595.22</v>
      </c>
      <c r="AB85" s="3">
        <f t="shared" si="18"/>
        <v>307142.64</v>
      </c>
      <c r="AC85" s="3">
        <f t="shared" si="19"/>
        <v>307142.64</v>
      </c>
    </row>
    <row r="86" spans="1:29" x14ac:dyDescent="0.2">
      <c r="A86" s="42">
        <v>100139</v>
      </c>
      <c r="B86" s="43">
        <v>4</v>
      </c>
      <c r="C86" s="38"/>
      <c r="D86" s="43" t="s">
        <v>23</v>
      </c>
      <c r="E86" s="43" t="s">
        <v>261</v>
      </c>
      <c r="F86" s="42" t="s">
        <v>21</v>
      </c>
      <c r="G86" s="43" t="s">
        <v>21</v>
      </c>
      <c r="H86" s="42">
        <v>46</v>
      </c>
      <c r="I86" s="44">
        <v>45550</v>
      </c>
      <c r="J86" s="43" t="s">
        <v>22</v>
      </c>
      <c r="K86" s="45"/>
      <c r="L86" s="51">
        <f>VLOOKUP(A86,'[1]ناتج ملف Excel'!$A:$AV,44,0)</f>
        <v>8829.6</v>
      </c>
      <c r="M86" s="51">
        <f>VLOOKUP(A86,'[1]ناتج ملف Excel'!$A:$AV,46,0)</f>
        <v>882.96</v>
      </c>
      <c r="N86" s="51">
        <f>VLOOKUP(A86,'[1]ناتج ملف Excel'!$A:$AV,47,0)</f>
        <v>2207.4</v>
      </c>
      <c r="O86" s="47">
        <f>VLOOKUP(A86,'[1]ناتج ملف Excel'!$A:$AV,48,0)</f>
        <v>300</v>
      </c>
      <c r="P86" s="47">
        <v>0</v>
      </c>
      <c r="Q86" s="48">
        <f t="shared" si="14"/>
        <v>1018.33</v>
      </c>
      <c r="R86" s="48">
        <f t="shared" si="15"/>
        <v>509.16500000000002</v>
      </c>
      <c r="S86" s="71">
        <f t="shared" si="21"/>
        <v>1296.8474999999999</v>
      </c>
      <c r="T86" s="47">
        <v>3080</v>
      </c>
      <c r="U86" s="48">
        <f t="shared" si="16"/>
        <v>2545.8250000000003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3">
        <f t="shared" si="17"/>
        <v>20670.127500000002</v>
      </c>
      <c r="AB86" s="3">
        <f t="shared" si="18"/>
        <v>248041.53000000003</v>
      </c>
      <c r="AC86" s="3">
        <f t="shared" si="19"/>
        <v>248041.53000000003</v>
      </c>
    </row>
    <row r="87" spans="1:29" x14ac:dyDescent="0.2">
      <c r="A87" s="42">
        <v>100140</v>
      </c>
      <c r="B87" s="43">
        <v>9</v>
      </c>
      <c r="C87" s="42" t="s">
        <v>32</v>
      </c>
      <c r="D87" s="43" t="s">
        <v>33</v>
      </c>
      <c r="E87" s="38"/>
      <c r="F87" s="42" t="s">
        <v>21</v>
      </c>
      <c r="G87" s="43" t="s">
        <v>21</v>
      </c>
      <c r="H87" s="42">
        <v>45</v>
      </c>
      <c r="I87" s="44">
        <v>45543</v>
      </c>
      <c r="J87" s="43" t="s">
        <v>22</v>
      </c>
      <c r="K87" s="45"/>
      <c r="L87" s="51">
        <f>VLOOKUP(A87,'[1]ناتج ملف Excel'!$A:$AV,44,0)</f>
        <v>68952</v>
      </c>
      <c r="M87" s="51">
        <f>VLOOKUP(A87,'[1]ناتج ملف Excel'!$A:$AV,46,0)</f>
        <v>3500</v>
      </c>
      <c r="N87" s="51">
        <f>VLOOKUP(A87,'[1]ناتج ملف Excel'!$A:$AV,47,0)</f>
        <v>17238</v>
      </c>
      <c r="O87" s="47">
        <f>VLOOKUP(A87,'[1]ناتج ملف Excel'!$A:$AV,48,0)</f>
        <v>800</v>
      </c>
      <c r="P87" s="47">
        <v>4166.666666666667</v>
      </c>
      <c r="Q87" s="48">
        <f t="shared" si="14"/>
        <v>7540.833333333333</v>
      </c>
      <c r="R87" s="48">
        <f t="shared" si="15"/>
        <v>3770.4166666666665</v>
      </c>
      <c r="S87" s="71">
        <v>5287.5</v>
      </c>
      <c r="T87" s="47">
        <v>3080</v>
      </c>
      <c r="U87" s="48">
        <f t="shared" si="16"/>
        <v>18852.083333333332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3">
        <f t="shared" si="17"/>
        <v>133187.5</v>
      </c>
      <c r="AB87" s="3">
        <f t="shared" si="18"/>
        <v>1598250</v>
      </c>
      <c r="AC87" s="3">
        <f t="shared" si="19"/>
        <v>1598250</v>
      </c>
    </row>
    <row r="88" spans="1:29" x14ac:dyDescent="0.2">
      <c r="A88" s="42">
        <v>100141</v>
      </c>
      <c r="B88" s="43">
        <v>7</v>
      </c>
      <c r="C88" s="43" t="s">
        <v>57</v>
      </c>
      <c r="D88" s="43" t="s">
        <v>293</v>
      </c>
      <c r="E88" s="43" t="s">
        <v>35</v>
      </c>
      <c r="F88" s="42" t="s">
        <v>21</v>
      </c>
      <c r="G88" s="43" t="s">
        <v>21</v>
      </c>
      <c r="H88" s="42">
        <v>32</v>
      </c>
      <c r="I88" s="44">
        <v>45566</v>
      </c>
      <c r="J88" s="43" t="s">
        <v>22</v>
      </c>
      <c r="K88" s="45"/>
      <c r="L88" s="51">
        <f>VLOOKUP(A88,'[1]ناتج ملف Excel'!$A:$AV,44,0)</f>
        <v>17455.36</v>
      </c>
      <c r="M88" s="51">
        <f>VLOOKUP(A88,'[1]ناتج ملف Excel'!$A:$AV,46,0)</f>
        <v>1745.5360000000001</v>
      </c>
      <c r="N88" s="51">
        <f>VLOOKUP(A88,'[1]ناتج ملف Excel'!$A:$AV,47,0)</f>
        <v>4363.84</v>
      </c>
      <c r="O88" s="47">
        <f>VLOOKUP(A88,'[1]ناتج ملف Excel'!$A:$AV,48,0)</f>
        <v>500</v>
      </c>
      <c r="P88" s="47">
        <v>0</v>
      </c>
      <c r="Q88" s="48">
        <f t="shared" si="14"/>
        <v>2005.3946666666668</v>
      </c>
      <c r="R88" s="48">
        <f t="shared" si="15"/>
        <v>1002.6973333333334</v>
      </c>
      <c r="S88" s="71">
        <f t="shared" si="21"/>
        <v>2563.7559999999999</v>
      </c>
      <c r="T88" s="47">
        <v>3080</v>
      </c>
      <c r="U88" s="48">
        <f t="shared" si="16"/>
        <v>5013.4866666666667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3">
        <f t="shared" si="17"/>
        <v>37730.070666666667</v>
      </c>
      <c r="AB88" s="3">
        <f t="shared" si="18"/>
        <v>452760.848</v>
      </c>
      <c r="AC88" s="3">
        <f t="shared" si="19"/>
        <v>452760.848</v>
      </c>
    </row>
    <row r="89" spans="1:29" x14ac:dyDescent="0.2">
      <c r="A89" s="42">
        <v>100142</v>
      </c>
      <c r="B89" s="43">
        <v>4</v>
      </c>
      <c r="C89" s="43" t="s">
        <v>25</v>
      </c>
      <c r="D89" s="43" t="s">
        <v>25</v>
      </c>
      <c r="E89" s="43" t="s">
        <v>261</v>
      </c>
      <c r="F89" s="42" t="s">
        <v>21</v>
      </c>
      <c r="G89" s="43" t="s">
        <v>21</v>
      </c>
      <c r="H89" s="42">
        <v>28</v>
      </c>
      <c r="I89" s="44">
        <v>45571</v>
      </c>
      <c r="J89" s="43" t="s">
        <v>22</v>
      </c>
      <c r="K89" s="45"/>
      <c r="L89" s="51">
        <f>VLOOKUP(A89,'[1]ناتج ملف Excel'!$A:$AV,44,0)</f>
        <v>9464</v>
      </c>
      <c r="M89" s="51">
        <f>VLOOKUP(A89,'[1]ناتج ملف Excel'!$A:$AV,46,0)</f>
        <v>946.4</v>
      </c>
      <c r="N89" s="51">
        <f>VLOOKUP(A89,'[1]ناتج ملف Excel'!$A:$AV,47,0)</f>
        <v>2366</v>
      </c>
      <c r="O89" s="47">
        <f>VLOOKUP(A89,'[1]ناتج ملف Excel'!$A:$AV,48,0)</f>
        <v>300</v>
      </c>
      <c r="P89" s="47">
        <v>0</v>
      </c>
      <c r="Q89" s="48">
        <f t="shared" si="14"/>
        <v>1089.7</v>
      </c>
      <c r="R89" s="48">
        <f t="shared" si="15"/>
        <v>544.85</v>
      </c>
      <c r="S89" s="71">
        <f t="shared" si="21"/>
        <v>1390.0249999999999</v>
      </c>
      <c r="T89" s="47">
        <v>3080</v>
      </c>
      <c r="U89" s="48">
        <f t="shared" si="16"/>
        <v>2724.25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3">
        <f t="shared" si="17"/>
        <v>21905.224999999999</v>
      </c>
      <c r="AB89" s="3">
        <f t="shared" si="18"/>
        <v>262862.69999999995</v>
      </c>
      <c r="AC89" s="3">
        <f t="shared" si="19"/>
        <v>262862.69999999995</v>
      </c>
    </row>
    <row r="90" spans="1:29" x14ac:dyDescent="0.2">
      <c r="A90" s="42">
        <v>100143</v>
      </c>
      <c r="B90" s="43">
        <v>5</v>
      </c>
      <c r="C90" s="43" t="s">
        <v>25</v>
      </c>
      <c r="D90" s="43" t="s">
        <v>25</v>
      </c>
      <c r="E90" s="43" t="s">
        <v>261</v>
      </c>
      <c r="F90" s="42" t="s">
        <v>21</v>
      </c>
      <c r="G90" s="43" t="s">
        <v>21</v>
      </c>
      <c r="H90" s="42">
        <v>33</v>
      </c>
      <c r="I90" s="44">
        <v>45571</v>
      </c>
      <c r="J90" s="43" t="s">
        <v>22</v>
      </c>
      <c r="K90" s="45"/>
      <c r="L90" s="51">
        <f>VLOOKUP(A90,'[1]ناتج ملف Excel'!$A:$AV,44,0)</f>
        <v>12243</v>
      </c>
      <c r="M90" s="51">
        <f>VLOOKUP(A90,'[1]ناتج ملف Excel'!$A:$AV,46,0)</f>
        <v>1224.3</v>
      </c>
      <c r="N90" s="51">
        <f>VLOOKUP(A90,'[1]ناتج ملف Excel'!$A:$AV,47,0)</f>
        <v>3060.75</v>
      </c>
      <c r="O90" s="47">
        <f>VLOOKUP(A90,'[1]ناتج ملف Excel'!$A:$AV,48,0)</f>
        <v>300</v>
      </c>
      <c r="P90" s="47">
        <v>0</v>
      </c>
      <c r="Q90" s="48">
        <f t="shared" si="14"/>
        <v>1402.3374999999999</v>
      </c>
      <c r="R90" s="48">
        <f t="shared" si="15"/>
        <v>701.16874999999993</v>
      </c>
      <c r="S90" s="71">
        <f t="shared" si="21"/>
        <v>1798.190625</v>
      </c>
      <c r="T90" s="47">
        <v>3080</v>
      </c>
      <c r="U90" s="48">
        <f t="shared" si="16"/>
        <v>3505.84375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3">
        <f t="shared" si="17"/>
        <v>27315.590625000001</v>
      </c>
      <c r="AB90" s="3">
        <f t="shared" si="18"/>
        <v>327787.08750000002</v>
      </c>
      <c r="AC90" s="3">
        <f t="shared" si="19"/>
        <v>327787.08750000002</v>
      </c>
    </row>
    <row r="91" spans="1:29" x14ac:dyDescent="0.2">
      <c r="A91" s="42">
        <v>100144</v>
      </c>
      <c r="B91" s="43">
        <v>6</v>
      </c>
      <c r="C91" s="38"/>
      <c r="D91" s="43" t="s">
        <v>29</v>
      </c>
      <c r="E91" s="43" t="s">
        <v>30</v>
      </c>
      <c r="F91" s="42" t="s">
        <v>21</v>
      </c>
      <c r="G91" s="43" t="s">
        <v>21</v>
      </c>
      <c r="H91" s="42">
        <v>31</v>
      </c>
      <c r="I91" s="44">
        <v>45599</v>
      </c>
      <c r="J91" s="43" t="s">
        <v>22</v>
      </c>
      <c r="K91" s="45"/>
      <c r="L91" s="51">
        <f>VLOOKUP(A91,'[1]ناتج ملف Excel'!$A:$AV,44,0)</f>
        <v>22048</v>
      </c>
      <c r="M91" s="51">
        <f>VLOOKUP(A91,'[1]ناتج ملف Excel'!$A:$AV,46,0)</f>
        <v>2204.8000000000002</v>
      </c>
      <c r="N91" s="51">
        <f>VLOOKUP(A91,'[1]ناتج ملف Excel'!$A:$AV,47,0)</f>
        <v>5512</v>
      </c>
      <c r="O91" s="47">
        <f>VLOOKUP(A91,'[1]ناتج ملف Excel'!$A:$AV,48,0)</f>
        <v>500</v>
      </c>
      <c r="P91" s="47">
        <v>0</v>
      </c>
      <c r="Q91" s="48">
        <f t="shared" si="14"/>
        <v>2522.0666666666666</v>
      </c>
      <c r="R91" s="48">
        <f t="shared" si="15"/>
        <v>1261.0333333333333</v>
      </c>
      <c r="S91" s="71">
        <f t="shared" si="21"/>
        <v>3238.2999999999997</v>
      </c>
      <c r="T91" s="47">
        <v>3080</v>
      </c>
      <c r="U91" s="48">
        <f t="shared" si="16"/>
        <v>6305.166666666667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3">
        <f t="shared" si="17"/>
        <v>46671.366666666669</v>
      </c>
      <c r="AB91" s="3">
        <f t="shared" si="18"/>
        <v>560056.4</v>
      </c>
      <c r="AC91" s="3">
        <f t="shared" si="19"/>
        <v>560056.4</v>
      </c>
    </row>
    <row r="92" spans="1:29" x14ac:dyDescent="0.2">
      <c r="A92" s="42">
        <v>100145</v>
      </c>
      <c r="B92" s="43">
        <v>8</v>
      </c>
      <c r="C92" s="42" t="s">
        <v>43</v>
      </c>
      <c r="D92" s="38"/>
      <c r="E92" s="43" t="s">
        <v>42</v>
      </c>
      <c r="F92" s="42" t="s">
        <v>21</v>
      </c>
      <c r="G92" s="43" t="s">
        <v>21</v>
      </c>
      <c r="H92" s="42">
        <v>48</v>
      </c>
      <c r="I92" s="44">
        <v>45599</v>
      </c>
      <c r="J92" s="43" t="s">
        <v>22</v>
      </c>
      <c r="K92" s="45"/>
      <c r="L92" s="51">
        <f>VLOOKUP(A92,'[1]ناتج ملف Excel'!$A:$AV,44,0)</f>
        <v>26395.200000000001</v>
      </c>
      <c r="M92" s="51">
        <f>VLOOKUP(A92,'[1]ناتج ملف Excel'!$A:$AV,46,0)</f>
        <v>2639.52</v>
      </c>
      <c r="N92" s="51">
        <f>VLOOKUP(A92,'[1]ناتج ملف Excel'!$A:$AV,47,0)</f>
        <v>6598.8</v>
      </c>
      <c r="O92" s="47">
        <f>VLOOKUP(A92,'[1]ناتج ملف Excel'!$A:$AV,48,0)</f>
        <v>500</v>
      </c>
      <c r="P92" s="47">
        <v>2083.3333333333335</v>
      </c>
      <c r="Q92" s="48">
        <f t="shared" si="14"/>
        <v>3011.126666666667</v>
      </c>
      <c r="R92" s="48">
        <f t="shared" si="15"/>
        <v>1505.5633333333335</v>
      </c>
      <c r="S92" s="71">
        <f t="shared" si="21"/>
        <v>3876.7949999999996</v>
      </c>
      <c r="T92" s="47">
        <v>3080</v>
      </c>
      <c r="U92" s="48">
        <f t="shared" si="16"/>
        <v>7527.8166666666684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3">
        <f t="shared" si="17"/>
        <v>57218.155000000006</v>
      </c>
      <c r="AB92" s="3">
        <f t="shared" si="18"/>
        <v>686617.8600000001</v>
      </c>
      <c r="AC92" s="3">
        <f t="shared" si="19"/>
        <v>686617.8600000001</v>
      </c>
    </row>
    <row r="93" spans="1:29" x14ac:dyDescent="0.2">
      <c r="A93" s="42">
        <v>100146</v>
      </c>
      <c r="B93" s="43">
        <v>4</v>
      </c>
      <c r="C93" s="43" t="s">
        <v>283</v>
      </c>
      <c r="D93" s="38" t="s">
        <v>19</v>
      </c>
      <c r="E93" s="43" t="s">
        <v>261</v>
      </c>
      <c r="F93" s="42" t="s">
        <v>21</v>
      </c>
      <c r="G93" s="43" t="s">
        <v>21</v>
      </c>
      <c r="H93" s="42">
        <v>28</v>
      </c>
      <c r="I93" s="44">
        <v>45627</v>
      </c>
      <c r="J93" s="43" t="s">
        <v>22</v>
      </c>
      <c r="K93" s="45"/>
      <c r="L93" s="51">
        <f>VLOOKUP(A93,'[1]ناتج ملف Excel'!$A:$AV,44,0)</f>
        <v>11232</v>
      </c>
      <c r="M93" s="51">
        <f>VLOOKUP(A93,'[1]ناتج ملف Excel'!$A:$AV,46,0)</f>
        <v>1123.2</v>
      </c>
      <c r="N93" s="51">
        <f>VLOOKUP(A93,'[1]ناتج ملف Excel'!$A:$AV,47,0)</f>
        <v>2808</v>
      </c>
      <c r="O93" s="47">
        <f>VLOOKUP(A93,'[1]ناتج ملف Excel'!$A:$AV,48,0)</f>
        <v>300</v>
      </c>
      <c r="P93" s="47">
        <v>0</v>
      </c>
      <c r="Q93" s="48">
        <f t="shared" si="14"/>
        <v>1288.6000000000001</v>
      </c>
      <c r="R93" s="48">
        <f t="shared" si="15"/>
        <v>644.30000000000007</v>
      </c>
      <c r="S93" s="71">
        <f t="shared" si="21"/>
        <v>1649.6999999999998</v>
      </c>
      <c r="T93" s="47">
        <v>3080</v>
      </c>
      <c r="U93" s="48">
        <f t="shared" si="16"/>
        <v>3221.5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3">
        <f t="shared" si="17"/>
        <v>25347.3</v>
      </c>
      <c r="AB93" s="3">
        <f t="shared" si="18"/>
        <v>304167.59999999998</v>
      </c>
      <c r="AC93" s="3">
        <f t="shared" si="19"/>
        <v>304167.59999999998</v>
      </c>
    </row>
    <row r="94" spans="1:29" x14ac:dyDescent="0.2">
      <c r="A94" s="42">
        <v>100147</v>
      </c>
      <c r="B94" s="43">
        <v>5</v>
      </c>
      <c r="C94" s="42" t="s">
        <v>289</v>
      </c>
      <c r="D94" s="43" t="s">
        <v>26</v>
      </c>
      <c r="E94" s="43" t="s">
        <v>27</v>
      </c>
      <c r="F94" s="42" t="s">
        <v>21</v>
      </c>
      <c r="G94" s="43" t="s">
        <v>21</v>
      </c>
      <c r="H94" s="42">
        <v>31</v>
      </c>
      <c r="I94" s="44">
        <v>45627</v>
      </c>
      <c r="J94" s="43" t="s">
        <v>22</v>
      </c>
      <c r="K94" s="45"/>
      <c r="L94" s="51">
        <f>VLOOKUP(A94,'[1]ناتج ملف Excel'!$A:$AV,44,0)</f>
        <v>10742.815199999999</v>
      </c>
      <c r="M94" s="51">
        <f>VLOOKUP(A94,'[1]ناتج ملف Excel'!$A:$AV,46,0)</f>
        <v>1074.2819999999999</v>
      </c>
      <c r="N94" s="51">
        <f>VLOOKUP(A94,'[1]ناتج ملف Excel'!$A:$AV,47,0)</f>
        <v>2685.7040000000002</v>
      </c>
      <c r="O94" s="47">
        <v>0</v>
      </c>
      <c r="P94" s="47">
        <v>0</v>
      </c>
      <c r="Q94" s="48">
        <f t="shared" si="14"/>
        <v>1208.5667666666666</v>
      </c>
      <c r="R94" s="48">
        <f t="shared" si="15"/>
        <v>604.28338333333329</v>
      </c>
      <c r="S94" s="71">
        <f t="shared" si="21"/>
        <v>1577.8510059999999</v>
      </c>
      <c r="T94" s="47">
        <v>3080</v>
      </c>
      <c r="U94" s="48">
        <f t="shared" si="16"/>
        <v>3021.4169166666666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3">
        <f t="shared" si="17"/>
        <v>23994.919272666662</v>
      </c>
      <c r="AB94" s="3">
        <f t="shared" si="18"/>
        <v>287939.03127199993</v>
      </c>
      <c r="AC94" s="3">
        <f t="shared" si="19"/>
        <v>287939.03127199993</v>
      </c>
    </row>
    <row r="95" spans="1:29" x14ac:dyDescent="0.2">
      <c r="A95" s="42">
        <v>100148</v>
      </c>
      <c r="B95" s="43">
        <v>9</v>
      </c>
      <c r="C95" s="43" t="s">
        <v>57</v>
      </c>
      <c r="D95" s="38" t="s">
        <v>298</v>
      </c>
      <c r="E95" s="43" t="s">
        <v>35</v>
      </c>
      <c r="F95" s="42" t="s">
        <v>21</v>
      </c>
      <c r="G95" s="43" t="s">
        <v>21</v>
      </c>
      <c r="H95" s="42">
        <v>44</v>
      </c>
      <c r="I95" s="44">
        <v>45627</v>
      </c>
      <c r="J95" s="43" t="s">
        <v>22</v>
      </c>
      <c r="K95" s="45"/>
      <c r="L95" s="51">
        <f>VLOOKUP(A95,'[1]ناتج ملف Excel'!$A:$AV,44,0)</f>
        <v>63440</v>
      </c>
      <c r="M95" s="51">
        <f>VLOOKUP(A95,'[1]ناتج ملف Excel'!$A:$AV,46,0)</f>
        <v>3500</v>
      </c>
      <c r="N95" s="51">
        <f>VLOOKUP(A95,'[1]ناتج ملف Excel'!$A:$AV,47,0)</f>
        <v>15860</v>
      </c>
      <c r="O95" s="47">
        <f>VLOOKUP(A95,'[1]ناتج ملف Excel'!$A:$AV,48,0)</f>
        <v>800</v>
      </c>
      <c r="P95" s="47">
        <v>6250</v>
      </c>
      <c r="Q95" s="48">
        <f t="shared" si="14"/>
        <v>6966.666666666667</v>
      </c>
      <c r="R95" s="48">
        <f t="shared" si="15"/>
        <v>3483.3333333333335</v>
      </c>
      <c r="S95" s="71">
        <v>5287.5</v>
      </c>
      <c r="T95" s="47">
        <v>3080</v>
      </c>
      <c r="U95" s="48">
        <f t="shared" si="16"/>
        <v>17416.666666666668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3">
        <f t="shared" si="17"/>
        <v>126084.16666666667</v>
      </c>
      <c r="AB95" s="3">
        <f t="shared" si="18"/>
        <v>1513010</v>
      </c>
      <c r="AC95" s="3">
        <f t="shared" si="19"/>
        <v>1513010</v>
      </c>
    </row>
    <row r="96" spans="1:29" x14ac:dyDescent="0.2">
      <c r="A96" s="42">
        <v>100149</v>
      </c>
      <c r="B96" s="43">
        <v>5</v>
      </c>
      <c r="C96" s="38"/>
      <c r="D96" s="43" t="s">
        <v>296</v>
      </c>
      <c r="E96" s="43" t="s">
        <v>30</v>
      </c>
      <c r="F96" s="42" t="s">
        <v>21</v>
      </c>
      <c r="G96" s="43" t="s">
        <v>21</v>
      </c>
      <c r="H96" s="42">
        <v>29</v>
      </c>
      <c r="I96" s="44">
        <v>45641</v>
      </c>
      <c r="J96" s="43" t="s">
        <v>22</v>
      </c>
      <c r="K96" s="45"/>
      <c r="L96" s="51">
        <f>VLOOKUP(A96,'[1]ناتج ملف Excel'!$A:$AV,44,0)</f>
        <v>14070</v>
      </c>
      <c r="M96" s="51">
        <f>VLOOKUP(A96,'[1]ناتج ملف Excel'!$A:$AV,46,0)</f>
        <v>1407</v>
      </c>
      <c r="N96" s="51">
        <f>VLOOKUP(A96,'[1]ناتج ملف Excel'!$A:$AV,47,0)</f>
        <v>3517.5</v>
      </c>
      <c r="O96" s="47">
        <f>VLOOKUP(A96,'[1]ناتج ملف Excel'!$A:$AV,48,0)</f>
        <v>300</v>
      </c>
      <c r="P96" s="47">
        <v>0</v>
      </c>
      <c r="Q96" s="48">
        <f t="shared" si="14"/>
        <v>1607.875</v>
      </c>
      <c r="R96" s="48">
        <f t="shared" si="15"/>
        <v>803.9375</v>
      </c>
      <c r="S96" s="71">
        <f t="shared" si="21"/>
        <v>2066.53125</v>
      </c>
      <c r="T96" s="47">
        <v>3080</v>
      </c>
      <c r="U96" s="48">
        <f t="shared" si="16"/>
        <v>4019.6875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3">
        <f t="shared" si="17"/>
        <v>30872.53125</v>
      </c>
      <c r="AB96" s="3">
        <f t="shared" si="18"/>
        <v>370470.375</v>
      </c>
      <c r="AC96" s="3">
        <f t="shared" si="19"/>
        <v>370470.375</v>
      </c>
    </row>
    <row r="97" spans="1:29" x14ac:dyDescent="0.2">
      <c r="A97" s="42">
        <v>100150</v>
      </c>
      <c r="B97" s="43">
        <v>5</v>
      </c>
      <c r="C97" s="43" t="s">
        <v>34</v>
      </c>
      <c r="D97" s="38"/>
      <c r="E97" s="43" t="s">
        <v>35</v>
      </c>
      <c r="F97" s="42" t="s">
        <v>21</v>
      </c>
      <c r="G97" s="43" t="s">
        <v>21</v>
      </c>
      <c r="H97" s="42">
        <v>31</v>
      </c>
      <c r="I97" s="44">
        <v>45648</v>
      </c>
      <c r="J97" s="43" t="s">
        <v>22</v>
      </c>
      <c r="K97" s="45"/>
      <c r="L97" s="51">
        <f>VLOOKUP(A97,'[1]ناتج ملف Excel'!$A:$AV,44,0)</f>
        <v>18096</v>
      </c>
      <c r="M97" s="51">
        <f>VLOOKUP(A97,'[1]ناتج ملف Excel'!$A:$AV,46,0)</f>
        <v>1809.6</v>
      </c>
      <c r="N97" s="51">
        <f>VLOOKUP(A97,'[1]ناتج ملف Excel'!$A:$AV,47,0)</f>
        <v>4524</v>
      </c>
      <c r="O97" s="47">
        <f>VLOOKUP(A97,'[1]ناتج ملف Excel'!$A:$AV,48,0)</f>
        <v>300</v>
      </c>
      <c r="P97" s="47">
        <v>0</v>
      </c>
      <c r="Q97" s="48">
        <f t="shared" si="14"/>
        <v>2060.7999999999997</v>
      </c>
      <c r="R97" s="48">
        <f t="shared" si="15"/>
        <v>1030.3999999999999</v>
      </c>
      <c r="S97" s="71">
        <f t="shared" si="21"/>
        <v>2657.85</v>
      </c>
      <c r="T97" s="47">
        <v>3080</v>
      </c>
      <c r="U97" s="48">
        <f t="shared" si="16"/>
        <v>5152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3">
        <f t="shared" si="17"/>
        <v>38710.649999999994</v>
      </c>
      <c r="AB97" s="3">
        <f t="shared" si="18"/>
        <v>464527.79999999993</v>
      </c>
      <c r="AC97" s="3">
        <f t="shared" si="19"/>
        <v>464527.79999999993</v>
      </c>
    </row>
    <row r="98" spans="1:29" x14ac:dyDescent="0.2">
      <c r="A98" s="42">
        <v>100151</v>
      </c>
      <c r="B98" s="43">
        <v>5</v>
      </c>
      <c r="C98" s="43"/>
      <c r="D98" s="38"/>
      <c r="E98" s="43" t="s">
        <v>261</v>
      </c>
      <c r="F98" s="42" t="s">
        <v>21</v>
      </c>
      <c r="G98" s="43" t="s">
        <v>21</v>
      </c>
      <c r="H98" s="42">
        <v>37</v>
      </c>
      <c r="I98" s="44">
        <v>45680</v>
      </c>
      <c r="J98" s="43" t="s">
        <v>22</v>
      </c>
      <c r="K98" s="45"/>
      <c r="L98" s="51">
        <f>VLOOKUP(A98,'[1]ناتج ملف Excel'!$A:$AV,44,0)</f>
        <v>14005.972599999999</v>
      </c>
      <c r="M98" s="51">
        <f>VLOOKUP(A98,'[1]ناتج ملف Excel'!$A:$AV,46,0)</f>
        <v>1400.597</v>
      </c>
      <c r="N98" s="51">
        <f>VLOOKUP(A98,'[1]ناتج ملف Excel'!$A:$AV,47,0)</f>
        <v>3501.4929999999999</v>
      </c>
      <c r="O98" s="47">
        <f>VLOOKUP(A98,'[1]ناتج ملف Excel'!$A:$AV,48,0)</f>
        <v>300</v>
      </c>
      <c r="P98" s="47">
        <v>0</v>
      </c>
      <c r="Q98" s="48">
        <f t="shared" si="14"/>
        <v>1600.6718833333332</v>
      </c>
      <c r="R98" s="48">
        <f t="shared" si="15"/>
        <v>800.3359416666666</v>
      </c>
      <c r="S98" s="71">
        <f t="shared" si="21"/>
        <v>2057.1272079999999</v>
      </c>
      <c r="T98" s="47">
        <v>3080</v>
      </c>
      <c r="U98" s="48">
        <f t="shared" si="16"/>
        <v>4001.6797083333331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3">
        <f t="shared" si="17"/>
        <v>30747.877341333329</v>
      </c>
      <c r="AB98" s="3">
        <f t="shared" si="18"/>
        <v>368974.52809599997</v>
      </c>
      <c r="AC98" s="3">
        <f t="shared" si="19"/>
        <v>368974.52809599997</v>
      </c>
    </row>
    <row r="99" spans="1:29" x14ac:dyDescent="0.2">
      <c r="A99" s="42">
        <v>100153</v>
      </c>
      <c r="B99" s="43" t="s">
        <v>268</v>
      </c>
      <c r="C99" s="38"/>
      <c r="D99" s="43" t="s">
        <v>39</v>
      </c>
      <c r="E99" s="43" t="s">
        <v>40</v>
      </c>
      <c r="F99" s="42" t="s">
        <v>236</v>
      </c>
      <c r="G99" s="43" t="s">
        <v>41</v>
      </c>
      <c r="H99" s="42">
        <v>42</v>
      </c>
      <c r="I99" s="44">
        <v>45699</v>
      </c>
      <c r="J99" s="43" t="s">
        <v>22</v>
      </c>
      <c r="K99" s="45"/>
      <c r="L99" s="51">
        <f>VLOOKUP(A99,'[1]ناتج ملف Excel'!$A:$AV,44,0)</f>
        <v>1253.0958900000001</v>
      </c>
      <c r="M99" s="51">
        <f>VLOOKUP(A99,'[1]ناتج ملف Excel'!$A:$AV,46,0)</f>
        <v>125.31</v>
      </c>
      <c r="N99" s="51">
        <f>VLOOKUP(A99,'[1]ناتج ملف Excel'!$A:$AV,47,0)</f>
        <v>313.274</v>
      </c>
      <c r="O99" s="47">
        <v>0</v>
      </c>
      <c r="P99" s="47">
        <v>0</v>
      </c>
      <c r="Q99" s="48">
        <f t="shared" ref="Q99:Q130" si="22">(L99+M99+N99+O99)/12</f>
        <v>140.97332416666666</v>
      </c>
      <c r="R99" s="48">
        <f t="shared" ref="R99:R130" si="23">(O99+N99+M99+L99)/12/2</f>
        <v>70.486662083333343</v>
      </c>
      <c r="S99" s="71">
        <f t="shared" si="21"/>
        <v>184.04846207499997</v>
      </c>
      <c r="T99" s="47">
        <v>3080</v>
      </c>
      <c r="U99" s="48">
        <f t="shared" si="16"/>
        <v>352.43331041666664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3">
        <f t="shared" ref="AA99:AA130" si="24">SUBTOTAL(9,L99:Z99)</f>
        <v>5519.6216487416668</v>
      </c>
      <c r="AB99" s="3">
        <f t="shared" si="18"/>
        <v>66235.459784899998</v>
      </c>
      <c r="AC99" s="3">
        <f t="shared" ref="AC99:AC130" si="25">AB99</f>
        <v>66235.459784899998</v>
      </c>
    </row>
    <row r="100" spans="1:29" x14ac:dyDescent="0.2">
      <c r="A100" s="42">
        <v>100154</v>
      </c>
      <c r="B100" s="43">
        <v>10</v>
      </c>
      <c r="C100" s="38"/>
      <c r="D100" s="43"/>
      <c r="E100" s="43" t="s">
        <v>35</v>
      </c>
      <c r="F100" s="42" t="s">
        <v>21</v>
      </c>
      <c r="G100" s="43" t="s">
        <v>21</v>
      </c>
      <c r="H100" s="42">
        <v>47</v>
      </c>
      <c r="I100" s="44">
        <v>45713</v>
      </c>
      <c r="J100" s="43" t="s">
        <v>22</v>
      </c>
      <c r="K100" s="45"/>
      <c r="L100" s="51">
        <f>VLOOKUP(A100,'[1]ناتج ملف Excel'!$A:$AV,44,0)</f>
        <v>112000</v>
      </c>
      <c r="M100" s="51">
        <f>VLOOKUP(A100,'[1]ناتج ملف Excel'!$A:$AV,46,0)</f>
        <v>3500</v>
      </c>
      <c r="N100" s="51">
        <f>VLOOKUP(A100,'[1]ناتج ملف Excel'!$A:$AV,47,0)</f>
        <v>28000</v>
      </c>
      <c r="O100" s="47">
        <f>VLOOKUP(A100,'[1]ناتج ملف Excel'!$A:$AV,48,0)</f>
        <v>800</v>
      </c>
      <c r="P100" s="47">
        <v>4166.666666666667</v>
      </c>
      <c r="Q100" s="48">
        <f t="shared" si="22"/>
        <v>12025</v>
      </c>
      <c r="R100" s="48">
        <f t="shared" si="23"/>
        <v>6012.5</v>
      </c>
      <c r="S100" s="71">
        <v>5287.5</v>
      </c>
      <c r="T100" s="47">
        <v>3080</v>
      </c>
      <c r="U100" s="48">
        <f t="shared" si="16"/>
        <v>30062.5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3">
        <f t="shared" si="24"/>
        <v>204934.16666666666</v>
      </c>
      <c r="AB100" s="3">
        <f t="shared" si="18"/>
        <v>2459210</v>
      </c>
      <c r="AC100" s="3">
        <f t="shared" si="25"/>
        <v>2459210</v>
      </c>
    </row>
    <row r="101" spans="1:29" x14ac:dyDescent="0.2">
      <c r="A101" s="42">
        <v>100155</v>
      </c>
      <c r="B101" s="43">
        <v>6</v>
      </c>
      <c r="C101" s="38"/>
      <c r="D101" s="43" t="s">
        <v>39</v>
      </c>
      <c r="E101" s="43" t="s">
        <v>40</v>
      </c>
      <c r="F101" s="42" t="s">
        <v>21</v>
      </c>
      <c r="G101" s="43" t="s">
        <v>21</v>
      </c>
      <c r="H101" s="42">
        <v>60</v>
      </c>
      <c r="I101" s="44">
        <v>45718</v>
      </c>
      <c r="J101" s="43" t="s">
        <v>22</v>
      </c>
      <c r="K101" s="45"/>
      <c r="L101" s="51">
        <f>VLOOKUP(A101,'[1]ناتج ملف Excel'!$A:$AV,44,0)</f>
        <v>19483.947950000002</v>
      </c>
      <c r="M101" s="51">
        <f>VLOOKUP(A101,'[1]ناتج ملف Excel'!$A:$AV,46,0)</f>
        <v>1948.395</v>
      </c>
      <c r="N101" s="51">
        <f>VLOOKUP(A101,'[1]ناتج ملف Excel'!$A:$AV,47,0)</f>
        <v>4870.9870000000001</v>
      </c>
      <c r="O101" s="47">
        <f>VLOOKUP(A101,'[1]ناتج ملف Excel'!$A:$AV,48,0)</f>
        <v>500</v>
      </c>
      <c r="P101" s="47">
        <v>0</v>
      </c>
      <c r="Q101" s="48">
        <f t="shared" si="22"/>
        <v>2233.6108291666669</v>
      </c>
      <c r="R101" s="48">
        <f t="shared" si="23"/>
        <v>1116.8054145833332</v>
      </c>
      <c r="S101" s="71">
        <f t="shared" si="21"/>
        <v>2861.704856625</v>
      </c>
      <c r="T101" s="47">
        <v>3080</v>
      </c>
      <c r="U101" s="48">
        <f t="shared" si="16"/>
        <v>5584.0270729166668</v>
      </c>
      <c r="V101" s="42">
        <v>0</v>
      </c>
      <c r="W101" s="42">
        <v>0</v>
      </c>
      <c r="X101" s="42">
        <v>0</v>
      </c>
      <c r="Y101" s="46">
        <v>0</v>
      </c>
      <c r="Z101" s="42">
        <v>0</v>
      </c>
      <c r="AA101" s="3">
        <f t="shared" si="24"/>
        <v>41679.478123291672</v>
      </c>
      <c r="AB101" s="3">
        <f t="shared" si="18"/>
        <v>500153.73747950007</v>
      </c>
      <c r="AC101" s="3">
        <f t="shared" si="25"/>
        <v>500153.73747950007</v>
      </c>
    </row>
    <row r="102" spans="1:29" x14ac:dyDescent="0.2">
      <c r="A102" s="42">
        <v>100156</v>
      </c>
      <c r="B102" s="43">
        <v>5</v>
      </c>
      <c r="C102" s="43"/>
      <c r="D102" s="38"/>
      <c r="E102" s="43" t="s">
        <v>261</v>
      </c>
      <c r="F102" s="42" t="s">
        <v>21</v>
      </c>
      <c r="G102" s="43" t="s">
        <v>21</v>
      </c>
      <c r="H102" s="42">
        <v>29</v>
      </c>
      <c r="I102" s="44">
        <v>45725</v>
      </c>
      <c r="J102" s="43" t="s">
        <v>22</v>
      </c>
      <c r="K102" s="45"/>
      <c r="L102" s="51">
        <f>VLOOKUP(A102,'[1]ناتج ملف Excel'!$A:$AV,44,0)</f>
        <v>12677.39651</v>
      </c>
      <c r="M102" s="51">
        <f>VLOOKUP(A102,'[1]ناتج ملف Excel'!$A:$AV,46,0)</f>
        <v>1267.74</v>
      </c>
      <c r="N102" s="51">
        <f>VLOOKUP(A102,'[1]ناتج ملف Excel'!$A:$AV,47,0)</f>
        <v>3169.3490000000002</v>
      </c>
      <c r="O102" s="47">
        <f>VLOOKUP(A102,'[1]ناتج ملف Excel'!$A:$AV,48,0)</f>
        <v>300</v>
      </c>
      <c r="P102" s="47">
        <v>0</v>
      </c>
      <c r="Q102" s="48">
        <f t="shared" si="22"/>
        <v>1451.2071258333333</v>
      </c>
      <c r="R102" s="48">
        <f t="shared" si="23"/>
        <v>725.60356291666665</v>
      </c>
      <c r="S102" s="71">
        <f t="shared" si="21"/>
        <v>1861.992597425</v>
      </c>
      <c r="T102" s="47">
        <v>3080</v>
      </c>
      <c r="U102" s="48">
        <f t="shared" si="16"/>
        <v>3628.0178145833329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3">
        <f t="shared" si="24"/>
        <v>28161.306610758333</v>
      </c>
      <c r="AB102" s="3">
        <f t="shared" si="18"/>
        <v>337935.67932910001</v>
      </c>
      <c r="AC102" s="3">
        <f t="shared" si="25"/>
        <v>337935.67932910001</v>
      </c>
    </row>
    <row r="103" spans="1:29" x14ac:dyDescent="0.2">
      <c r="A103" s="42">
        <v>100157</v>
      </c>
      <c r="B103" s="43">
        <v>6</v>
      </c>
      <c r="C103" s="43" t="s">
        <v>57</v>
      </c>
      <c r="D103" s="43" t="s">
        <v>293</v>
      </c>
      <c r="E103" s="43" t="s">
        <v>35</v>
      </c>
      <c r="F103" s="42" t="s">
        <v>21</v>
      </c>
      <c r="G103" s="43" t="s">
        <v>21</v>
      </c>
      <c r="H103" s="42">
        <v>32</v>
      </c>
      <c r="I103" s="44">
        <v>45732</v>
      </c>
      <c r="J103" s="43" t="s">
        <v>22</v>
      </c>
      <c r="K103" s="45"/>
      <c r="L103" s="51">
        <f>VLOOKUP(A103,'[1]ناتج ملف Excel'!$A:$AV,44,0)</f>
        <v>22959.12329</v>
      </c>
      <c r="M103" s="51">
        <f>VLOOKUP(A103,'[1]ناتج ملف Excel'!$A:$AV,46,0)</f>
        <v>2295.9119999999998</v>
      </c>
      <c r="N103" s="51">
        <f>VLOOKUP(A103,'[1]ناتج ملف Excel'!$A:$AV,47,0)</f>
        <v>5739.7809999999999</v>
      </c>
      <c r="O103" s="47">
        <f>VLOOKUP(A103,'[1]ناتج ملف Excel'!$A:$AV,48,0)</f>
        <v>500</v>
      </c>
      <c r="P103" s="47">
        <v>0</v>
      </c>
      <c r="Q103" s="48">
        <f t="shared" si="22"/>
        <v>2624.5680241666664</v>
      </c>
      <c r="R103" s="48">
        <f t="shared" si="23"/>
        <v>1312.2840120833332</v>
      </c>
      <c r="S103" s="71">
        <f t="shared" si="21"/>
        <v>3372.1212540749998</v>
      </c>
      <c r="T103" s="47">
        <v>3080</v>
      </c>
      <c r="U103" s="48">
        <f t="shared" si="16"/>
        <v>6561.4200604166663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3">
        <f t="shared" si="24"/>
        <v>48445.209640741668</v>
      </c>
      <c r="AB103" s="3">
        <f t="shared" si="18"/>
        <v>581342.51568890002</v>
      </c>
      <c r="AC103" s="3">
        <f t="shared" si="25"/>
        <v>581342.51568890002</v>
      </c>
    </row>
    <row r="104" spans="1:29" x14ac:dyDescent="0.2">
      <c r="A104" s="42">
        <v>100159</v>
      </c>
      <c r="B104" s="43">
        <v>8</v>
      </c>
      <c r="C104" s="43" t="s">
        <v>283</v>
      </c>
      <c r="D104" s="38" t="s">
        <v>19</v>
      </c>
      <c r="E104" s="43" t="s">
        <v>261</v>
      </c>
      <c r="F104" s="42" t="s">
        <v>21</v>
      </c>
      <c r="G104" s="43" t="s">
        <v>21</v>
      </c>
      <c r="H104" s="42">
        <v>45</v>
      </c>
      <c r="I104" s="44">
        <v>45735</v>
      </c>
      <c r="J104" s="43" t="s">
        <v>22</v>
      </c>
      <c r="K104" s="45"/>
      <c r="L104" s="51">
        <f>VLOOKUP(A104,'[1]ناتج ملف Excel'!$A:$AV,44,0)</f>
        <v>46980</v>
      </c>
      <c r="M104" s="51">
        <f>VLOOKUP(A104,'[1]ناتج ملف Excel'!$A:$AV,46,0)</f>
        <v>3000</v>
      </c>
      <c r="N104" s="51">
        <f>VLOOKUP(A104,'[1]ناتج ملف Excel'!$A:$AV,47,0)</f>
        <v>11745</v>
      </c>
      <c r="O104" s="47">
        <f>VLOOKUP(A104,'[1]ناتج ملف Excel'!$A:$AV,48,0)</f>
        <v>500</v>
      </c>
      <c r="P104" s="47">
        <v>6250</v>
      </c>
      <c r="Q104" s="48">
        <f t="shared" si="22"/>
        <v>5185.416666666667</v>
      </c>
      <c r="R104" s="48">
        <f t="shared" si="23"/>
        <v>2592.7083333333335</v>
      </c>
      <c r="S104" s="71">
        <v>5287.5</v>
      </c>
      <c r="T104" s="47">
        <v>3080</v>
      </c>
      <c r="U104" s="48">
        <f t="shared" si="16"/>
        <v>12963.541666666666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3">
        <f t="shared" si="24"/>
        <v>97584.166666666672</v>
      </c>
      <c r="AB104" s="3">
        <f t="shared" si="18"/>
        <v>1171010</v>
      </c>
      <c r="AC104" s="3">
        <f t="shared" si="25"/>
        <v>1171010</v>
      </c>
    </row>
    <row r="105" spans="1:29" x14ac:dyDescent="0.2">
      <c r="A105" s="42">
        <v>100160</v>
      </c>
      <c r="B105" s="43">
        <v>6</v>
      </c>
      <c r="C105" s="43" t="s">
        <v>57</v>
      </c>
      <c r="D105" s="38" t="s">
        <v>298</v>
      </c>
      <c r="E105" s="43" t="s">
        <v>35</v>
      </c>
      <c r="F105" s="42" t="s">
        <v>21</v>
      </c>
      <c r="G105" s="43" t="s">
        <v>21</v>
      </c>
      <c r="H105" s="42">
        <v>29</v>
      </c>
      <c r="I105" s="44">
        <v>45753</v>
      </c>
      <c r="J105" s="43" t="s">
        <v>22</v>
      </c>
      <c r="K105" s="45"/>
      <c r="L105" s="51">
        <f>VLOOKUP(A105,'[1]ناتج ملف Excel'!$A:$AV,44,0)</f>
        <v>15034.315070000001</v>
      </c>
      <c r="M105" s="51">
        <f>VLOOKUP(A105,'[1]ناتج ملف Excel'!$A:$AV,46,0)</f>
        <v>1503.432</v>
      </c>
      <c r="N105" s="51">
        <f>VLOOKUP(A105,'[1]ناتج ملف Excel'!$A:$AV,47,0)</f>
        <v>3758.5790000000002</v>
      </c>
      <c r="O105" s="47">
        <f>VLOOKUP(A105,'[1]ناتج ملف Excel'!$A:$AV,48,0)</f>
        <v>500</v>
      </c>
      <c r="P105" s="47">
        <v>0</v>
      </c>
      <c r="Q105" s="48">
        <f t="shared" si="22"/>
        <v>1733.0271725000002</v>
      </c>
      <c r="R105" s="48">
        <f t="shared" si="23"/>
        <v>866.51358625</v>
      </c>
      <c r="S105" s="71">
        <f>(L105+N105)*11.75%</f>
        <v>2208.1650532250001</v>
      </c>
      <c r="T105" s="47">
        <v>3080</v>
      </c>
      <c r="U105" s="48">
        <f t="shared" si="16"/>
        <v>4332.5679312500006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3">
        <f t="shared" si="24"/>
        <v>33016.599813225002</v>
      </c>
      <c r="AB105" s="3">
        <f t="shared" si="18"/>
        <v>396199.1977587</v>
      </c>
      <c r="AC105" s="3">
        <f t="shared" si="25"/>
        <v>396199.1977587</v>
      </c>
    </row>
    <row r="106" spans="1:29" x14ac:dyDescent="0.2">
      <c r="A106" s="42">
        <v>100161</v>
      </c>
      <c r="B106" s="43">
        <v>8</v>
      </c>
      <c r="C106" s="43" t="s">
        <v>57</v>
      </c>
      <c r="D106" s="38" t="s">
        <v>298</v>
      </c>
      <c r="E106" s="43" t="s">
        <v>35</v>
      </c>
      <c r="F106" s="42" t="s">
        <v>21</v>
      </c>
      <c r="G106" s="43" t="s">
        <v>21</v>
      </c>
      <c r="H106" s="42">
        <v>39</v>
      </c>
      <c r="I106" s="44">
        <v>45753</v>
      </c>
      <c r="J106" s="43" t="s">
        <v>22</v>
      </c>
      <c r="K106" s="45"/>
      <c r="L106" s="51">
        <f>VLOOKUP(A106,'[1]ناتج ملف Excel'!$A:$AV,44,0)</f>
        <v>39433.453150000001</v>
      </c>
      <c r="M106" s="51">
        <f>VLOOKUP(A106,'[1]ناتج ملف Excel'!$A:$AV,46,0)</f>
        <v>3000</v>
      </c>
      <c r="N106" s="51">
        <f>VLOOKUP(A106,'[1]ناتج ملف Excel'!$A:$AV,47,0)</f>
        <v>9858.3629999999994</v>
      </c>
      <c r="O106" s="47">
        <f>VLOOKUP(A106,'[1]ناتج ملف Excel'!$A:$AV,48,0)</f>
        <v>500</v>
      </c>
      <c r="P106" s="47">
        <v>2083.3333333333335</v>
      </c>
      <c r="Q106" s="48">
        <f t="shared" si="22"/>
        <v>4399.3180124999999</v>
      </c>
      <c r="R106" s="48">
        <f t="shared" si="23"/>
        <v>2199.6590062499999</v>
      </c>
      <c r="S106" s="71">
        <v>5287.5</v>
      </c>
      <c r="T106" s="47">
        <v>3080</v>
      </c>
      <c r="U106" s="48">
        <f t="shared" si="16"/>
        <v>10998.295031249998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3">
        <f t="shared" si="24"/>
        <v>80839.921533333341</v>
      </c>
      <c r="AB106" s="3">
        <f t="shared" si="18"/>
        <v>970079.0584000001</v>
      </c>
      <c r="AC106" s="3">
        <f t="shared" si="25"/>
        <v>970079.0584000001</v>
      </c>
    </row>
    <row r="107" spans="1:29" x14ac:dyDescent="0.2">
      <c r="A107" s="42">
        <v>100162</v>
      </c>
      <c r="B107" s="43">
        <v>7</v>
      </c>
      <c r="C107" s="43" t="s">
        <v>34</v>
      </c>
      <c r="D107" s="38"/>
      <c r="E107" s="43" t="s">
        <v>35</v>
      </c>
      <c r="F107" s="42" t="s">
        <v>21</v>
      </c>
      <c r="G107" s="43" t="s">
        <v>21</v>
      </c>
      <c r="H107" s="42">
        <v>40</v>
      </c>
      <c r="I107" s="44">
        <v>45755</v>
      </c>
      <c r="J107" s="43" t="s">
        <v>22</v>
      </c>
      <c r="K107" s="45"/>
      <c r="L107" s="51">
        <f>VLOOKUP(A107,'[1]ناتج ملف Excel'!$A:$AV,44,0)</f>
        <v>21460.076710000001</v>
      </c>
      <c r="M107" s="51">
        <f>VLOOKUP(A107,'[1]ناتج ملف Excel'!$A:$AV,46,0)</f>
        <v>2146.0079999999998</v>
      </c>
      <c r="N107" s="51">
        <f>VLOOKUP(A107,'[1]ناتج ملف Excel'!$A:$AV,47,0)</f>
        <v>5365.0190000000002</v>
      </c>
      <c r="O107" s="47">
        <f>VLOOKUP(A107,'[1]ناتج ملف Excel'!$A:$AV,48,0)</f>
        <v>500</v>
      </c>
      <c r="P107" s="47">
        <v>4166.666666666667</v>
      </c>
      <c r="Q107" s="48">
        <f t="shared" si="22"/>
        <v>2455.9253091666669</v>
      </c>
      <c r="R107" s="48">
        <f t="shared" si="23"/>
        <v>1227.9626545833335</v>
      </c>
      <c r="S107" s="71">
        <f t="shared" ref="S107:S131" si="26">(L107+N107)*11.75%</f>
        <v>3151.9487459249999</v>
      </c>
      <c r="T107" s="47">
        <v>3080</v>
      </c>
      <c r="U107" s="48">
        <f t="shared" si="16"/>
        <v>6139.8132729166673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3">
        <f t="shared" si="24"/>
        <v>49693.420359258336</v>
      </c>
      <c r="AB107" s="3">
        <f t="shared" si="18"/>
        <v>596321.04431110003</v>
      </c>
      <c r="AC107" s="3">
        <f t="shared" si="25"/>
        <v>596321.04431110003</v>
      </c>
    </row>
    <row r="108" spans="1:29" x14ac:dyDescent="0.2">
      <c r="A108" s="42">
        <v>100163</v>
      </c>
      <c r="B108" s="43">
        <v>5</v>
      </c>
      <c r="C108" s="42" t="s">
        <v>282</v>
      </c>
      <c r="D108" s="43" t="s">
        <v>45</v>
      </c>
      <c r="E108" s="38"/>
      <c r="F108" s="42" t="s">
        <v>21</v>
      </c>
      <c r="G108" s="43" t="s">
        <v>21</v>
      </c>
      <c r="H108" s="42">
        <v>31</v>
      </c>
      <c r="I108" s="44">
        <v>45774</v>
      </c>
      <c r="J108" s="43" t="s">
        <v>22</v>
      </c>
      <c r="K108" s="45"/>
      <c r="L108" s="51">
        <f>VLOOKUP(A108,'[1]ناتج ملف Excel'!$A:$AV,44,0)</f>
        <v>14038.103880000001</v>
      </c>
      <c r="M108" s="51">
        <f>VLOOKUP(A108,'[1]ناتج ملف Excel'!$A:$AV,46,0)</f>
        <v>1403.81</v>
      </c>
      <c r="N108" s="51">
        <f>VLOOKUP(A108,'[1]ناتج ملف Excel'!$A:$AV,47,0)</f>
        <v>3509.5259999999998</v>
      </c>
      <c r="O108" s="47">
        <f>VLOOKUP(A108,'[1]ناتج ملف Excel'!$A:$AV,48,0)</f>
        <v>300</v>
      </c>
      <c r="P108" s="47">
        <v>0</v>
      </c>
      <c r="Q108" s="48">
        <f t="shared" si="22"/>
        <v>1604.2866566666664</v>
      </c>
      <c r="R108" s="48">
        <f t="shared" si="23"/>
        <v>802.14332833333322</v>
      </c>
      <c r="S108" s="71">
        <f t="shared" si="26"/>
        <v>2061.8465108999999</v>
      </c>
      <c r="T108" s="47">
        <v>3080</v>
      </c>
      <c r="U108" s="48">
        <f t="shared" si="16"/>
        <v>4010.716641666666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3">
        <f t="shared" si="24"/>
        <v>30810.433017566662</v>
      </c>
      <c r="AB108" s="3">
        <f t="shared" si="18"/>
        <v>369725.19621079997</v>
      </c>
      <c r="AC108" s="3">
        <f t="shared" si="25"/>
        <v>369725.19621079997</v>
      </c>
    </row>
    <row r="109" spans="1:29" x14ac:dyDescent="0.2">
      <c r="A109" s="42">
        <v>100164</v>
      </c>
      <c r="B109" s="43">
        <v>5</v>
      </c>
      <c r="C109" s="43" t="s">
        <v>292</v>
      </c>
      <c r="D109" s="38" t="s">
        <v>19</v>
      </c>
      <c r="E109" s="43" t="s">
        <v>261</v>
      </c>
      <c r="F109" s="42" t="s">
        <v>21</v>
      </c>
      <c r="G109" s="43" t="s">
        <v>21</v>
      </c>
      <c r="H109" s="42">
        <v>29</v>
      </c>
      <c r="I109" s="44">
        <v>45778</v>
      </c>
      <c r="J109" s="43" t="s">
        <v>22</v>
      </c>
      <c r="K109" s="45"/>
      <c r="L109" s="51">
        <f>VLOOKUP(A109,'[1]ناتج ملف Excel'!$A:$AV,44,0)</f>
        <v>13433.159970000001</v>
      </c>
      <c r="M109" s="51">
        <f>VLOOKUP(A109,'[1]ناتج ملف Excel'!$A:$AV,46,0)</f>
        <v>1343.316</v>
      </c>
      <c r="N109" s="51">
        <f>VLOOKUP(A109,'[1]ناتج ملف Excel'!$A:$AV,47,0)</f>
        <v>3358.29</v>
      </c>
      <c r="O109" s="47">
        <f>VLOOKUP(A109,'[1]ناتج ملف Excel'!$A:$AV,48,0)</f>
        <v>300</v>
      </c>
      <c r="P109" s="47">
        <v>0</v>
      </c>
      <c r="Q109" s="48">
        <f t="shared" si="22"/>
        <v>1536.2304975</v>
      </c>
      <c r="R109" s="48">
        <f t="shared" si="23"/>
        <v>768.11524874999998</v>
      </c>
      <c r="S109" s="71">
        <f t="shared" si="26"/>
        <v>1972.995371475</v>
      </c>
      <c r="T109" s="47">
        <v>3080</v>
      </c>
      <c r="U109" s="48">
        <f t="shared" si="16"/>
        <v>3840.5762437500002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3">
        <f t="shared" si="24"/>
        <v>29632.683331475004</v>
      </c>
      <c r="AB109" s="3">
        <f t="shared" si="18"/>
        <v>355592.19997770002</v>
      </c>
      <c r="AC109" s="3">
        <f t="shared" si="25"/>
        <v>355592.19997770002</v>
      </c>
    </row>
    <row r="110" spans="1:29" x14ac:dyDescent="0.2">
      <c r="A110" s="42">
        <v>100165</v>
      </c>
      <c r="B110" s="43">
        <v>5</v>
      </c>
      <c r="C110" s="38"/>
      <c r="D110" s="43" t="s">
        <v>297</v>
      </c>
      <c r="E110" s="43" t="s">
        <v>30</v>
      </c>
      <c r="F110" s="42" t="s">
        <v>21</v>
      </c>
      <c r="G110" s="43" t="s">
        <v>21</v>
      </c>
      <c r="H110" s="42">
        <v>26</v>
      </c>
      <c r="I110" s="44">
        <v>45781</v>
      </c>
      <c r="J110" s="43" t="s">
        <v>22</v>
      </c>
      <c r="K110" s="45"/>
      <c r="L110" s="51">
        <f>VLOOKUP(A110,'[1]ناتج ملف Excel'!$A:$AV,44,0)</f>
        <v>11236.89575</v>
      </c>
      <c r="M110" s="51">
        <f>VLOOKUP(A110,'[1]ناتج ملف Excel'!$A:$AV,46,0)</f>
        <v>1123.69</v>
      </c>
      <c r="N110" s="51">
        <f>VLOOKUP(A110,'[1]ناتج ملف Excel'!$A:$AV,47,0)</f>
        <v>2809.2240000000002</v>
      </c>
      <c r="O110" s="47">
        <f>VLOOKUP(A110,'[1]ناتج ملف Excel'!$A:$AV,48,0)</f>
        <v>300</v>
      </c>
      <c r="P110" s="47">
        <v>0</v>
      </c>
      <c r="Q110" s="48">
        <f t="shared" si="22"/>
        <v>1289.1508125</v>
      </c>
      <c r="R110" s="48">
        <f t="shared" si="23"/>
        <v>644.57540625000001</v>
      </c>
      <c r="S110" s="71">
        <f t="shared" si="26"/>
        <v>1650.4190706249999</v>
      </c>
      <c r="T110" s="47">
        <v>3080</v>
      </c>
      <c r="U110" s="48">
        <f t="shared" si="16"/>
        <v>3222.8770312500001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3">
        <f t="shared" si="24"/>
        <v>25356.832070625002</v>
      </c>
      <c r="AB110" s="3">
        <f t="shared" si="18"/>
        <v>304281.98484749999</v>
      </c>
      <c r="AC110" s="3">
        <f t="shared" si="25"/>
        <v>304281.98484749999</v>
      </c>
    </row>
    <row r="111" spans="1:29" x14ac:dyDescent="0.2">
      <c r="A111" s="42">
        <v>100166</v>
      </c>
      <c r="B111" s="43">
        <v>7</v>
      </c>
      <c r="C111" s="43" t="s">
        <v>57</v>
      </c>
      <c r="D111" s="43" t="s">
        <v>293</v>
      </c>
      <c r="E111" s="43" t="s">
        <v>35</v>
      </c>
      <c r="F111" s="42" t="s">
        <v>21</v>
      </c>
      <c r="G111" s="43" t="s">
        <v>21</v>
      </c>
      <c r="H111" s="42">
        <v>37</v>
      </c>
      <c r="I111" s="44">
        <v>45825</v>
      </c>
      <c r="J111" s="43" t="s">
        <v>22</v>
      </c>
      <c r="K111" s="45"/>
      <c r="L111" s="51">
        <f>VLOOKUP(A111,'[1]ناتج ملف Excel'!$A:$AV,44,0)</f>
        <v>26864.011900000001</v>
      </c>
      <c r="M111" s="51">
        <f>VLOOKUP(A111,'[1]ناتج ملف Excel'!$A:$AV,46,0)</f>
        <v>2686.4009999999998</v>
      </c>
      <c r="N111" s="51">
        <f>VLOOKUP(A111,'[1]ناتج ملف Excel'!$A:$AV,47,0)</f>
        <v>6716.0029999999997</v>
      </c>
      <c r="O111" s="47">
        <f>VLOOKUP(A111,'[1]ناتج ملف Excel'!$A:$AV,48,0)</f>
        <v>500</v>
      </c>
      <c r="P111" s="47">
        <v>0</v>
      </c>
      <c r="Q111" s="48">
        <f t="shared" si="22"/>
        <v>3063.8679916666665</v>
      </c>
      <c r="R111" s="48">
        <f t="shared" si="23"/>
        <v>1531.9339958333333</v>
      </c>
      <c r="S111" s="71">
        <f t="shared" si="26"/>
        <v>3945.6517507499998</v>
      </c>
      <c r="T111" s="47">
        <v>3080</v>
      </c>
      <c r="U111" s="48">
        <f t="shared" si="16"/>
        <v>7659.6699791666661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3">
        <f t="shared" si="24"/>
        <v>56047.539617416674</v>
      </c>
      <c r="AB111" s="3">
        <f t="shared" si="18"/>
        <v>672570.47540900006</v>
      </c>
      <c r="AC111" s="3">
        <f t="shared" si="25"/>
        <v>672570.47540900006</v>
      </c>
    </row>
    <row r="112" spans="1:29" x14ac:dyDescent="0.2">
      <c r="A112" s="42">
        <v>100167</v>
      </c>
      <c r="B112" s="43">
        <v>6</v>
      </c>
      <c r="C112" s="43" t="s">
        <v>295</v>
      </c>
      <c r="D112" s="43" t="s">
        <v>26</v>
      </c>
      <c r="E112" s="43" t="s">
        <v>27</v>
      </c>
      <c r="F112" s="42" t="s">
        <v>21</v>
      </c>
      <c r="G112" s="43" t="s">
        <v>21</v>
      </c>
      <c r="H112" s="42">
        <v>36</v>
      </c>
      <c r="I112" s="44">
        <v>45830</v>
      </c>
      <c r="J112" s="43" t="s">
        <v>22</v>
      </c>
      <c r="K112" s="45"/>
      <c r="L112" s="51">
        <f>VLOOKUP(A112,'[1]ناتج ملف Excel'!$A:$AV,44,0)</f>
        <v>13343.4143</v>
      </c>
      <c r="M112" s="51">
        <f>VLOOKUP(A112,'[1]ناتج ملف Excel'!$A:$AV,46,0)</f>
        <v>1334.3409999999999</v>
      </c>
      <c r="N112" s="51">
        <f>VLOOKUP(A112,'[1]ناتج ملف Excel'!$A:$AV,47,0)</f>
        <v>3335.8539999999998</v>
      </c>
      <c r="O112" s="47">
        <f>VLOOKUP(A112,'[1]ناتج ملف Excel'!$A:$AV,48,0)</f>
        <v>500</v>
      </c>
      <c r="P112" s="47">
        <v>0</v>
      </c>
      <c r="Q112" s="48">
        <f t="shared" si="22"/>
        <v>1542.8007749999999</v>
      </c>
      <c r="R112" s="48">
        <f t="shared" si="23"/>
        <v>771.40038749999997</v>
      </c>
      <c r="S112" s="71">
        <f t="shared" si="26"/>
        <v>1959.8140252499998</v>
      </c>
      <c r="T112" s="47">
        <v>3080</v>
      </c>
      <c r="U112" s="48">
        <f t="shared" si="16"/>
        <v>3857.0019374999997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3">
        <f t="shared" si="24"/>
        <v>29724.62642525</v>
      </c>
      <c r="AB112" s="3">
        <f t="shared" si="18"/>
        <v>356695.51710300002</v>
      </c>
      <c r="AC112" s="3">
        <f t="shared" si="25"/>
        <v>356695.51710300002</v>
      </c>
    </row>
    <row r="113" spans="1:29" x14ac:dyDescent="0.2">
      <c r="A113" s="42">
        <v>100168</v>
      </c>
      <c r="B113" s="43">
        <v>4</v>
      </c>
      <c r="C113" s="43" t="s">
        <v>290</v>
      </c>
      <c r="D113" s="43" t="s">
        <v>26</v>
      </c>
      <c r="E113" s="43" t="s">
        <v>27</v>
      </c>
      <c r="F113" s="42" t="s">
        <v>21</v>
      </c>
      <c r="G113" s="43" t="s">
        <v>21</v>
      </c>
      <c r="H113" s="42">
        <v>34</v>
      </c>
      <c r="I113" s="44">
        <v>45830</v>
      </c>
      <c r="J113" s="43" t="s">
        <v>22</v>
      </c>
      <c r="K113" s="45"/>
      <c r="L113" s="51">
        <f>VLOOKUP(A113,'[1]ناتج ملف Excel'!$A:$AV,44,0)</f>
        <v>8470.8632440000001</v>
      </c>
      <c r="M113" s="51">
        <f>VLOOKUP(A113,'[1]ناتج ملف Excel'!$A:$AV,46,0)</f>
        <v>847.08600000000001</v>
      </c>
      <c r="N113" s="51">
        <f>VLOOKUP(A113,'[1]ناتج ملف Excel'!$A:$AV,47,0)</f>
        <v>2117.7159999999999</v>
      </c>
      <c r="O113" s="47">
        <f>VLOOKUP(A113,'[1]ناتج ملف Excel'!$A:$AV,48,0)</f>
        <v>300</v>
      </c>
      <c r="P113" s="47">
        <v>0</v>
      </c>
      <c r="Q113" s="48">
        <f t="shared" si="22"/>
        <v>977.97210366666661</v>
      </c>
      <c r="R113" s="48">
        <f t="shared" si="23"/>
        <v>488.98605183333331</v>
      </c>
      <c r="S113" s="71">
        <f t="shared" si="26"/>
        <v>1244.1580611699999</v>
      </c>
      <c r="T113" s="47">
        <v>3080</v>
      </c>
      <c r="U113" s="48">
        <f t="shared" si="16"/>
        <v>2444.9302591666669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3">
        <f t="shared" si="24"/>
        <v>19971.711719836665</v>
      </c>
      <c r="AB113" s="3">
        <f t="shared" si="18"/>
        <v>239660.54063803999</v>
      </c>
      <c r="AC113" s="3">
        <f t="shared" si="25"/>
        <v>239660.54063803999</v>
      </c>
    </row>
    <row r="114" spans="1:29" x14ac:dyDescent="0.2">
      <c r="A114" s="42">
        <v>100169</v>
      </c>
      <c r="B114" s="43">
        <v>5</v>
      </c>
      <c r="C114" s="38"/>
      <c r="D114" s="43" t="s">
        <v>296</v>
      </c>
      <c r="E114" s="43" t="s">
        <v>30</v>
      </c>
      <c r="F114" s="42" t="s">
        <v>21</v>
      </c>
      <c r="G114" s="43" t="s">
        <v>21</v>
      </c>
      <c r="H114" s="42">
        <v>30</v>
      </c>
      <c r="I114" s="44">
        <v>45844</v>
      </c>
      <c r="J114" s="43" t="s">
        <v>22</v>
      </c>
      <c r="K114" s="45"/>
      <c r="L114" s="51">
        <f>VLOOKUP(A114,'[1]ناتج ملف Excel'!$A:$AV,44,0)</f>
        <v>12740.74</v>
      </c>
      <c r="M114" s="51">
        <f>VLOOKUP(A114,'[1]ناتج ملف Excel'!$A:$AV,46,0)</f>
        <v>1274.0740000000001</v>
      </c>
      <c r="N114" s="51">
        <f>VLOOKUP(A114,'[1]ناتج ملف Excel'!$A:$AV,47,0)</f>
        <v>3185.1849999999999</v>
      </c>
      <c r="O114" s="47">
        <f>VLOOKUP(A114,'[1]ناتج ملف Excel'!$A:$AV,48,0)</f>
        <v>300</v>
      </c>
      <c r="P114" s="47">
        <v>0</v>
      </c>
      <c r="Q114" s="48">
        <f t="shared" si="22"/>
        <v>1458.3332499999999</v>
      </c>
      <c r="R114" s="48">
        <f t="shared" si="23"/>
        <v>729.16662499999995</v>
      </c>
      <c r="S114" s="71">
        <f t="shared" si="26"/>
        <v>1871.2961874999999</v>
      </c>
      <c r="T114" s="47">
        <v>3080</v>
      </c>
      <c r="U114" s="48">
        <f t="shared" si="16"/>
        <v>3645.8331249999997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3">
        <f t="shared" si="24"/>
        <v>28284.628187500002</v>
      </c>
      <c r="AB114" s="3">
        <f t="shared" si="18"/>
        <v>339415.53825000004</v>
      </c>
      <c r="AC114" s="3">
        <f t="shared" si="25"/>
        <v>339415.53825000004</v>
      </c>
    </row>
    <row r="115" spans="1:29" x14ac:dyDescent="0.2">
      <c r="A115" s="42">
        <v>100170</v>
      </c>
      <c r="B115" s="43">
        <v>4</v>
      </c>
      <c r="C115" s="43" t="s">
        <v>23</v>
      </c>
      <c r="D115" s="38"/>
      <c r="E115" s="43" t="s">
        <v>261</v>
      </c>
      <c r="F115" s="42" t="s">
        <v>21</v>
      </c>
      <c r="G115" s="43" t="s">
        <v>21</v>
      </c>
      <c r="H115" s="42">
        <v>26</v>
      </c>
      <c r="I115" s="44">
        <v>45846</v>
      </c>
      <c r="J115" s="43" t="s">
        <v>22</v>
      </c>
      <c r="K115" s="45"/>
      <c r="L115" s="51">
        <f>VLOOKUP(A115,'[1]ناتج ملف Excel'!$A:$AV,44,0)</f>
        <v>8490</v>
      </c>
      <c r="M115" s="51">
        <f>VLOOKUP(A115,'[1]ناتج ملف Excel'!$A:$AV,46,0)</f>
        <v>849</v>
      </c>
      <c r="N115" s="51">
        <f>VLOOKUP(A115,'[1]ناتج ملف Excel'!$A:$AV,47,0)</f>
        <v>2122.5</v>
      </c>
      <c r="O115" s="47">
        <v>0</v>
      </c>
      <c r="P115" s="47">
        <v>0</v>
      </c>
      <c r="Q115" s="48">
        <f t="shared" si="22"/>
        <v>955.125</v>
      </c>
      <c r="R115" s="48">
        <f t="shared" si="23"/>
        <v>477.5625</v>
      </c>
      <c r="S115" s="71">
        <f t="shared" si="26"/>
        <v>1246.96875</v>
      </c>
      <c r="T115" s="47">
        <v>3080</v>
      </c>
      <c r="U115" s="48">
        <f t="shared" si="16"/>
        <v>2387.8125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3">
        <f t="shared" si="24"/>
        <v>19608.96875</v>
      </c>
      <c r="AB115" s="3">
        <f t="shared" si="18"/>
        <v>235307.625</v>
      </c>
      <c r="AC115" s="3">
        <f t="shared" si="25"/>
        <v>235307.625</v>
      </c>
    </row>
    <row r="116" spans="1:29" x14ac:dyDescent="0.2">
      <c r="A116" s="42">
        <v>100171</v>
      </c>
      <c r="B116" s="43">
        <v>6</v>
      </c>
      <c r="C116" s="38"/>
      <c r="D116" s="43" t="s">
        <v>37</v>
      </c>
      <c r="E116" s="38"/>
      <c r="F116" s="42" t="s">
        <v>21</v>
      </c>
      <c r="G116" s="43" t="s">
        <v>21</v>
      </c>
      <c r="H116" s="42">
        <v>33</v>
      </c>
      <c r="I116" s="44">
        <v>45852</v>
      </c>
      <c r="J116" s="43" t="s">
        <v>22</v>
      </c>
      <c r="K116" s="45"/>
      <c r="L116" s="51">
        <f>VLOOKUP(A116,'[1]ناتج ملف Excel'!$A:$AV,44,0)</f>
        <v>14144</v>
      </c>
      <c r="M116" s="51">
        <f>VLOOKUP(A116,'[1]ناتج ملف Excel'!$A:$AV,46,0)</f>
        <v>1414.4</v>
      </c>
      <c r="N116" s="51">
        <f>VLOOKUP(A116,'[1]ناتج ملف Excel'!$A:$AV,47,0)</f>
        <v>3536</v>
      </c>
      <c r="O116" s="47">
        <f>VLOOKUP(A116,'[1]ناتج ملف Excel'!$A:$AV,48,0)</f>
        <v>500</v>
      </c>
      <c r="P116" s="47">
        <v>0</v>
      </c>
      <c r="Q116" s="48">
        <f t="shared" si="22"/>
        <v>1632.8666666666668</v>
      </c>
      <c r="R116" s="48">
        <f t="shared" si="23"/>
        <v>816.43333333333339</v>
      </c>
      <c r="S116" s="71">
        <f t="shared" si="26"/>
        <v>2077.4</v>
      </c>
      <c r="T116" s="47">
        <v>3080</v>
      </c>
      <c r="U116" s="48">
        <f t="shared" si="16"/>
        <v>4082.1666666666665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3">
        <f t="shared" si="24"/>
        <v>31283.266666666674</v>
      </c>
      <c r="AB116" s="3">
        <f t="shared" si="18"/>
        <v>375399.20000000007</v>
      </c>
      <c r="AC116" s="3">
        <f t="shared" si="25"/>
        <v>375399.20000000007</v>
      </c>
    </row>
    <row r="117" spans="1:29" x14ac:dyDescent="0.2">
      <c r="A117" s="42">
        <v>100172</v>
      </c>
      <c r="B117" s="43">
        <v>6</v>
      </c>
      <c r="C117" s="42" t="s">
        <v>282</v>
      </c>
      <c r="D117" s="43" t="s">
        <v>45</v>
      </c>
      <c r="E117" s="43" t="s">
        <v>57</v>
      </c>
      <c r="F117" s="42" t="s">
        <v>21</v>
      </c>
      <c r="G117" s="43" t="s">
        <v>21</v>
      </c>
      <c r="H117" s="42">
        <v>36</v>
      </c>
      <c r="I117" s="44">
        <v>45854</v>
      </c>
      <c r="J117" s="43" t="s">
        <v>22</v>
      </c>
      <c r="K117" s="45"/>
      <c r="L117" s="51">
        <f>VLOOKUP(A117,'[1]ناتج ملف Excel'!$A:$AV,44,0)</f>
        <v>21000</v>
      </c>
      <c r="M117" s="51">
        <f>VLOOKUP(A117,'[1]ناتج ملف Excel'!$A:$AV,46,0)</f>
        <v>2100</v>
      </c>
      <c r="N117" s="51">
        <f>VLOOKUP(A117,'[1]ناتج ملف Excel'!$A:$AV,47,0)</f>
        <v>5250</v>
      </c>
      <c r="O117" s="47">
        <f>VLOOKUP(A117,'[1]ناتج ملف Excel'!$A:$AV,48,0)</f>
        <v>500</v>
      </c>
      <c r="P117" s="47">
        <v>0</v>
      </c>
      <c r="Q117" s="48">
        <f t="shared" si="22"/>
        <v>2404.1666666666665</v>
      </c>
      <c r="R117" s="48">
        <f t="shared" si="23"/>
        <v>1202.0833333333333</v>
      </c>
      <c r="S117" s="71">
        <f t="shared" si="26"/>
        <v>3084.375</v>
      </c>
      <c r="T117" s="47">
        <v>3080</v>
      </c>
      <c r="U117" s="48">
        <f t="shared" si="16"/>
        <v>6010.416666666667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3">
        <f t="shared" si="24"/>
        <v>44631.041666666664</v>
      </c>
      <c r="AB117" s="3">
        <f t="shared" si="18"/>
        <v>535572.5</v>
      </c>
      <c r="AC117" s="3">
        <f t="shared" si="25"/>
        <v>535572.5</v>
      </c>
    </row>
    <row r="118" spans="1:29" x14ac:dyDescent="0.2">
      <c r="A118" s="42">
        <v>100173</v>
      </c>
      <c r="B118" s="43">
        <v>5</v>
      </c>
      <c r="C118" s="38"/>
      <c r="D118" s="43" t="s">
        <v>297</v>
      </c>
      <c r="E118" s="43" t="s">
        <v>30</v>
      </c>
      <c r="F118" s="42" t="s">
        <v>21</v>
      </c>
      <c r="G118" s="43" t="s">
        <v>21</v>
      </c>
      <c r="H118" s="42">
        <v>28</v>
      </c>
      <c r="I118" s="44">
        <v>45865</v>
      </c>
      <c r="J118" s="43" t="s">
        <v>22</v>
      </c>
      <c r="K118" s="45"/>
      <c r="L118" s="51">
        <f>VLOOKUP(A118,'[1]ناتج ملف Excel'!$A:$AV,44,0)</f>
        <v>13452</v>
      </c>
      <c r="M118" s="51">
        <f>VLOOKUP(A118,'[1]ناتج ملف Excel'!$A:$AV,46,0)</f>
        <v>1345.2</v>
      </c>
      <c r="N118" s="51">
        <f>VLOOKUP(A118,'[1]ناتج ملف Excel'!$A:$AV,47,0)</f>
        <v>3363</v>
      </c>
      <c r="O118" s="47">
        <f>VLOOKUP(A118,'[1]ناتج ملف Excel'!$A:$AV,48,0)</f>
        <v>300</v>
      </c>
      <c r="P118" s="47">
        <v>0</v>
      </c>
      <c r="Q118" s="48">
        <f t="shared" si="22"/>
        <v>1538.3500000000001</v>
      </c>
      <c r="R118" s="48">
        <f t="shared" si="23"/>
        <v>769.17500000000007</v>
      </c>
      <c r="S118" s="71">
        <f t="shared" si="26"/>
        <v>1975.7624999999998</v>
      </c>
      <c r="T118" s="47">
        <v>3080</v>
      </c>
      <c r="U118" s="48">
        <f t="shared" si="16"/>
        <v>3845.875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3">
        <f t="shared" si="24"/>
        <v>29669.362499999999</v>
      </c>
      <c r="AB118" s="3">
        <f t="shared" si="18"/>
        <v>356032.35</v>
      </c>
      <c r="AC118" s="3">
        <f t="shared" si="25"/>
        <v>356032.35</v>
      </c>
    </row>
    <row r="119" spans="1:29" x14ac:dyDescent="0.2">
      <c r="A119" s="42">
        <v>100174</v>
      </c>
      <c r="B119" s="43">
        <v>8</v>
      </c>
      <c r="C119" s="42" t="s">
        <v>32</v>
      </c>
      <c r="D119" s="43" t="s">
        <v>33</v>
      </c>
      <c r="E119" s="43"/>
      <c r="F119" s="42" t="s">
        <v>74</v>
      </c>
      <c r="G119" s="43" t="s">
        <v>41</v>
      </c>
      <c r="H119" s="42">
        <v>40</v>
      </c>
      <c r="I119" s="44">
        <v>45870</v>
      </c>
      <c r="J119" s="43" t="s">
        <v>22</v>
      </c>
      <c r="K119" s="45"/>
      <c r="L119" s="51">
        <f>VLOOKUP(A119,'[1]ناتج ملف Excel'!$A:$AV,44,0)</f>
        <v>35000</v>
      </c>
      <c r="M119" s="51">
        <f>VLOOKUP(A119,'[1]ناتج ملف Excel'!$A:$AV,46,0)</f>
        <v>3000</v>
      </c>
      <c r="N119" s="51">
        <f>VLOOKUP(A119,'[1]ناتج ملف Excel'!$A:$AV,47,0)</f>
        <v>8750</v>
      </c>
      <c r="O119" s="47">
        <f>VLOOKUP(A119,'[1]ناتج ملف Excel'!$A:$AV,48,0)</f>
        <v>500</v>
      </c>
      <c r="P119" s="47">
        <v>6250</v>
      </c>
      <c r="Q119" s="48">
        <f t="shared" si="22"/>
        <v>3937.5</v>
      </c>
      <c r="R119" s="48">
        <f t="shared" si="23"/>
        <v>1968.75</v>
      </c>
      <c r="S119" s="71">
        <f t="shared" si="26"/>
        <v>5140.625</v>
      </c>
      <c r="T119" s="47">
        <v>3080</v>
      </c>
      <c r="U119" s="48">
        <f t="shared" si="16"/>
        <v>9843.75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3">
        <f t="shared" si="24"/>
        <v>77470.625</v>
      </c>
      <c r="AB119" s="3">
        <f t="shared" si="18"/>
        <v>929647.5</v>
      </c>
      <c r="AC119" s="3">
        <f t="shared" si="25"/>
        <v>929647.5</v>
      </c>
    </row>
    <row r="120" spans="1:29" x14ac:dyDescent="0.2">
      <c r="A120" s="42">
        <v>100175</v>
      </c>
      <c r="B120" s="43">
        <v>5</v>
      </c>
      <c r="C120" s="42" t="s">
        <v>32</v>
      </c>
      <c r="D120" s="43" t="s">
        <v>33</v>
      </c>
      <c r="E120" s="43"/>
      <c r="F120" s="42" t="s">
        <v>21</v>
      </c>
      <c r="G120" s="43" t="s">
        <v>21</v>
      </c>
      <c r="H120" s="42">
        <v>30</v>
      </c>
      <c r="I120" s="44">
        <v>45879</v>
      </c>
      <c r="J120" s="43" t="s">
        <v>22</v>
      </c>
      <c r="K120" s="45"/>
      <c r="L120" s="51">
        <f>VLOOKUP(A120,'[1]ناتج ملف Excel'!$A:$AV,44,0)</f>
        <v>11526.85</v>
      </c>
      <c r="M120" s="51">
        <f>VLOOKUP(A120,'[1]ناتج ملف Excel'!$A:$AV,46,0)</f>
        <v>1152.6849999999999</v>
      </c>
      <c r="N120" s="51">
        <f>VLOOKUP(A120,'[1]ناتج ملف Excel'!$A:$AV,47,0)</f>
        <v>2881.712</v>
      </c>
      <c r="O120" s="47">
        <f>VLOOKUP(A120,'[1]ناتج ملف Excel'!$A:$AV,48,0)</f>
        <v>300</v>
      </c>
      <c r="P120" s="47">
        <v>0</v>
      </c>
      <c r="Q120" s="48">
        <f t="shared" si="22"/>
        <v>1321.7705833333332</v>
      </c>
      <c r="R120" s="48">
        <f t="shared" si="23"/>
        <v>660.8852916666666</v>
      </c>
      <c r="S120" s="71">
        <f t="shared" si="26"/>
        <v>1693.0060349999999</v>
      </c>
      <c r="T120" s="47">
        <v>3080</v>
      </c>
      <c r="U120" s="48">
        <f t="shared" si="16"/>
        <v>3304.4264583333334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3">
        <f t="shared" si="24"/>
        <v>25921.335368333333</v>
      </c>
      <c r="AB120" s="3">
        <f t="shared" si="18"/>
        <v>311056.02442000003</v>
      </c>
      <c r="AC120" s="3">
        <f t="shared" si="25"/>
        <v>311056.02442000003</v>
      </c>
    </row>
    <row r="121" spans="1:29" x14ac:dyDescent="0.2">
      <c r="A121" s="42">
        <v>100176</v>
      </c>
      <c r="B121" s="43">
        <v>6</v>
      </c>
      <c r="C121" s="38"/>
      <c r="D121" s="43" t="s">
        <v>23</v>
      </c>
      <c r="E121" s="43" t="s">
        <v>261</v>
      </c>
      <c r="F121" s="42" t="s">
        <v>21</v>
      </c>
      <c r="G121" s="43" t="s">
        <v>21</v>
      </c>
      <c r="H121" s="42">
        <v>38</v>
      </c>
      <c r="I121" s="44">
        <v>45879</v>
      </c>
      <c r="J121" s="43" t="s">
        <v>22</v>
      </c>
      <c r="K121" s="45"/>
      <c r="L121" s="51">
        <f>VLOOKUP(A121,'[1]ناتج ملف Excel'!$A:$AV,44,0)</f>
        <v>20662.07</v>
      </c>
      <c r="M121" s="51">
        <f>VLOOKUP(A121,'[1]ناتج ملف Excel'!$A:$AV,46,0)</f>
        <v>2066.2069999999999</v>
      </c>
      <c r="N121" s="51">
        <f>VLOOKUP(A121,'[1]ناتج ملف Excel'!$A:$AV,47,0)</f>
        <v>5165.518</v>
      </c>
      <c r="O121" s="47">
        <f>VLOOKUP(A121,'[1]ناتج ملف Excel'!$A:$AV,48,0)</f>
        <v>500</v>
      </c>
      <c r="P121" s="47">
        <v>0</v>
      </c>
      <c r="Q121" s="48">
        <f t="shared" si="22"/>
        <v>2366.1495833333333</v>
      </c>
      <c r="R121" s="48">
        <f t="shared" si="23"/>
        <v>1183.0747916666667</v>
      </c>
      <c r="S121" s="71">
        <f t="shared" si="26"/>
        <v>3034.7415899999996</v>
      </c>
      <c r="T121" s="47">
        <v>3080</v>
      </c>
      <c r="U121" s="48">
        <f t="shared" si="16"/>
        <v>5915.3739583333327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3">
        <f t="shared" si="24"/>
        <v>43973.134923333324</v>
      </c>
      <c r="AB121" s="3">
        <f t="shared" si="18"/>
        <v>527677.61907999986</v>
      </c>
      <c r="AC121" s="3">
        <f t="shared" si="25"/>
        <v>527677.61907999986</v>
      </c>
    </row>
    <row r="122" spans="1:29" x14ac:dyDescent="0.2">
      <c r="A122" s="42">
        <v>100177</v>
      </c>
      <c r="B122" s="43">
        <v>6</v>
      </c>
      <c r="C122" s="38" t="s">
        <v>273</v>
      </c>
      <c r="D122" s="43" t="s">
        <v>24</v>
      </c>
      <c r="E122" s="43" t="s">
        <v>261</v>
      </c>
      <c r="F122" s="42" t="s">
        <v>21</v>
      </c>
      <c r="G122" s="43" t="s">
        <v>21</v>
      </c>
      <c r="H122" s="42">
        <v>34</v>
      </c>
      <c r="I122" s="44">
        <v>45879</v>
      </c>
      <c r="J122" s="43" t="s">
        <v>22</v>
      </c>
      <c r="K122" s="45"/>
      <c r="L122" s="51">
        <f>VLOOKUP(A122,'[1]ناتج ملف Excel'!$A:$AV,44,0)</f>
        <v>21111.11</v>
      </c>
      <c r="M122" s="51">
        <f>VLOOKUP(A122,'[1]ناتج ملف Excel'!$A:$AV,46,0)</f>
        <v>2111.1109999999999</v>
      </c>
      <c r="N122" s="51">
        <f>VLOOKUP(A122,'[1]ناتج ملف Excel'!$A:$AV,47,0)</f>
        <v>5277.7780000000002</v>
      </c>
      <c r="O122" s="47">
        <f>VLOOKUP(A122,'[1]ناتج ملف Excel'!$A:$AV,48,0)</f>
        <v>500</v>
      </c>
      <c r="P122" s="47">
        <v>0</v>
      </c>
      <c r="Q122" s="48">
        <f t="shared" si="22"/>
        <v>2416.6665833333336</v>
      </c>
      <c r="R122" s="48">
        <f t="shared" si="23"/>
        <v>1208.3332916666666</v>
      </c>
      <c r="S122" s="71">
        <f t="shared" si="26"/>
        <v>3100.6943399999996</v>
      </c>
      <c r="T122" s="47">
        <v>3080</v>
      </c>
      <c r="U122" s="48">
        <f t="shared" si="16"/>
        <v>6041.666458333334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3">
        <f t="shared" si="24"/>
        <v>44847.359673333332</v>
      </c>
      <c r="AB122" s="3">
        <f t="shared" si="18"/>
        <v>538168.31608000002</v>
      </c>
      <c r="AC122" s="3">
        <f t="shared" si="25"/>
        <v>538168.31608000002</v>
      </c>
    </row>
    <row r="123" spans="1:29" x14ac:dyDescent="0.2">
      <c r="A123" s="42">
        <v>100178</v>
      </c>
      <c r="B123" s="43">
        <v>4</v>
      </c>
      <c r="C123" s="42" t="s">
        <v>32</v>
      </c>
      <c r="D123" s="43" t="s">
        <v>33</v>
      </c>
      <c r="E123" s="43"/>
      <c r="F123" s="42" t="s">
        <v>21</v>
      </c>
      <c r="G123" s="43" t="s">
        <v>21</v>
      </c>
      <c r="H123" s="42">
        <v>37</v>
      </c>
      <c r="I123" s="44">
        <v>45893</v>
      </c>
      <c r="J123" s="43" t="s">
        <v>22</v>
      </c>
      <c r="K123" s="45"/>
      <c r="L123" s="51">
        <f>VLOOKUP(A123,'[1]ناتج ملف Excel'!$A:$AV,44,0)</f>
        <v>8490</v>
      </c>
      <c r="M123" s="51">
        <f>VLOOKUP(A123,'[1]ناتج ملف Excel'!$A:$AV,46,0)</f>
        <v>849</v>
      </c>
      <c r="N123" s="51">
        <f>VLOOKUP(A123,'[1]ناتج ملف Excel'!$A:$AV,47,0)</f>
        <v>2122.5</v>
      </c>
      <c r="O123" s="47">
        <f>VLOOKUP(A123,'[1]ناتج ملف Excel'!$A:$AV,48,0)</f>
        <v>300</v>
      </c>
      <c r="P123" s="47">
        <v>0</v>
      </c>
      <c r="Q123" s="48">
        <f t="shared" si="22"/>
        <v>980.125</v>
      </c>
      <c r="R123" s="48">
        <f t="shared" si="23"/>
        <v>490.0625</v>
      </c>
      <c r="S123" s="71">
        <f t="shared" si="26"/>
        <v>1246.96875</v>
      </c>
      <c r="T123" s="47">
        <v>3080</v>
      </c>
      <c r="U123" s="48">
        <f t="shared" si="16"/>
        <v>2450.3125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3">
        <f t="shared" si="24"/>
        <v>20008.96875</v>
      </c>
      <c r="AB123" s="3">
        <f t="shared" si="18"/>
        <v>240107.625</v>
      </c>
      <c r="AC123" s="3">
        <f t="shared" si="25"/>
        <v>240107.625</v>
      </c>
    </row>
    <row r="124" spans="1:29" x14ac:dyDescent="0.2">
      <c r="A124" s="42">
        <v>100179</v>
      </c>
      <c r="B124" s="43">
        <v>7</v>
      </c>
      <c r="C124" s="38"/>
      <c r="D124" s="43" t="s">
        <v>29</v>
      </c>
      <c r="E124" s="43" t="s">
        <v>30</v>
      </c>
      <c r="F124" s="42" t="s">
        <v>21</v>
      </c>
      <c r="G124" s="43" t="s">
        <v>21</v>
      </c>
      <c r="H124" s="42">
        <v>29</v>
      </c>
      <c r="I124" s="44">
        <v>45900</v>
      </c>
      <c r="J124" s="43" t="s">
        <v>22</v>
      </c>
      <c r="K124" s="45"/>
      <c r="L124" s="51">
        <f>VLOOKUP(A124,'[1]ناتج ملف Excel'!$A:$AV,44,0)</f>
        <v>23481.48</v>
      </c>
      <c r="M124" s="51">
        <f>VLOOKUP(A124,'[1]ناتج ملف Excel'!$A:$AV,46,0)</f>
        <v>2348.1480000000001</v>
      </c>
      <c r="N124" s="51">
        <f>VLOOKUP(A124,'[1]ناتج ملف Excel'!$A:$AV,47,0)</f>
        <v>5870.37</v>
      </c>
      <c r="O124" s="47">
        <f>VLOOKUP(A124,'[1]ناتج ملف Excel'!$A:$AV,48,0)</f>
        <v>500</v>
      </c>
      <c r="P124" s="47">
        <v>0</v>
      </c>
      <c r="Q124" s="48">
        <f t="shared" si="22"/>
        <v>2683.3331666666668</v>
      </c>
      <c r="R124" s="48">
        <f t="shared" si="23"/>
        <v>1341.6665833333334</v>
      </c>
      <c r="S124" s="71">
        <f t="shared" si="26"/>
        <v>3448.8423749999997</v>
      </c>
      <c r="T124" s="47">
        <v>3080</v>
      </c>
      <c r="U124" s="48">
        <f t="shared" si="16"/>
        <v>6708.3329166666663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3">
        <f t="shared" si="24"/>
        <v>49462.173041666661</v>
      </c>
      <c r="AB124" s="3">
        <f t="shared" si="18"/>
        <v>593546.07649999997</v>
      </c>
      <c r="AC124" s="3">
        <f t="shared" si="25"/>
        <v>593546.07649999997</v>
      </c>
    </row>
    <row r="125" spans="1:29" x14ac:dyDescent="0.2">
      <c r="A125" s="42">
        <v>100180</v>
      </c>
      <c r="B125" s="43">
        <v>4</v>
      </c>
      <c r="C125" s="43" t="s">
        <v>290</v>
      </c>
      <c r="D125" s="43" t="s">
        <v>26</v>
      </c>
      <c r="E125" s="43" t="s">
        <v>27</v>
      </c>
      <c r="F125" s="42" t="s">
        <v>21</v>
      </c>
      <c r="G125" s="43" t="s">
        <v>21</v>
      </c>
      <c r="H125" s="42">
        <v>27</v>
      </c>
      <c r="I125" s="44">
        <v>45907</v>
      </c>
      <c r="J125" s="43" t="s">
        <v>22</v>
      </c>
      <c r="K125" s="45"/>
      <c r="L125" s="51">
        <f>VLOOKUP(A125,'[1]ناتج ملف Excel'!$A:$AV,44,0)</f>
        <v>10013.66</v>
      </c>
      <c r="M125" s="51">
        <f>VLOOKUP(A125,'[1]ناتج ملف Excel'!$A:$AV,46,0)</f>
        <v>1001.366</v>
      </c>
      <c r="N125" s="51">
        <f>VLOOKUP(A125,'[1]ناتج ملف Excel'!$A:$AV,47,0)</f>
        <v>2503.415</v>
      </c>
      <c r="O125" s="47">
        <f>VLOOKUP(A125,'[1]ناتج ملف Excel'!$A:$AV,48,0)</f>
        <v>300</v>
      </c>
      <c r="P125" s="47">
        <v>0</v>
      </c>
      <c r="Q125" s="48">
        <f t="shared" si="22"/>
        <v>1151.53675</v>
      </c>
      <c r="R125" s="48">
        <f t="shared" si="23"/>
        <v>575.76837499999999</v>
      </c>
      <c r="S125" s="71">
        <f t="shared" si="26"/>
        <v>1470.7563124999999</v>
      </c>
      <c r="T125" s="47">
        <v>3080</v>
      </c>
      <c r="U125" s="48">
        <f t="shared" si="16"/>
        <v>2878.8418749999996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3">
        <f t="shared" si="24"/>
        <v>22975.344312499998</v>
      </c>
      <c r="AB125" s="3">
        <f t="shared" si="18"/>
        <v>275704.13174999994</v>
      </c>
      <c r="AC125" s="3">
        <f t="shared" si="25"/>
        <v>275704.13174999994</v>
      </c>
    </row>
    <row r="126" spans="1:29" x14ac:dyDescent="0.2">
      <c r="A126" s="42">
        <v>100181</v>
      </c>
      <c r="B126" s="43">
        <v>10</v>
      </c>
      <c r="C126" s="43"/>
      <c r="D126" s="38"/>
      <c r="E126" s="43" t="s">
        <v>27</v>
      </c>
      <c r="F126" s="42" t="s">
        <v>21</v>
      </c>
      <c r="G126" s="43" t="s">
        <v>21</v>
      </c>
      <c r="H126" s="42">
        <v>43</v>
      </c>
      <c r="I126" s="44">
        <v>45942</v>
      </c>
      <c r="J126" s="43" t="s">
        <v>22</v>
      </c>
      <c r="K126" s="45"/>
      <c r="L126" s="51">
        <f>VLOOKUP(A126,'[1]ناتج ملف Excel'!$A:$AV,44,0)</f>
        <v>102161.76</v>
      </c>
      <c r="M126" s="51">
        <f>VLOOKUP(A126,'[1]ناتج ملف Excel'!$A:$AV,46,0)</f>
        <v>3500</v>
      </c>
      <c r="N126" s="51">
        <f>VLOOKUP(A126,'[1]ناتج ملف Excel'!$A:$AV,47,0)</f>
        <v>25540.44</v>
      </c>
      <c r="O126" s="47">
        <f>VLOOKUP(A126,'[1]ناتج ملف Excel'!$A:$AV,48,0)</f>
        <v>800</v>
      </c>
      <c r="P126" s="47">
        <v>4166.666666666667</v>
      </c>
      <c r="Q126" s="48">
        <f t="shared" si="22"/>
        <v>11000.183333333332</v>
      </c>
      <c r="R126" s="48">
        <f t="shared" si="23"/>
        <v>5500.0916666666662</v>
      </c>
      <c r="S126" s="71">
        <v>5287.5</v>
      </c>
      <c r="T126" s="47">
        <v>3080</v>
      </c>
      <c r="U126" s="48">
        <f t="shared" si="16"/>
        <v>27500.458333333328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3">
        <f t="shared" si="24"/>
        <v>188537.09999999998</v>
      </c>
      <c r="AB126" s="3">
        <f t="shared" si="18"/>
        <v>2262445.1999999997</v>
      </c>
      <c r="AC126" s="3">
        <f t="shared" si="25"/>
        <v>2262445.1999999997</v>
      </c>
    </row>
    <row r="127" spans="1:29" x14ac:dyDescent="0.2">
      <c r="A127" s="42">
        <v>100182</v>
      </c>
      <c r="B127" s="43">
        <v>7</v>
      </c>
      <c r="C127" s="43" t="s">
        <v>292</v>
      </c>
      <c r="D127" s="38" t="s">
        <v>19</v>
      </c>
      <c r="E127" s="43" t="s">
        <v>261</v>
      </c>
      <c r="F127" s="42" t="s">
        <v>21</v>
      </c>
      <c r="G127" s="43" t="s">
        <v>21</v>
      </c>
      <c r="H127" s="42">
        <v>41</v>
      </c>
      <c r="I127" s="44">
        <v>45951</v>
      </c>
      <c r="J127" s="43" t="s">
        <v>22</v>
      </c>
      <c r="K127" s="45"/>
      <c r="L127" s="51">
        <f>VLOOKUP(A127,'[1]ناتج ملف Excel'!$A:$AV,44,0)</f>
        <v>25000</v>
      </c>
      <c r="M127" s="51">
        <f>VLOOKUP(A127,'[1]ناتج ملف Excel'!$A:$AV,46,0)</f>
        <v>2500</v>
      </c>
      <c r="N127" s="51">
        <f>VLOOKUP(A127,'[1]ناتج ملف Excel'!$A:$AV,47,0)</f>
        <v>6250</v>
      </c>
      <c r="O127" s="47">
        <f>VLOOKUP(A127,'[1]ناتج ملف Excel'!$A:$AV,48,0)</f>
        <v>500</v>
      </c>
      <c r="P127" s="47">
        <v>8333.3333333333339</v>
      </c>
      <c r="Q127" s="48">
        <f t="shared" si="22"/>
        <v>2854.1666666666665</v>
      </c>
      <c r="R127" s="48">
        <f t="shared" si="23"/>
        <v>1427.0833333333333</v>
      </c>
      <c r="S127" s="71">
        <f t="shared" si="26"/>
        <v>3671.875</v>
      </c>
      <c r="T127" s="47">
        <v>3080</v>
      </c>
      <c r="U127" s="48">
        <f t="shared" si="16"/>
        <v>7135.416666666667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3">
        <f t="shared" si="24"/>
        <v>60751.875</v>
      </c>
      <c r="AB127" s="3">
        <f t="shared" si="18"/>
        <v>729022.5</v>
      </c>
      <c r="AC127" s="3">
        <f t="shared" si="25"/>
        <v>729022.5</v>
      </c>
    </row>
    <row r="128" spans="1:29" x14ac:dyDescent="0.2">
      <c r="A128" s="42">
        <v>100183</v>
      </c>
      <c r="B128" s="43">
        <v>9</v>
      </c>
      <c r="C128" s="43" t="s">
        <v>52</v>
      </c>
      <c r="D128" s="38" t="s">
        <v>52</v>
      </c>
      <c r="E128" s="43" t="s">
        <v>27</v>
      </c>
      <c r="F128" s="42" t="s">
        <v>21</v>
      </c>
      <c r="G128" s="43" t="s">
        <v>21</v>
      </c>
      <c r="H128" s="42">
        <v>42</v>
      </c>
      <c r="I128" s="44">
        <v>45963</v>
      </c>
      <c r="J128" s="43" t="s">
        <v>22</v>
      </c>
      <c r="K128" s="45"/>
      <c r="L128" s="51">
        <f>VLOOKUP(A128,'[1]ناتج ملف Excel'!$A:$AV,44,0)</f>
        <v>67272.36</v>
      </c>
      <c r="M128" s="51">
        <f>VLOOKUP(A128,'[1]ناتج ملف Excel'!$A:$AV,46,0)</f>
        <v>3500</v>
      </c>
      <c r="N128" s="51">
        <f>VLOOKUP(A128,'[1]ناتج ملف Excel'!$A:$AV,47,0)</f>
        <v>16818.09</v>
      </c>
      <c r="O128" s="47">
        <f>VLOOKUP(A128,'[1]ناتج ملف Excel'!$A:$AV,48,0)</f>
        <v>800</v>
      </c>
      <c r="P128" s="47">
        <v>8333.3333333333303</v>
      </c>
      <c r="Q128" s="48">
        <f t="shared" si="22"/>
        <v>7365.8708333333334</v>
      </c>
      <c r="R128" s="48">
        <f t="shared" si="23"/>
        <v>3682.9354166666667</v>
      </c>
      <c r="S128" s="71">
        <v>5287.5</v>
      </c>
      <c r="T128" s="47">
        <v>3080</v>
      </c>
      <c r="U128" s="48">
        <f t="shared" si="16"/>
        <v>18414.677083333332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3">
        <f t="shared" si="24"/>
        <v>134554.76666666666</v>
      </c>
      <c r="AB128" s="3">
        <f t="shared" si="18"/>
        <v>1614657.2</v>
      </c>
      <c r="AC128" s="3">
        <f t="shared" si="25"/>
        <v>1614657.2</v>
      </c>
    </row>
    <row r="129" spans="1:29" x14ac:dyDescent="0.2">
      <c r="A129" s="42">
        <v>100185</v>
      </c>
      <c r="B129" s="43">
        <v>8</v>
      </c>
      <c r="C129" s="43" t="s">
        <v>57</v>
      </c>
      <c r="D129" s="43" t="s">
        <v>293</v>
      </c>
      <c r="E129" s="43" t="s">
        <v>35</v>
      </c>
      <c r="F129" s="42" t="s">
        <v>21</v>
      </c>
      <c r="G129" s="43" t="s">
        <v>21</v>
      </c>
      <c r="H129" s="42">
        <v>36</v>
      </c>
      <c r="I129" s="44">
        <v>45985</v>
      </c>
      <c r="J129" s="43" t="s">
        <v>22</v>
      </c>
      <c r="K129" s="45"/>
      <c r="L129" s="51">
        <f>VLOOKUP(A129,'[1]ناتج ملف Excel'!$A:$AV,44,0)</f>
        <v>46862.13</v>
      </c>
      <c r="M129" s="51">
        <f>VLOOKUP(A129,'[1]ناتج ملف Excel'!$A:$AV,46,0)</f>
        <v>3000</v>
      </c>
      <c r="N129" s="51">
        <f>VLOOKUP(A129,'[1]ناتج ملف Excel'!$A:$AV,47,0)</f>
        <v>11715.531999999999</v>
      </c>
      <c r="O129" s="47">
        <f>VLOOKUP(A129,'[1]ناتج ملف Excel'!$A:$AV,48,0)</f>
        <v>500</v>
      </c>
      <c r="P129" s="47">
        <v>0</v>
      </c>
      <c r="Q129" s="48">
        <f t="shared" si="22"/>
        <v>5173.1385</v>
      </c>
      <c r="R129" s="48">
        <f t="shared" si="23"/>
        <v>2586.56925</v>
      </c>
      <c r="S129" s="71">
        <v>5287.5</v>
      </c>
      <c r="T129" s="47">
        <v>3080</v>
      </c>
      <c r="U129" s="48">
        <f t="shared" si="16"/>
        <v>12932.846250000001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3">
        <f t="shared" si="24"/>
        <v>91137.716</v>
      </c>
      <c r="AB129" s="3">
        <f t="shared" si="18"/>
        <v>1093652.5919999999</v>
      </c>
      <c r="AC129" s="3">
        <f t="shared" si="25"/>
        <v>1093652.5919999999</v>
      </c>
    </row>
    <row r="130" spans="1:29" x14ac:dyDescent="0.2">
      <c r="A130" s="42">
        <v>100186</v>
      </c>
      <c r="B130" s="43">
        <v>9</v>
      </c>
      <c r="C130" s="43" t="s">
        <v>57</v>
      </c>
      <c r="D130" s="43" t="s">
        <v>293</v>
      </c>
      <c r="E130" s="43" t="s">
        <v>35</v>
      </c>
      <c r="F130" s="42" t="s">
        <v>21</v>
      </c>
      <c r="G130" s="43" t="s">
        <v>21</v>
      </c>
      <c r="H130" s="42">
        <v>45</v>
      </c>
      <c r="I130" s="44">
        <v>45998</v>
      </c>
      <c r="J130" s="43" t="s">
        <v>22</v>
      </c>
      <c r="K130" s="45"/>
      <c r="L130" s="51">
        <f>VLOOKUP(A130,'[1]ناتج ملف Excel'!$A:$AV,44,0)</f>
        <v>56560</v>
      </c>
      <c r="M130" s="51">
        <f>VLOOKUP(A130,'[1]ناتج ملف Excel'!$A:$AV,46,0)</f>
        <v>3500</v>
      </c>
      <c r="N130" s="51">
        <f>VLOOKUP(A130,'[1]ناتج ملف Excel'!$A:$AV,47,0)</f>
        <v>14140</v>
      </c>
      <c r="O130" s="47">
        <f>VLOOKUP(A130,'[1]ناتج ملف Excel'!$A:$AV,48,0)</f>
        <v>800</v>
      </c>
      <c r="P130" s="47">
        <v>6250</v>
      </c>
      <c r="Q130" s="48">
        <f t="shared" si="22"/>
        <v>6250</v>
      </c>
      <c r="R130" s="48">
        <f t="shared" si="23"/>
        <v>3125</v>
      </c>
      <c r="S130" s="71">
        <v>5287.5</v>
      </c>
      <c r="T130" s="47">
        <v>3080</v>
      </c>
      <c r="U130" s="48">
        <f t="shared" si="16"/>
        <v>15625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3">
        <f t="shared" si="24"/>
        <v>114617.5</v>
      </c>
      <c r="AB130" s="3">
        <f t="shared" si="18"/>
        <v>1375410</v>
      </c>
      <c r="AC130" s="3">
        <f t="shared" si="25"/>
        <v>1375410</v>
      </c>
    </row>
    <row r="131" spans="1:29" x14ac:dyDescent="0.2">
      <c r="A131" s="42">
        <v>100187</v>
      </c>
      <c r="B131" s="43">
        <v>5</v>
      </c>
      <c r="C131" s="43" t="s">
        <v>57</v>
      </c>
      <c r="D131" s="38" t="s">
        <v>298</v>
      </c>
      <c r="E131" s="43" t="s">
        <v>35</v>
      </c>
      <c r="F131" s="42" t="s">
        <v>21</v>
      </c>
      <c r="G131" s="43" t="s">
        <v>21</v>
      </c>
      <c r="H131" s="42">
        <v>27</v>
      </c>
      <c r="I131" s="44">
        <v>45998</v>
      </c>
      <c r="J131" s="43" t="s">
        <v>22</v>
      </c>
      <c r="K131" s="45"/>
      <c r="L131" s="51">
        <f>VLOOKUP(A131,'[1]ناتج ملف Excel'!$A:$AV,44,0)</f>
        <v>13625.23</v>
      </c>
      <c r="M131" s="51">
        <f>VLOOKUP(A131,'[1]ناتج ملف Excel'!$A:$AV,46,0)</f>
        <v>1362.5229999999999</v>
      </c>
      <c r="N131" s="51">
        <f>VLOOKUP(A131,'[1]ناتج ملف Excel'!$A:$AV,47,0)</f>
        <v>3406.308</v>
      </c>
      <c r="O131" s="47">
        <f>VLOOKUP(A131,'[1]ناتج ملف Excel'!$A:$AV,48,0)</f>
        <v>300</v>
      </c>
      <c r="P131" s="47">
        <v>0</v>
      </c>
      <c r="Q131" s="48">
        <f t="shared" ref="Q131:Q141" si="27">(L131+M131+N131+O131)/12</f>
        <v>1557.8384166666665</v>
      </c>
      <c r="R131" s="48">
        <f t="shared" ref="R131:R141" si="28">(O131+N131+M131+L131)/12/2</f>
        <v>778.91920833333336</v>
      </c>
      <c r="S131" s="71">
        <f t="shared" si="26"/>
        <v>2001.2057150000001</v>
      </c>
      <c r="T131" s="47">
        <v>3080</v>
      </c>
      <c r="U131" s="48">
        <f t="shared" ref="U131:U195" si="29">(L131+M131+N131+O131)*2.5/12</f>
        <v>3894.5960416666662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3">
        <f t="shared" ref="AA131:AA141" si="30">SUBTOTAL(9,L131:Z131)</f>
        <v>30006.620381666664</v>
      </c>
      <c r="AB131" s="3">
        <f t="shared" ref="AB131:AB195" si="31">AA131*12</f>
        <v>360079.44457999995</v>
      </c>
      <c r="AC131" s="3">
        <f t="shared" ref="AC131:AC140" si="32">AB131</f>
        <v>360079.44457999995</v>
      </c>
    </row>
    <row r="132" spans="1:29" x14ac:dyDescent="0.2">
      <c r="A132" s="42">
        <v>100188</v>
      </c>
      <c r="B132" s="43">
        <v>9</v>
      </c>
      <c r="C132" s="38"/>
      <c r="D132" s="43" t="s">
        <v>53</v>
      </c>
      <c r="E132" s="43" t="s">
        <v>40</v>
      </c>
      <c r="F132" s="42" t="s">
        <v>21</v>
      </c>
      <c r="G132" s="43" t="s">
        <v>21</v>
      </c>
      <c r="H132" s="42">
        <v>45</v>
      </c>
      <c r="I132" s="44">
        <v>46023</v>
      </c>
      <c r="J132" s="43" t="s">
        <v>22</v>
      </c>
      <c r="K132" s="45"/>
      <c r="L132" s="51">
        <f>VLOOKUP(A132,'[1]ناتج ملف Excel'!$A:$AV,44,0)</f>
        <v>37846.47</v>
      </c>
      <c r="M132" s="51">
        <f>VLOOKUP(A132,'[1]ناتج ملف Excel'!$A:$AV,46,0)</f>
        <v>3500</v>
      </c>
      <c r="N132" s="51">
        <f>VLOOKUP(A132,'[1]ناتج ملف Excel'!$A:$AV,47,0)</f>
        <v>9461.6180000000004</v>
      </c>
      <c r="O132" s="47">
        <f>VLOOKUP(A132,'[1]ناتج ملف Excel'!$A:$AV,48,0)</f>
        <v>800</v>
      </c>
      <c r="P132" s="47">
        <v>6250</v>
      </c>
      <c r="Q132" s="48">
        <f t="shared" si="27"/>
        <v>4300.674</v>
      </c>
      <c r="R132" s="48">
        <f t="shared" si="28"/>
        <v>2150.337</v>
      </c>
      <c r="S132" s="71">
        <v>5287.5</v>
      </c>
      <c r="T132" s="47">
        <v>3080</v>
      </c>
      <c r="U132" s="48">
        <f t="shared" si="29"/>
        <v>10751.684999999999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3">
        <f t="shared" si="30"/>
        <v>83428.284</v>
      </c>
      <c r="AB132" s="3">
        <f t="shared" si="31"/>
        <v>1001139.4080000001</v>
      </c>
      <c r="AC132" s="3">
        <f t="shared" si="32"/>
        <v>1001139.4080000001</v>
      </c>
    </row>
    <row r="133" spans="1:29" x14ac:dyDescent="0.2">
      <c r="A133" s="42">
        <v>100189</v>
      </c>
      <c r="B133" s="43">
        <v>9</v>
      </c>
      <c r="C133" s="38" t="s">
        <v>57</v>
      </c>
      <c r="D133" s="43" t="s">
        <v>26</v>
      </c>
      <c r="E133" s="43" t="s">
        <v>27</v>
      </c>
      <c r="F133" s="42" t="s">
        <v>21</v>
      </c>
      <c r="G133" s="43" t="s">
        <v>21</v>
      </c>
      <c r="H133" s="42">
        <v>36</v>
      </c>
      <c r="I133" s="44">
        <v>46026</v>
      </c>
      <c r="J133" s="43" t="s">
        <v>22</v>
      </c>
      <c r="K133" s="45"/>
      <c r="L133" s="51">
        <f>VLOOKUP(A133,'[1]ناتج ملف Excel'!$A:$AV,44,0)</f>
        <v>63182.14</v>
      </c>
      <c r="M133" s="51">
        <f>VLOOKUP(A133,'[1]ناتج ملف Excel'!$A:$AV,46,0)</f>
        <v>3500</v>
      </c>
      <c r="N133" s="51">
        <f>VLOOKUP(A133,'[1]ناتج ملف Excel'!$A:$AV,47,0)</f>
        <v>15795.535</v>
      </c>
      <c r="O133" s="47">
        <f>VLOOKUP(A133,'[1]ناتج ملف Excel'!$A:$AV,48,0)</f>
        <v>800</v>
      </c>
      <c r="P133" s="47">
        <v>0</v>
      </c>
      <c r="Q133" s="48">
        <f t="shared" si="27"/>
        <v>6939.8062500000005</v>
      </c>
      <c r="R133" s="48">
        <f t="shared" si="28"/>
        <v>3469.9031250000003</v>
      </c>
      <c r="S133" s="71">
        <v>5287.5</v>
      </c>
      <c r="T133" s="47">
        <v>3080</v>
      </c>
      <c r="U133" s="48">
        <f t="shared" si="29"/>
        <v>17349.515625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3">
        <f t="shared" si="30"/>
        <v>119404.4</v>
      </c>
      <c r="AB133" s="3">
        <f t="shared" si="31"/>
        <v>1432852.7999999998</v>
      </c>
      <c r="AC133" s="3">
        <f t="shared" si="32"/>
        <v>1432852.7999999998</v>
      </c>
    </row>
    <row r="134" spans="1:29" x14ac:dyDescent="0.2">
      <c r="A134" s="42">
        <v>100190</v>
      </c>
      <c r="B134" s="43">
        <v>6</v>
      </c>
      <c r="C134" s="42" t="s">
        <v>32</v>
      </c>
      <c r="D134" s="43" t="s">
        <v>33</v>
      </c>
      <c r="E134" s="43"/>
      <c r="F134" s="42" t="s">
        <v>21</v>
      </c>
      <c r="G134" s="43" t="s">
        <v>21</v>
      </c>
      <c r="H134" s="42">
        <v>42</v>
      </c>
      <c r="I134" s="44">
        <v>46040</v>
      </c>
      <c r="J134" s="43" t="s">
        <v>22</v>
      </c>
      <c r="K134" s="45"/>
      <c r="L134" s="51">
        <f>VLOOKUP(A134,'[1]ناتج ملف Excel'!$A:$AV,44,0)</f>
        <v>14748.38</v>
      </c>
      <c r="M134" s="51">
        <f>VLOOKUP(A134,'[1]ناتج ملف Excel'!$A:$AV,46,0)</f>
        <v>1474.838</v>
      </c>
      <c r="N134" s="51">
        <f>VLOOKUP(A134,'[1]ناتج ملف Excel'!$A:$AV,47,0)</f>
        <v>3687.0949999999998</v>
      </c>
      <c r="O134" s="47">
        <f>VLOOKUP(A134,'[1]ناتج ملف Excel'!$A:$AV,48,0)</f>
        <v>500</v>
      </c>
      <c r="P134" s="47">
        <v>0</v>
      </c>
      <c r="Q134" s="48">
        <f t="shared" si="27"/>
        <v>1700.8594166666664</v>
      </c>
      <c r="R134" s="48">
        <f t="shared" si="28"/>
        <v>850.42970833333322</v>
      </c>
      <c r="S134" s="71">
        <f t="shared" ref="S132:S141" si="33">(L134+N134)*11.75%</f>
        <v>2166.1683124999995</v>
      </c>
      <c r="T134" s="47">
        <v>3080</v>
      </c>
      <c r="U134" s="48">
        <f t="shared" si="29"/>
        <v>4252.1485416666665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3">
        <f t="shared" si="30"/>
        <v>32459.918979166661</v>
      </c>
      <c r="AB134" s="3">
        <f t="shared" si="31"/>
        <v>389519.02774999995</v>
      </c>
      <c r="AC134" s="3">
        <f t="shared" si="32"/>
        <v>389519.02774999995</v>
      </c>
    </row>
    <row r="135" spans="1:29" x14ac:dyDescent="0.2">
      <c r="A135" s="42">
        <v>100192</v>
      </c>
      <c r="B135" s="43">
        <v>5</v>
      </c>
      <c r="C135" s="43"/>
      <c r="D135" s="38"/>
      <c r="E135" s="43" t="s">
        <v>35</v>
      </c>
      <c r="F135" s="42" t="s">
        <v>21</v>
      </c>
      <c r="G135" s="43" t="s">
        <v>21</v>
      </c>
      <c r="H135" s="42">
        <v>43</v>
      </c>
      <c r="I135" s="44">
        <v>46117</v>
      </c>
      <c r="J135" s="43" t="s">
        <v>22</v>
      </c>
      <c r="K135" s="45"/>
      <c r="L135" s="51">
        <f>VLOOKUP(A135,'[1]ناتج ملف Excel'!$A:$AV,44,0)</f>
        <v>14237.04</v>
      </c>
      <c r="M135" s="51">
        <f>VLOOKUP(A135,'[1]ناتج ملف Excel'!$A:$AV,46,0)</f>
        <v>1423.704</v>
      </c>
      <c r="N135" s="51">
        <f>VLOOKUP(A135,'[1]ناتج ملف Excel'!$A:$AV,47,0)</f>
        <v>3559.26</v>
      </c>
      <c r="O135" s="47">
        <f>VLOOKUP(A135,'[1]ناتج ملف Excel'!$A:$AV,48,0)</f>
        <v>300</v>
      </c>
      <c r="P135" s="47">
        <v>0</v>
      </c>
      <c r="Q135" s="48">
        <f t="shared" si="27"/>
        <v>1626.6670000000001</v>
      </c>
      <c r="R135" s="48">
        <f t="shared" si="28"/>
        <v>813.33350000000007</v>
      </c>
      <c r="S135" s="71">
        <f t="shared" si="33"/>
        <v>2091.0652500000001</v>
      </c>
      <c r="T135" s="47">
        <v>3080</v>
      </c>
      <c r="U135" s="48">
        <f t="shared" si="29"/>
        <v>4066.6675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3">
        <f t="shared" si="30"/>
        <v>31197.737250000002</v>
      </c>
      <c r="AB135" s="3">
        <f t="shared" si="31"/>
        <v>374372.84700000001</v>
      </c>
      <c r="AC135" s="3">
        <f t="shared" si="32"/>
        <v>374372.84700000001</v>
      </c>
    </row>
    <row r="136" spans="1:29" x14ac:dyDescent="0.2">
      <c r="A136" s="42">
        <v>100191</v>
      </c>
      <c r="B136" s="43" t="s">
        <v>299</v>
      </c>
      <c r="C136" s="43" t="s">
        <v>28</v>
      </c>
      <c r="D136" s="38"/>
      <c r="E136" s="43"/>
      <c r="F136" s="42" t="s">
        <v>21</v>
      </c>
      <c r="G136" s="43" t="s">
        <v>21</v>
      </c>
      <c r="H136" s="42">
        <v>54</v>
      </c>
      <c r="I136" s="44">
        <v>46082</v>
      </c>
      <c r="J136" s="43" t="s">
        <v>22</v>
      </c>
      <c r="K136" s="45"/>
      <c r="L136" s="51">
        <f>VLOOKUP(A136,'[1]ناتج ملف Excel'!$A:$AV,44,0)</f>
        <v>164560</v>
      </c>
      <c r="M136" s="51">
        <f>VLOOKUP(A136,'[1]ناتج ملف Excel'!$A:$AV,46,0)</f>
        <v>3500</v>
      </c>
      <c r="N136" s="51">
        <f>VLOOKUP(A136,'[1]ناتج ملف Excel'!$A:$AV,47,0)</f>
        <v>41140</v>
      </c>
      <c r="O136" s="47">
        <f>VLOOKUP(A136,'[1]ناتج ملف Excel'!$A:$AV,48,0)</f>
        <v>800</v>
      </c>
      <c r="P136" s="47">
        <v>2083</v>
      </c>
      <c r="Q136" s="48">
        <f t="shared" si="27"/>
        <v>17500</v>
      </c>
      <c r="R136" s="48">
        <f t="shared" si="28"/>
        <v>8750</v>
      </c>
      <c r="S136" s="71">
        <v>5287.5</v>
      </c>
      <c r="T136" s="47">
        <v>3080</v>
      </c>
      <c r="U136" s="48">
        <f t="shared" si="29"/>
        <v>43750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3">
        <f t="shared" si="30"/>
        <v>290450.5</v>
      </c>
      <c r="AB136" s="3">
        <f t="shared" si="31"/>
        <v>3485406</v>
      </c>
      <c r="AC136" s="3">
        <f t="shared" si="32"/>
        <v>3485406</v>
      </c>
    </row>
    <row r="137" spans="1:29" x14ac:dyDescent="0.2">
      <c r="A137" s="42">
        <v>100193</v>
      </c>
      <c r="B137" s="43" t="s">
        <v>305</v>
      </c>
      <c r="C137" s="43"/>
      <c r="D137" s="38" t="s">
        <v>293</v>
      </c>
      <c r="E137" s="43" t="s">
        <v>35</v>
      </c>
      <c r="F137" s="42" t="s">
        <v>21</v>
      </c>
      <c r="G137" s="42" t="s">
        <v>21</v>
      </c>
      <c r="H137" s="42">
        <v>37</v>
      </c>
      <c r="I137" s="44">
        <v>46175</v>
      </c>
      <c r="J137" s="43" t="s">
        <v>22</v>
      </c>
      <c r="K137" s="45"/>
      <c r="L137" s="54">
        <v>9036.5300000000007</v>
      </c>
      <c r="M137" s="55">
        <v>903.65300000000002</v>
      </c>
      <c r="N137" s="51">
        <v>2259.1320000000001</v>
      </c>
      <c r="O137" s="47">
        <v>300</v>
      </c>
      <c r="P137" s="47">
        <v>0</v>
      </c>
      <c r="Q137" s="48">
        <f t="shared" si="27"/>
        <v>1041.6095833333334</v>
      </c>
      <c r="R137" s="48">
        <f t="shared" si="28"/>
        <v>520.80479166666669</v>
      </c>
      <c r="S137" s="71">
        <f t="shared" si="33"/>
        <v>1327.2402849999999</v>
      </c>
      <c r="T137" s="47">
        <v>3080</v>
      </c>
      <c r="U137" s="48">
        <f t="shared" si="29"/>
        <v>2604.0239583333337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3">
        <f t="shared" si="30"/>
        <v>21072.993618333338</v>
      </c>
      <c r="AB137" s="3">
        <f t="shared" si="31"/>
        <v>252875.92342000006</v>
      </c>
      <c r="AC137" s="3">
        <f t="shared" si="32"/>
        <v>252875.92342000006</v>
      </c>
    </row>
    <row r="138" spans="1:29" x14ac:dyDescent="0.2">
      <c r="A138" s="42">
        <v>100194</v>
      </c>
      <c r="B138" s="43" t="s">
        <v>306</v>
      </c>
      <c r="C138" s="43"/>
      <c r="D138" s="38" t="s">
        <v>307</v>
      </c>
      <c r="E138" s="43"/>
      <c r="F138" s="42" t="s">
        <v>21</v>
      </c>
      <c r="G138" s="42" t="s">
        <v>21</v>
      </c>
      <c r="H138" s="42">
        <v>36</v>
      </c>
      <c r="I138" s="44">
        <v>46182</v>
      </c>
      <c r="J138" s="43" t="s">
        <v>22</v>
      </c>
      <c r="K138" s="45"/>
      <c r="L138" s="51">
        <v>46657.34</v>
      </c>
      <c r="M138" s="51">
        <v>3000</v>
      </c>
      <c r="N138" s="51">
        <v>11664.334999999999</v>
      </c>
      <c r="O138" s="47">
        <v>500</v>
      </c>
      <c r="P138" s="47">
        <v>0</v>
      </c>
      <c r="Q138" s="48">
        <f t="shared" si="27"/>
        <v>5151.8062499999996</v>
      </c>
      <c r="R138" s="48">
        <f t="shared" si="28"/>
        <v>2575.9031249999998</v>
      </c>
      <c r="S138" s="71">
        <v>5287.5</v>
      </c>
      <c r="T138" s="47">
        <v>3080</v>
      </c>
      <c r="U138" s="48">
        <f t="shared" si="29"/>
        <v>12879.515625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3">
        <f t="shared" si="30"/>
        <v>90796.4</v>
      </c>
      <c r="AB138" s="3">
        <f t="shared" si="31"/>
        <v>1089556.7999999998</v>
      </c>
      <c r="AC138" s="3">
        <f t="shared" si="32"/>
        <v>1089556.7999999998</v>
      </c>
    </row>
    <row r="139" spans="1:29" x14ac:dyDescent="0.2">
      <c r="A139" s="42">
        <v>100195</v>
      </c>
      <c r="B139" s="43" t="s">
        <v>306</v>
      </c>
      <c r="C139" t="s">
        <v>57</v>
      </c>
      <c r="D139" s="43" t="s">
        <v>26</v>
      </c>
      <c r="E139" s="43" t="s">
        <v>27</v>
      </c>
      <c r="F139" s="42" t="s">
        <v>21</v>
      </c>
      <c r="G139" s="42" t="s">
        <v>21</v>
      </c>
      <c r="H139" s="42">
        <v>34</v>
      </c>
      <c r="I139" s="44">
        <v>46029</v>
      </c>
      <c r="J139" s="43" t="s">
        <v>22</v>
      </c>
      <c r="K139" s="45"/>
      <c r="L139" s="51">
        <v>31220</v>
      </c>
      <c r="M139" s="51">
        <v>3000</v>
      </c>
      <c r="N139" s="51">
        <v>7805</v>
      </c>
      <c r="O139" s="47">
        <v>500</v>
      </c>
      <c r="P139" s="47">
        <v>0</v>
      </c>
      <c r="Q139" s="48">
        <f t="shared" si="27"/>
        <v>3543.75</v>
      </c>
      <c r="R139" s="48">
        <f t="shared" si="28"/>
        <v>1771.875</v>
      </c>
      <c r="S139" s="71">
        <f t="shared" si="33"/>
        <v>4585.4375</v>
      </c>
      <c r="T139" s="47">
        <v>3080</v>
      </c>
      <c r="U139" s="48">
        <f t="shared" si="29"/>
        <v>8859.375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3">
        <f t="shared" si="30"/>
        <v>64365.4375</v>
      </c>
      <c r="AB139" s="3">
        <f t="shared" si="31"/>
        <v>772385.25</v>
      </c>
      <c r="AC139" s="3">
        <f t="shared" si="32"/>
        <v>772385.25</v>
      </c>
    </row>
    <row r="140" spans="1:29" x14ac:dyDescent="0.2">
      <c r="A140" s="42">
        <v>100196</v>
      </c>
      <c r="B140" s="43" t="s">
        <v>308</v>
      </c>
      <c r="D140" s="43" t="s">
        <v>34</v>
      </c>
      <c r="E140" s="43" t="s">
        <v>35</v>
      </c>
      <c r="F140" s="42" t="s">
        <v>21</v>
      </c>
      <c r="G140" s="42" t="s">
        <v>21</v>
      </c>
      <c r="H140" s="42">
        <v>42</v>
      </c>
      <c r="I140" s="44">
        <v>46208</v>
      </c>
      <c r="J140" s="43" t="s">
        <v>22</v>
      </c>
      <c r="K140" s="45"/>
      <c r="L140" s="51">
        <v>64141.39</v>
      </c>
      <c r="M140" s="51">
        <v>3500</v>
      </c>
      <c r="N140" s="51">
        <v>16035.348</v>
      </c>
      <c r="O140" s="47">
        <v>800</v>
      </c>
      <c r="P140" s="47"/>
      <c r="Q140" s="48">
        <f t="shared" si="27"/>
        <v>7039.7281666666668</v>
      </c>
      <c r="R140" s="48">
        <f t="shared" si="28"/>
        <v>3519.8640833333334</v>
      </c>
      <c r="S140" s="71">
        <v>5287.5</v>
      </c>
      <c r="T140" s="47">
        <v>3080</v>
      </c>
      <c r="U140" s="48">
        <f t="shared" si="29"/>
        <v>17599.320416666666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3">
        <f t="shared" si="30"/>
        <v>121003.15066666667</v>
      </c>
      <c r="AB140" s="3">
        <f t="shared" si="31"/>
        <v>1452037.808</v>
      </c>
      <c r="AC140" s="3">
        <f t="shared" si="32"/>
        <v>1452037.808</v>
      </c>
    </row>
    <row r="141" spans="1:29" x14ac:dyDescent="0.2">
      <c r="A141" s="42">
        <v>400003</v>
      </c>
      <c r="B141" s="43">
        <v>10</v>
      </c>
      <c r="C141" s="43" t="s">
        <v>57</v>
      </c>
      <c r="D141" s="38"/>
      <c r="E141" s="43" t="s">
        <v>40</v>
      </c>
      <c r="F141" s="42" t="s">
        <v>21</v>
      </c>
      <c r="G141" s="43" t="s">
        <v>21</v>
      </c>
      <c r="H141" s="42">
        <v>49</v>
      </c>
      <c r="I141" s="44">
        <v>44592</v>
      </c>
      <c r="J141" s="43" t="s">
        <v>54</v>
      </c>
      <c r="K141" s="45">
        <v>0</v>
      </c>
      <c r="L141" s="51">
        <v>74360</v>
      </c>
      <c r="M141" s="51">
        <f>VLOOKUP(A141,'[1]ناتج ملف Excel'!$A:$AV,46,0)</f>
        <v>3500</v>
      </c>
      <c r="N141" s="51">
        <f>VLOOKUP(A141,'[1]ناتج ملف Excel'!$A:$AV,47,0)</f>
        <v>18590</v>
      </c>
      <c r="O141" s="47">
        <f>VLOOKUP(A141,'[1]ناتج ملف Excel'!$A:$AV,48,0)</f>
        <v>800</v>
      </c>
      <c r="P141" s="47">
        <v>4166.666666666667</v>
      </c>
      <c r="Q141" s="48">
        <f t="shared" si="27"/>
        <v>8104.166666666667</v>
      </c>
      <c r="R141" s="48">
        <f t="shared" si="28"/>
        <v>4052.0833333333335</v>
      </c>
      <c r="S141" s="71">
        <v>5287.5</v>
      </c>
      <c r="T141" s="47">
        <v>3080</v>
      </c>
      <c r="U141" s="48">
        <f t="shared" si="29"/>
        <v>20260.416666666668</v>
      </c>
      <c r="V141" s="47">
        <v>0</v>
      </c>
      <c r="W141" s="42">
        <v>0</v>
      </c>
      <c r="X141" s="42">
        <v>0</v>
      </c>
      <c r="Y141" s="42">
        <v>0</v>
      </c>
      <c r="Z141" s="42">
        <v>0</v>
      </c>
      <c r="AA141" s="4">
        <f t="shared" si="30"/>
        <v>142200.83333333334</v>
      </c>
      <c r="AB141" s="4">
        <f t="shared" si="31"/>
        <v>1706410</v>
      </c>
      <c r="AC141" s="4">
        <f>AB141+K141+V141</f>
        <v>1706410</v>
      </c>
    </row>
    <row r="142" spans="1:29" x14ac:dyDescent="0.2">
      <c r="A142" s="42">
        <v>400010</v>
      </c>
      <c r="B142" s="43">
        <v>7</v>
      </c>
      <c r="C142" s="43" t="s">
        <v>42</v>
      </c>
      <c r="D142" s="38"/>
      <c r="E142" s="43" t="s">
        <v>42</v>
      </c>
      <c r="F142" s="42" t="s">
        <v>21</v>
      </c>
      <c r="G142" s="43" t="s">
        <v>21</v>
      </c>
      <c r="H142" s="42">
        <v>39</v>
      </c>
      <c r="I142" s="44">
        <v>44592</v>
      </c>
      <c r="J142" s="43" t="s">
        <v>54</v>
      </c>
      <c r="K142" s="49">
        <v>12565</v>
      </c>
      <c r="L142" s="42"/>
      <c r="M142" s="51">
        <f>VLOOKUP(A142,'[1]ناتج ملف Excel'!$A:$AV,46,0)</f>
        <v>556.5</v>
      </c>
      <c r="N142" s="51">
        <f>VLOOKUP(A142,'[1]ناتج ملف Excel'!$A:$AV,47,0)</f>
        <v>3141.25</v>
      </c>
      <c r="O142" s="42"/>
      <c r="P142" s="47">
        <v>0</v>
      </c>
      <c r="Q142" s="48"/>
      <c r="R142" s="48">
        <v>0</v>
      </c>
      <c r="S142" s="72"/>
      <c r="T142" s="47">
        <v>3080</v>
      </c>
      <c r="U142" s="48">
        <f t="shared" si="29"/>
        <v>770.36458333333337</v>
      </c>
      <c r="V142" s="47">
        <v>700</v>
      </c>
      <c r="W142" s="42">
        <v>0</v>
      </c>
      <c r="X142" s="42">
        <v>2116.625</v>
      </c>
      <c r="Y142" s="42">
        <v>0</v>
      </c>
      <c r="Z142" s="42">
        <v>0</v>
      </c>
      <c r="AA142" s="4">
        <f t="shared" ref="AA142:AA201" si="34">U142+T142+N142+M142+O142</f>
        <v>7548.1145833333339</v>
      </c>
      <c r="AB142" s="4">
        <f t="shared" si="31"/>
        <v>90577.375</v>
      </c>
      <c r="AC142" s="4">
        <f t="shared" ref="AC142:AC201" si="35">AB142+((K142+V142+W142+X142)*12)</f>
        <v>275156.875</v>
      </c>
    </row>
    <row r="143" spans="1:29" x14ac:dyDescent="0.2">
      <c r="A143" s="42">
        <v>400012</v>
      </c>
      <c r="B143" s="43">
        <v>5</v>
      </c>
      <c r="C143" s="42" t="s">
        <v>300</v>
      </c>
      <c r="D143" s="43" t="s">
        <v>33</v>
      </c>
      <c r="E143" s="43"/>
      <c r="F143" s="42" t="s">
        <v>75</v>
      </c>
      <c r="G143" s="43" t="s">
        <v>41</v>
      </c>
      <c r="H143" s="42">
        <v>46</v>
      </c>
      <c r="I143" s="44">
        <v>44592</v>
      </c>
      <c r="J143" s="43" t="s">
        <v>54</v>
      </c>
      <c r="K143" s="49">
        <v>16395</v>
      </c>
      <c r="L143" s="42"/>
      <c r="M143" s="51">
        <f>VLOOKUP(A143,'[1]ناتج ملف Excel'!$A:$AV,46,0)</f>
        <v>939.5</v>
      </c>
      <c r="N143" s="51">
        <f>VLOOKUP(A143,'[1]ناتج ملف Excel'!$A:$AV,47,0)</f>
        <v>4098.75</v>
      </c>
      <c r="O143" s="42"/>
      <c r="P143" s="47">
        <v>0</v>
      </c>
      <c r="Q143" s="48"/>
      <c r="R143" s="48">
        <v>0</v>
      </c>
      <c r="S143" s="72"/>
      <c r="T143" s="47">
        <v>3080</v>
      </c>
      <c r="U143" s="48">
        <f t="shared" si="29"/>
        <v>1049.6354166666667</v>
      </c>
      <c r="V143" s="47">
        <v>700</v>
      </c>
      <c r="W143" s="42">
        <v>0</v>
      </c>
      <c r="X143" s="42">
        <v>0</v>
      </c>
      <c r="Y143" s="42">
        <v>0</v>
      </c>
      <c r="Z143" s="42">
        <v>0</v>
      </c>
      <c r="AA143" s="4">
        <f t="shared" si="34"/>
        <v>9167.8854166666679</v>
      </c>
      <c r="AB143" s="4">
        <f t="shared" si="31"/>
        <v>110014.62500000001</v>
      </c>
      <c r="AC143" s="4">
        <f t="shared" si="35"/>
        <v>315154.625</v>
      </c>
    </row>
    <row r="144" spans="1:29" x14ac:dyDescent="0.2">
      <c r="A144" s="42">
        <v>400018</v>
      </c>
      <c r="B144" s="43">
        <v>6</v>
      </c>
      <c r="C144" s="38"/>
      <c r="D144" s="38" t="s">
        <v>298</v>
      </c>
      <c r="E144" s="43" t="s">
        <v>35</v>
      </c>
      <c r="F144" s="42" t="s">
        <v>21</v>
      </c>
      <c r="G144" s="43" t="s">
        <v>21</v>
      </c>
      <c r="H144" s="42">
        <v>33</v>
      </c>
      <c r="I144" s="44">
        <v>44592</v>
      </c>
      <c r="J144" s="43" t="s">
        <v>54</v>
      </c>
      <c r="K144" s="49">
        <v>10125</v>
      </c>
      <c r="L144" s="42"/>
      <c r="M144" s="51">
        <f>VLOOKUP(A144,'[1]ناتج ملف Excel'!$A:$AV,46,0)</f>
        <v>512.5</v>
      </c>
      <c r="N144" s="51">
        <f>VLOOKUP(A144,'[1]ناتج ملف Excel'!$A:$AV,47,0)</f>
        <v>2531.25</v>
      </c>
      <c r="O144" s="42"/>
      <c r="P144" s="47">
        <v>0</v>
      </c>
      <c r="Q144" s="48"/>
      <c r="R144" s="48">
        <v>0</v>
      </c>
      <c r="S144" s="72"/>
      <c r="T144" s="47">
        <v>3080</v>
      </c>
      <c r="U144" s="48">
        <f t="shared" si="29"/>
        <v>634.11458333333337</v>
      </c>
      <c r="V144" s="47">
        <v>500</v>
      </c>
      <c r="W144" s="42">
        <v>0</v>
      </c>
      <c r="X144" s="42">
        <v>0</v>
      </c>
      <c r="Y144" s="42">
        <v>0</v>
      </c>
      <c r="Z144" s="42">
        <v>0</v>
      </c>
      <c r="AA144" s="4">
        <f t="shared" si="34"/>
        <v>6757.8645833333339</v>
      </c>
      <c r="AB144" s="4">
        <f t="shared" si="31"/>
        <v>81094.375</v>
      </c>
      <c r="AC144" s="4">
        <f t="shared" si="35"/>
        <v>208594.375</v>
      </c>
    </row>
    <row r="145" spans="1:29" x14ac:dyDescent="0.2">
      <c r="A145" s="42">
        <v>400024</v>
      </c>
      <c r="B145" s="43">
        <v>5</v>
      </c>
      <c r="C145" s="43" t="s">
        <v>42</v>
      </c>
      <c r="D145" s="38"/>
      <c r="E145" s="43" t="s">
        <v>42</v>
      </c>
      <c r="F145" s="42" t="s">
        <v>21</v>
      </c>
      <c r="G145" s="43" t="s">
        <v>21</v>
      </c>
      <c r="H145" s="42">
        <v>36</v>
      </c>
      <c r="I145" s="44">
        <v>44592</v>
      </c>
      <c r="J145" s="43" t="s">
        <v>54</v>
      </c>
      <c r="K145" s="49">
        <v>10029</v>
      </c>
      <c r="L145" s="42"/>
      <c r="M145" s="51">
        <f>VLOOKUP(A145,'[1]ناتج ملف Excel'!$A:$AV,46,0)</f>
        <v>502.9</v>
      </c>
      <c r="N145" s="51">
        <f>VLOOKUP(A145,'[1]ناتج ملف Excel'!$A:$AV,47,0)</f>
        <v>2507.25</v>
      </c>
      <c r="O145" s="42"/>
      <c r="P145" s="47">
        <v>0</v>
      </c>
      <c r="Q145" s="48"/>
      <c r="R145" s="48">
        <v>0</v>
      </c>
      <c r="S145" s="72"/>
      <c r="T145" s="47">
        <v>3080</v>
      </c>
      <c r="U145" s="48">
        <f t="shared" si="29"/>
        <v>627.11458333333337</v>
      </c>
      <c r="V145" s="47">
        <v>500</v>
      </c>
      <c r="W145" s="42">
        <v>0</v>
      </c>
      <c r="X145" s="42">
        <v>0</v>
      </c>
      <c r="Y145" s="42">
        <v>0</v>
      </c>
      <c r="Z145" s="42">
        <v>0</v>
      </c>
      <c r="AA145" s="4">
        <f t="shared" si="34"/>
        <v>6717.2645833333336</v>
      </c>
      <c r="AB145" s="4">
        <f t="shared" si="31"/>
        <v>80607.175000000003</v>
      </c>
      <c r="AC145" s="4">
        <f t="shared" si="35"/>
        <v>206955.17499999999</v>
      </c>
    </row>
    <row r="146" spans="1:29" x14ac:dyDescent="0.2">
      <c r="A146" s="42">
        <v>400025</v>
      </c>
      <c r="B146" s="43">
        <v>5</v>
      </c>
      <c r="C146" s="43" t="s">
        <v>42</v>
      </c>
      <c r="D146" s="38"/>
      <c r="E146" s="43" t="s">
        <v>42</v>
      </c>
      <c r="F146" s="42" t="s">
        <v>21</v>
      </c>
      <c r="G146" s="43" t="s">
        <v>21</v>
      </c>
      <c r="H146" s="42">
        <v>33</v>
      </c>
      <c r="I146" s="44">
        <v>44592</v>
      </c>
      <c r="J146" s="43" t="s">
        <v>54</v>
      </c>
      <c r="K146" s="46">
        <v>9932</v>
      </c>
      <c r="L146" s="42"/>
      <c r="M146" s="51">
        <f>VLOOKUP(A146,'[1]ناتج ملف Excel'!$A:$AV,46,0)</f>
        <v>493.2</v>
      </c>
      <c r="N146" s="51">
        <f>VLOOKUP(A146,'[1]ناتج ملف Excel'!$A:$AV,47,0)</f>
        <v>2483</v>
      </c>
      <c r="O146" s="42"/>
      <c r="P146" s="47">
        <v>0</v>
      </c>
      <c r="Q146" s="48"/>
      <c r="R146" s="48">
        <v>0</v>
      </c>
      <c r="S146" s="72"/>
      <c r="T146" s="47">
        <v>3080</v>
      </c>
      <c r="U146" s="48">
        <f t="shared" si="29"/>
        <v>620.04166666666663</v>
      </c>
      <c r="V146" s="47">
        <v>500</v>
      </c>
      <c r="W146" s="42">
        <v>0</v>
      </c>
      <c r="X146" s="42">
        <v>0</v>
      </c>
      <c r="Y146" s="42">
        <v>0</v>
      </c>
      <c r="Z146" s="42">
        <v>0</v>
      </c>
      <c r="AA146" s="4">
        <f t="shared" si="34"/>
        <v>6676.2416666666659</v>
      </c>
      <c r="AB146" s="4">
        <f t="shared" si="31"/>
        <v>80114.899999999994</v>
      </c>
      <c r="AC146" s="4">
        <f t="shared" si="35"/>
        <v>205298.9</v>
      </c>
    </row>
    <row r="147" spans="1:29" x14ac:dyDescent="0.2">
      <c r="A147" s="42">
        <v>400029</v>
      </c>
      <c r="B147" s="43">
        <v>5</v>
      </c>
      <c r="C147" s="43" t="s">
        <v>284</v>
      </c>
      <c r="D147" s="43" t="s">
        <v>39</v>
      </c>
      <c r="E147" s="43" t="s">
        <v>40</v>
      </c>
      <c r="F147" s="42" t="s">
        <v>21</v>
      </c>
      <c r="G147" s="43" t="s">
        <v>21</v>
      </c>
      <c r="H147" s="42">
        <v>47</v>
      </c>
      <c r="I147" s="44">
        <v>44691</v>
      </c>
      <c r="J147" s="43" t="s">
        <v>54</v>
      </c>
      <c r="K147" s="49">
        <v>11625</v>
      </c>
      <c r="L147" s="42"/>
      <c r="M147" s="51">
        <f>VLOOKUP(A147,'[1]ناتج ملف Excel'!$A:$AV,46,0)</f>
        <v>462.5</v>
      </c>
      <c r="N147" s="51">
        <f>VLOOKUP(A147,'[1]ناتج ملف Excel'!$A:$AV,47,0)</f>
        <v>2906.25</v>
      </c>
      <c r="O147" s="42"/>
      <c r="P147" s="47">
        <v>0</v>
      </c>
      <c r="Q147" s="48"/>
      <c r="R147" s="48">
        <v>0</v>
      </c>
      <c r="S147" s="72"/>
      <c r="T147" s="47">
        <v>3080</v>
      </c>
      <c r="U147" s="48">
        <f t="shared" si="29"/>
        <v>701.82291666666663</v>
      </c>
      <c r="V147" s="47">
        <v>700</v>
      </c>
      <c r="W147" s="42">
        <v>0</v>
      </c>
      <c r="X147" s="42">
        <v>0</v>
      </c>
      <c r="Y147" s="46">
        <v>2325</v>
      </c>
      <c r="Z147" s="42">
        <v>0</v>
      </c>
      <c r="AA147" s="4">
        <f t="shared" si="34"/>
        <v>7150.5729166666661</v>
      </c>
      <c r="AB147" s="4">
        <f t="shared" si="31"/>
        <v>85806.875</v>
      </c>
      <c r="AC147" s="4">
        <f t="shared" si="35"/>
        <v>233706.875</v>
      </c>
    </row>
    <row r="148" spans="1:29" x14ac:dyDescent="0.2">
      <c r="A148" s="42">
        <v>400032</v>
      </c>
      <c r="B148" s="43">
        <v>6</v>
      </c>
      <c r="C148" s="43" t="s">
        <v>277</v>
      </c>
      <c r="D148" s="43" t="s">
        <v>39</v>
      </c>
      <c r="E148" s="43" t="s">
        <v>40</v>
      </c>
      <c r="F148" s="42" t="s">
        <v>237</v>
      </c>
      <c r="G148" s="43" t="s">
        <v>41</v>
      </c>
      <c r="H148" s="42">
        <v>47</v>
      </c>
      <c r="I148" s="44">
        <v>44691</v>
      </c>
      <c r="J148" s="43" t="s">
        <v>54</v>
      </c>
      <c r="K148" s="49">
        <v>13035</v>
      </c>
      <c r="L148" s="42"/>
      <c r="M148" s="51">
        <f>VLOOKUP(A148,'[1]ناتج ملف Excel'!$A:$AV,46,0)</f>
        <v>603.5</v>
      </c>
      <c r="N148" s="51">
        <f>VLOOKUP(A148,'[1]ناتج ملف Excel'!$A:$AV,47,0)</f>
        <v>3258.75</v>
      </c>
      <c r="O148" s="42"/>
      <c r="P148" s="47">
        <v>0</v>
      </c>
      <c r="Q148" s="48"/>
      <c r="R148" s="48">
        <v>0</v>
      </c>
      <c r="S148" s="72"/>
      <c r="T148" s="47">
        <v>3080</v>
      </c>
      <c r="U148" s="48">
        <f t="shared" si="29"/>
        <v>804.63541666666663</v>
      </c>
      <c r="V148" s="47">
        <v>700</v>
      </c>
      <c r="W148" s="42">
        <v>0</v>
      </c>
      <c r="X148" s="42">
        <v>0</v>
      </c>
      <c r="Y148" s="42">
        <v>0</v>
      </c>
      <c r="Z148" s="42">
        <v>0</v>
      </c>
      <c r="AA148" s="4">
        <f t="shared" si="34"/>
        <v>7746.8854166666661</v>
      </c>
      <c r="AB148" s="4">
        <f t="shared" si="31"/>
        <v>92962.625</v>
      </c>
      <c r="AC148" s="4">
        <f t="shared" si="35"/>
        <v>257782.625</v>
      </c>
    </row>
    <row r="149" spans="1:29" x14ac:dyDescent="0.2">
      <c r="A149" s="42">
        <v>400033</v>
      </c>
      <c r="B149" s="43">
        <v>5</v>
      </c>
      <c r="C149" s="42" t="s">
        <v>300</v>
      </c>
      <c r="D149" s="43" t="s">
        <v>33</v>
      </c>
      <c r="E149" s="43"/>
      <c r="F149" s="42" t="s">
        <v>77</v>
      </c>
      <c r="G149" s="43" t="s">
        <v>41</v>
      </c>
      <c r="H149" s="42">
        <v>33</v>
      </c>
      <c r="I149" s="44">
        <v>44691</v>
      </c>
      <c r="J149" s="43" t="s">
        <v>54</v>
      </c>
      <c r="K149" s="49">
        <v>10029</v>
      </c>
      <c r="L149" s="42"/>
      <c r="M149" s="51">
        <f>VLOOKUP(A149,'[1]ناتج ملف Excel'!$A:$AV,46,0)</f>
        <v>502.9</v>
      </c>
      <c r="N149" s="51">
        <f>VLOOKUP(A149,'[1]ناتج ملف Excel'!$A:$AV,47,0)</f>
        <v>2507.25</v>
      </c>
      <c r="O149" s="42"/>
      <c r="P149" s="47">
        <v>0</v>
      </c>
      <c r="Q149" s="48"/>
      <c r="R149" s="48">
        <v>0</v>
      </c>
      <c r="S149" s="72"/>
      <c r="T149" s="47">
        <v>3080</v>
      </c>
      <c r="U149" s="48">
        <f t="shared" si="29"/>
        <v>627.11458333333337</v>
      </c>
      <c r="V149" s="47">
        <v>500</v>
      </c>
      <c r="W149" s="42">
        <v>0</v>
      </c>
      <c r="X149" s="42">
        <v>0</v>
      </c>
      <c r="Y149" s="42">
        <v>0</v>
      </c>
      <c r="Z149" s="42">
        <v>0</v>
      </c>
      <c r="AA149" s="4">
        <f t="shared" si="34"/>
        <v>6717.2645833333336</v>
      </c>
      <c r="AB149" s="4">
        <f t="shared" si="31"/>
        <v>80607.175000000003</v>
      </c>
      <c r="AC149" s="4">
        <f t="shared" si="35"/>
        <v>206955.17499999999</v>
      </c>
    </row>
    <row r="150" spans="1:29" x14ac:dyDescent="0.2">
      <c r="A150" s="42">
        <v>400037</v>
      </c>
      <c r="B150" s="43">
        <v>7</v>
      </c>
      <c r="C150" s="42" t="s">
        <v>277</v>
      </c>
      <c r="D150" s="43" t="s">
        <v>39</v>
      </c>
      <c r="E150" s="43" t="s">
        <v>40</v>
      </c>
      <c r="F150" s="42" t="s">
        <v>238</v>
      </c>
      <c r="G150" s="43" t="s">
        <v>41</v>
      </c>
      <c r="H150" s="42">
        <v>46</v>
      </c>
      <c r="I150" s="44">
        <v>44691</v>
      </c>
      <c r="J150" s="43" t="s">
        <v>54</v>
      </c>
      <c r="K150" s="49">
        <v>12565</v>
      </c>
      <c r="L150" s="42"/>
      <c r="M150" s="51">
        <f>VLOOKUP(A150,'[1]ناتج ملف Excel'!$A:$AV,46,0)</f>
        <v>556.5</v>
      </c>
      <c r="N150" s="51">
        <f>VLOOKUP(A150,'[1]ناتج ملف Excel'!$A:$AV,47,0)</f>
        <v>3141.25</v>
      </c>
      <c r="O150" s="42"/>
      <c r="P150" s="47">
        <v>0</v>
      </c>
      <c r="Q150" s="48"/>
      <c r="R150" s="48">
        <v>0</v>
      </c>
      <c r="S150" s="72"/>
      <c r="T150" s="47">
        <v>3080</v>
      </c>
      <c r="U150" s="48">
        <f t="shared" si="29"/>
        <v>770.36458333333337</v>
      </c>
      <c r="V150" s="47">
        <v>700</v>
      </c>
      <c r="W150" s="42">
        <v>0</v>
      </c>
      <c r="X150" s="42">
        <v>0</v>
      </c>
      <c r="Y150" s="46">
        <v>2513</v>
      </c>
      <c r="Z150" s="42">
        <v>0</v>
      </c>
      <c r="AA150" s="4">
        <f t="shared" si="34"/>
        <v>7548.1145833333339</v>
      </c>
      <c r="AB150" s="4">
        <f t="shared" si="31"/>
        <v>90577.375</v>
      </c>
      <c r="AC150" s="4">
        <f t="shared" si="35"/>
        <v>249757.375</v>
      </c>
    </row>
    <row r="151" spans="1:29" x14ac:dyDescent="0.2">
      <c r="A151" s="42">
        <v>400038</v>
      </c>
      <c r="B151" s="43">
        <v>8</v>
      </c>
      <c r="C151" s="43" t="s">
        <v>284</v>
      </c>
      <c r="D151" s="43" t="s">
        <v>39</v>
      </c>
      <c r="E151" s="43" t="s">
        <v>40</v>
      </c>
      <c r="F151" s="42" t="s">
        <v>21</v>
      </c>
      <c r="G151" s="43" t="s">
        <v>21</v>
      </c>
      <c r="H151" s="42">
        <v>44</v>
      </c>
      <c r="I151" s="44">
        <v>44691</v>
      </c>
      <c r="J151" s="43" t="s">
        <v>54</v>
      </c>
      <c r="K151" s="49">
        <v>11625</v>
      </c>
      <c r="L151" s="42"/>
      <c r="M151" s="51">
        <f>VLOOKUP(A151,'[1]ناتج ملف Excel'!$A:$AV,46,0)</f>
        <v>462.5</v>
      </c>
      <c r="N151" s="51">
        <f>VLOOKUP(A151,'[1]ناتج ملف Excel'!$A:$AV,47,0)</f>
        <v>2906.25</v>
      </c>
      <c r="O151" s="42"/>
      <c r="P151" s="47">
        <v>0</v>
      </c>
      <c r="Q151" s="48"/>
      <c r="R151" s="48">
        <v>0</v>
      </c>
      <c r="S151" s="72"/>
      <c r="T151" s="47">
        <v>3080</v>
      </c>
      <c r="U151" s="48">
        <f t="shared" si="29"/>
        <v>701.82291666666663</v>
      </c>
      <c r="V151" s="47">
        <v>700</v>
      </c>
      <c r="W151" s="42">
        <v>0</v>
      </c>
      <c r="X151" s="42">
        <v>0</v>
      </c>
      <c r="Y151" s="46">
        <v>2325</v>
      </c>
      <c r="Z151" s="42">
        <v>0</v>
      </c>
      <c r="AA151" s="4">
        <f t="shared" si="34"/>
        <v>7150.5729166666661</v>
      </c>
      <c r="AB151" s="4">
        <f t="shared" si="31"/>
        <v>85806.875</v>
      </c>
      <c r="AC151" s="4">
        <f t="shared" si="35"/>
        <v>233706.875</v>
      </c>
    </row>
    <row r="152" spans="1:29" x14ac:dyDescent="0.2">
      <c r="A152" s="42">
        <v>400039</v>
      </c>
      <c r="B152" s="43">
        <v>5</v>
      </c>
      <c r="C152" s="42" t="s">
        <v>32</v>
      </c>
      <c r="D152" s="43" t="s">
        <v>33</v>
      </c>
      <c r="E152" s="43"/>
      <c r="F152" s="42" t="s">
        <v>21</v>
      </c>
      <c r="G152" s="43" t="s">
        <v>21</v>
      </c>
      <c r="H152" s="42">
        <v>44</v>
      </c>
      <c r="I152" s="44">
        <v>44691</v>
      </c>
      <c r="J152" s="43" t="s">
        <v>54</v>
      </c>
      <c r="K152" s="49">
        <v>13405</v>
      </c>
      <c r="L152" s="42"/>
      <c r="M152" s="51">
        <f>VLOOKUP(A152,'[1]ناتج ملف Excel'!$A:$AV,46,0)</f>
        <v>640.5</v>
      </c>
      <c r="N152" s="51">
        <f>VLOOKUP(A152,'[1]ناتج ملف Excel'!$A:$AV,47,0)</f>
        <v>3351.25</v>
      </c>
      <c r="O152" s="42"/>
      <c r="P152" s="47">
        <v>0</v>
      </c>
      <c r="Q152" s="48"/>
      <c r="R152" s="48">
        <v>0</v>
      </c>
      <c r="S152" s="72"/>
      <c r="T152" s="47">
        <v>3080</v>
      </c>
      <c r="U152" s="48">
        <f t="shared" si="29"/>
        <v>831.61458333333337</v>
      </c>
      <c r="V152" s="47">
        <v>700</v>
      </c>
      <c r="W152" s="42">
        <v>750</v>
      </c>
      <c r="X152" s="42">
        <v>2273.25</v>
      </c>
      <c r="Y152" s="42">
        <v>0</v>
      </c>
      <c r="Z152" s="42">
        <v>0</v>
      </c>
      <c r="AA152" s="4">
        <f t="shared" si="34"/>
        <v>7903.3645833333339</v>
      </c>
      <c r="AB152" s="4">
        <f t="shared" si="31"/>
        <v>94840.375</v>
      </c>
      <c r="AC152" s="4">
        <f t="shared" si="35"/>
        <v>300379.375</v>
      </c>
    </row>
    <row r="153" spans="1:29" x14ac:dyDescent="0.2">
      <c r="A153" s="42">
        <v>400041</v>
      </c>
      <c r="B153" s="43">
        <v>8</v>
      </c>
      <c r="C153" s="43" t="s">
        <v>284</v>
      </c>
      <c r="D153" s="43" t="s">
        <v>39</v>
      </c>
      <c r="E153" s="43" t="s">
        <v>40</v>
      </c>
      <c r="F153" s="42" t="s">
        <v>21</v>
      </c>
      <c r="G153" s="43" t="s">
        <v>21</v>
      </c>
      <c r="H153" s="42">
        <v>44</v>
      </c>
      <c r="I153" s="44">
        <v>44691</v>
      </c>
      <c r="J153" s="43" t="s">
        <v>54</v>
      </c>
      <c r="K153" s="49">
        <v>14445</v>
      </c>
      <c r="L153" s="42"/>
      <c r="M153" s="51">
        <f>VLOOKUP(A153,'[1]ناتج ملف Excel'!$A:$AV,46,0)</f>
        <v>744.5</v>
      </c>
      <c r="N153" s="51">
        <f>VLOOKUP(A153,'[1]ناتج ملف Excel'!$A:$AV,47,0)</f>
        <v>3611.25</v>
      </c>
      <c r="O153" s="42"/>
      <c r="P153" s="47">
        <v>0</v>
      </c>
      <c r="Q153" s="48"/>
      <c r="R153" s="48">
        <v>0</v>
      </c>
      <c r="S153" s="72"/>
      <c r="T153" s="47">
        <v>3080</v>
      </c>
      <c r="U153" s="48">
        <f t="shared" si="29"/>
        <v>907.44791666666663</v>
      </c>
      <c r="V153" s="47">
        <v>700</v>
      </c>
      <c r="W153" s="42">
        <v>750</v>
      </c>
      <c r="X153" s="42">
        <f>(K153*2)/2</f>
        <v>14445</v>
      </c>
      <c r="Y153" s="46">
        <v>2889</v>
      </c>
      <c r="Z153" s="42">
        <v>0</v>
      </c>
      <c r="AA153" s="4">
        <f t="shared" si="34"/>
        <v>8343.1979166666661</v>
      </c>
      <c r="AB153" s="4">
        <f t="shared" si="31"/>
        <v>100118.375</v>
      </c>
      <c r="AC153" s="4">
        <f t="shared" si="35"/>
        <v>464198.375</v>
      </c>
    </row>
    <row r="154" spans="1:29" x14ac:dyDescent="0.2">
      <c r="A154" s="42">
        <v>400044</v>
      </c>
      <c r="B154" s="43">
        <v>4</v>
      </c>
      <c r="C154" s="42" t="s">
        <v>277</v>
      </c>
      <c r="D154" s="43" t="s">
        <v>39</v>
      </c>
      <c r="E154" s="43" t="s">
        <v>40</v>
      </c>
      <c r="F154" s="42" t="s">
        <v>238</v>
      </c>
      <c r="G154" s="43" t="s">
        <v>41</v>
      </c>
      <c r="H154" s="42">
        <v>51</v>
      </c>
      <c r="I154" s="44">
        <v>44691</v>
      </c>
      <c r="J154" s="43" t="s">
        <v>54</v>
      </c>
      <c r="K154" s="49">
        <v>17415</v>
      </c>
      <c r="L154" s="42"/>
      <c r="M154" s="51">
        <f>VLOOKUP(A154,'[1]ناتج ملف Excel'!$A:$AV,46,0)</f>
        <v>1041.5</v>
      </c>
      <c r="N154" s="51">
        <f>VLOOKUP(A154,'[1]ناتج ملف Excel'!$A:$AV,47,0)</f>
        <v>4353.75</v>
      </c>
      <c r="O154" s="42"/>
      <c r="P154" s="47">
        <v>0</v>
      </c>
      <c r="Q154" s="48"/>
      <c r="R154" s="48">
        <v>0</v>
      </c>
      <c r="S154" s="72"/>
      <c r="T154" s="47">
        <v>3080</v>
      </c>
      <c r="U154" s="48">
        <f t="shared" si="29"/>
        <v>1124.0104166666667</v>
      </c>
      <c r="V154" s="47">
        <v>700</v>
      </c>
      <c r="W154" s="42">
        <v>750</v>
      </c>
      <c r="X154" s="42">
        <f>(K154*2)/2</f>
        <v>17415</v>
      </c>
      <c r="Y154" s="46">
        <v>3483</v>
      </c>
      <c r="Z154" s="42">
        <v>0</v>
      </c>
      <c r="AA154" s="4">
        <f t="shared" si="34"/>
        <v>9599.2604166666679</v>
      </c>
      <c r="AB154" s="4">
        <f t="shared" si="31"/>
        <v>115191.12500000001</v>
      </c>
      <c r="AC154" s="4">
        <f t="shared" si="35"/>
        <v>550551.125</v>
      </c>
    </row>
    <row r="155" spans="1:29" x14ac:dyDescent="0.2">
      <c r="A155" s="42">
        <v>400045</v>
      </c>
      <c r="B155" s="43">
        <v>4</v>
      </c>
      <c r="C155" s="42" t="s">
        <v>277</v>
      </c>
      <c r="D155" s="43" t="s">
        <v>39</v>
      </c>
      <c r="E155" s="43" t="s">
        <v>40</v>
      </c>
      <c r="F155" s="42" t="s">
        <v>238</v>
      </c>
      <c r="G155" s="43" t="s">
        <v>41</v>
      </c>
      <c r="H155" s="42">
        <v>37</v>
      </c>
      <c r="I155" s="44">
        <v>44691</v>
      </c>
      <c r="J155" s="43" t="s">
        <v>54</v>
      </c>
      <c r="K155" s="49">
        <v>13035</v>
      </c>
      <c r="L155" s="42"/>
      <c r="M155" s="51">
        <f>VLOOKUP(A155,'[1]ناتج ملف Excel'!$A:$AV,46,0)</f>
        <v>603.5</v>
      </c>
      <c r="N155" s="51">
        <f>VLOOKUP(A155,'[1]ناتج ملف Excel'!$A:$AV,47,0)</f>
        <v>3258.75</v>
      </c>
      <c r="O155" s="42"/>
      <c r="P155" s="47">
        <v>0</v>
      </c>
      <c r="Q155" s="48"/>
      <c r="R155" s="48">
        <v>0</v>
      </c>
      <c r="S155" s="72"/>
      <c r="T155" s="47">
        <v>3080</v>
      </c>
      <c r="U155" s="48">
        <f t="shared" si="29"/>
        <v>804.63541666666663</v>
      </c>
      <c r="V155" s="47">
        <v>700</v>
      </c>
      <c r="W155" s="42">
        <v>750</v>
      </c>
      <c r="X155" s="42">
        <f>(K155*2)/2</f>
        <v>13035</v>
      </c>
      <c r="Y155" s="46">
        <v>2607</v>
      </c>
      <c r="Z155" s="42">
        <v>0</v>
      </c>
      <c r="AA155" s="4">
        <f t="shared" si="34"/>
        <v>7746.8854166666661</v>
      </c>
      <c r="AB155" s="4">
        <f t="shared" si="31"/>
        <v>92962.625</v>
      </c>
      <c r="AC155" s="4">
        <f t="shared" si="35"/>
        <v>423202.625</v>
      </c>
    </row>
    <row r="156" spans="1:29" x14ac:dyDescent="0.2">
      <c r="A156" s="42">
        <v>400050</v>
      </c>
      <c r="B156" s="43">
        <v>3</v>
      </c>
      <c r="C156" s="42" t="s">
        <v>300</v>
      </c>
      <c r="D156" s="43" t="s">
        <v>33</v>
      </c>
      <c r="E156" s="43"/>
      <c r="F156" s="42" t="s">
        <v>78</v>
      </c>
      <c r="G156" s="43" t="s">
        <v>41</v>
      </c>
      <c r="H156" s="42">
        <v>33</v>
      </c>
      <c r="I156" s="44">
        <v>44691</v>
      </c>
      <c r="J156" s="43" t="s">
        <v>54</v>
      </c>
      <c r="K156" s="49">
        <v>10029</v>
      </c>
      <c r="L156" s="42"/>
      <c r="M156" s="51">
        <f>VLOOKUP(A156,'[1]ناتج ملف Excel'!$A:$AV,46,0)</f>
        <v>502.9</v>
      </c>
      <c r="N156" s="51">
        <f>VLOOKUP(A156,'[1]ناتج ملف Excel'!$A:$AV,47,0)</f>
        <v>2507.25</v>
      </c>
      <c r="O156" s="42"/>
      <c r="P156" s="47">
        <v>0</v>
      </c>
      <c r="Q156" s="48"/>
      <c r="R156" s="48">
        <v>0</v>
      </c>
      <c r="S156" s="72"/>
      <c r="T156" s="47">
        <v>3080</v>
      </c>
      <c r="U156" s="48">
        <f t="shared" si="29"/>
        <v>627.11458333333337</v>
      </c>
      <c r="V156" s="47">
        <v>500</v>
      </c>
      <c r="W156" s="42">
        <v>0</v>
      </c>
      <c r="X156" s="42">
        <v>0</v>
      </c>
      <c r="Y156" s="42">
        <v>0</v>
      </c>
      <c r="Z156" s="42">
        <v>0</v>
      </c>
      <c r="AA156" s="4">
        <f t="shared" si="34"/>
        <v>6717.2645833333336</v>
      </c>
      <c r="AB156" s="4">
        <f t="shared" si="31"/>
        <v>80607.175000000003</v>
      </c>
      <c r="AC156" s="4">
        <f t="shared" si="35"/>
        <v>206955.17499999999</v>
      </c>
    </row>
    <row r="157" spans="1:29" x14ac:dyDescent="0.2">
      <c r="A157" s="42">
        <v>400051</v>
      </c>
      <c r="B157" s="43">
        <v>4</v>
      </c>
      <c r="C157" s="43" t="s">
        <v>277</v>
      </c>
      <c r="D157" s="43" t="s">
        <v>39</v>
      </c>
      <c r="E157" s="43" t="s">
        <v>40</v>
      </c>
      <c r="F157" s="42" t="s">
        <v>236</v>
      </c>
      <c r="G157" s="43" t="s">
        <v>41</v>
      </c>
      <c r="H157" s="42">
        <v>30</v>
      </c>
      <c r="I157" s="44">
        <v>44691</v>
      </c>
      <c r="J157" s="43" t="s">
        <v>54</v>
      </c>
      <c r="K157" s="46">
        <v>9738</v>
      </c>
      <c r="L157" s="42"/>
      <c r="M157" s="51">
        <f>VLOOKUP(A157,'[1]ناتج ملف Excel'!$A:$AV,46,0)</f>
        <v>473.8</v>
      </c>
      <c r="N157" s="51">
        <f>VLOOKUP(A157,'[1]ناتج ملف Excel'!$A:$AV,47,0)</f>
        <v>2434.5</v>
      </c>
      <c r="O157" s="42"/>
      <c r="P157" s="47">
        <v>0</v>
      </c>
      <c r="Q157" s="48"/>
      <c r="R157" s="48">
        <v>0</v>
      </c>
      <c r="S157" s="72"/>
      <c r="T157" s="47">
        <v>3080</v>
      </c>
      <c r="U157" s="48">
        <f t="shared" si="29"/>
        <v>605.89583333333337</v>
      </c>
      <c r="V157" s="47">
        <v>500</v>
      </c>
      <c r="W157" s="42">
        <v>0</v>
      </c>
      <c r="X157" s="42">
        <v>0</v>
      </c>
      <c r="Y157" s="50">
        <v>1947.6</v>
      </c>
      <c r="Z157" s="42">
        <v>0</v>
      </c>
      <c r="AA157" s="4">
        <f t="shared" si="34"/>
        <v>6594.1958333333341</v>
      </c>
      <c r="AB157" s="4">
        <f t="shared" si="31"/>
        <v>79130.350000000006</v>
      </c>
      <c r="AC157" s="4">
        <f t="shared" si="35"/>
        <v>201986.35</v>
      </c>
    </row>
    <row r="158" spans="1:29" x14ac:dyDescent="0.2">
      <c r="A158" s="42">
        <v>400052</v>
      </c>
      <c r="B158" s="43">
        <v>3</v>
      </c>
      <c r="C158" s="42" t="s">
        <v>277</v>
      </c>
      <c r="D158" s="43" t="s">
        <v>39</v>
      </c>
      <c r="E158" s="43" t="s">
        <v>40</v>
      </c>
      <c r="F158" s="42" t="s">
        <v>238</v>
      </c>
      <c r="G158" s="43" t="s">
        <v>41</v>
      </c>
      <c r="H158" s="42">
        <v>41</v>
      </c>
      <c r="I158" s="44">
        <v>44691</v>
      </c>
      <c r="J158" s="43" t="s">
        <v>54</v>
      </c>
      <c r="K158" s="49">
        <v>11390</v>
      </c>
      <c r="L158" s="42"/>
      <c r="M158" s="51">
        <f>VLOOKUP(A158,'[1]ناتج ملف Excel'!$A:$AV,46,0)</f>
        <v>439</v>
      </c>
      <c r="N158" s="51">
        <f>VLOOKUP(A158,'[1]ناتج ملف Excel'!$A:$AV,47,0)</f>
        <v>2847.5</v>
      </c>
      <c r="O158" s="42"/>
      <c r="P158" s="47">
        <v>0</v>
      </c>
      <c r="Q158" s="48"/>
      <c r="R158" s="48">
        <v>0</v>
      </c>
      <c r="S158" s="72"/>
      <c r="T158" s="47">
        <v>3080</v>
      </c>
      <c r="U158" s="48">
        <f t="shared" si="29"/>
        <v>684.6875</v>
      </c>
      <c r="V158" s="47">
        <v>700</v>
      </c>
      <c r="W158" s="42">
        <v>0</v>
      </c>
      <c r="X158" s="42">
        <v>0</v>
      </c>
      <c r="Y158" s="46">
        <v>2278</v>
      </c>
      <c r="Z158" s="42">
        <v>0</v>
      </c>
      <c r="AA158" s="4">
        <f t="shared" si="34"/>
        <v>7051.1875</v>
      </c>
      <c r="AB158" s="4">
        <f t="shared" si="31"/>
        <v>84614.25</v>
      </c>
      <c r="AC158" s="4">
        <f t="shared" si="35"/>
        <v>229694.25</v>
      </c>
    </row>
    <row r="159" spans="1:29" x14ac:dyDescent="0.2">
      <c r="A159" s="42">
        <v>400059</v>
      </c>
      <c r="B159" s="43" t="s">
        <v>266</v>
      </c>
      <c r="C159" s="42" t="s">
        <v>277</v>
      </c>
      <c r="D159" s="43" t="s">
        <v>39</v>
      </c>
      <c r="E159" s="43" t="s">
        <v>40</v>
      </c>
      <c r="F159" s="42" t="s">
        <v>238</v>
      </c>
      <c r="G159" s="43" t="s">
        <v>41</v>
      </c>
      <c r="H159" s="42">
        <v>49</v>
      </c>
      <c r="I159" s="44">
        <v>44691</v>
      </c>
      <c r="J159" s="43" t="s">
        <v>54</v>
      </c>
      <c r="K159" s="46">
        <v>9115</v>
      </c>
      <c r="L159" s="42"/>
      <c r="M159" s="51">
        <f>VLOOKUP(A159,'[1]ناتج ملف Excel'!$A:$AV,46,0)</f>
        <v>100</v>
      </c>
      <c r="N159" s="51">
        <f>VLOOKUP(A159,'[1]ناتج ملف Excel'!$A:$AV,47,0)</f>
        <v>2278.75</v>
      </c>
      <c r="O159" s="42"/>
      <c r="P159" s="47">
        <v>0</v>
      </c>
      <c r="Q159" s="48"/>
      <c r="R159" s="48">
        <v>0</v>
      </c>
      <c r="S159" s="72"/>
      <c r="T159" s="47">
        <v>3080</v>
      </c>
      <c r="U159" s="48">
        <f t="shared" si="29"/>
        <v>495.57291666666669</v>
      </c>
      <c r="V159" s="47">
        <v>700</v>
      </c>
      <c r="W159" s="42">
        <v>0</v>
      </c>
      <c r="X159" s="42">
        <v>0</v>
      </c>
      <c r="Y159" s="46">
        <v>1823</v>
      </c>
      <c r="Z159" s="42">
        <v>0</v>
      </c>
      <c r="AA159" s="4">
        <f t="shared" si="34"/>
        <v>5954.3229166666661</v>
      </c>
      <c r="AB159" s="4">
        <f t="shared" si="31"/>
        <v>71451.875</v>
      </c>
      <c r="AC159" s="4">
        <f t="shared" si="35"/>
        <v>189231.875</v>
      </c>
    </row>
    <row r="160" spans="1:29" x14ac:dyDescent="0.2">
      <c r="A160" s="42">
        <v>400061</v>
      </c>
      <c r="B160" s="43" t="s">
        <v>266</v>
      </c>
      <c r="C160" s="42" t="s">
        <v>277</v>
      </c>
      <c r="D160" s="43" t="s">
        <v>39</v>
      </c>
      <c r="E160" s="43" t="s">
        <v>40</v>
      </c>
      <c r="F160" s="42" t="s">
        <v>238</v>
      </c>
      <c r="G160" s="43" t="s">
        <v>41</v>
      </c>
      <c r="H160" s="42">
        <v>48</v>
      </c>
      <c r="I160" s="44">
        <v>44691</v>
      </c>
      <c r="J160" s="43" t="s">
        <v>54</v>
      </c>
      <c r="K160" s="49">
        <v>14445</v>
      </c>
      <c r="L160" s="42"/>
      <c r="M160" s="51">
        <f>VLOOKUP(A160,'[1]ناتج ملف Excel'!$A:$AV,46,0)</f>
        <v>100</v>
      </c>
      <c r="N160" s="51">
        <f>VLOOKUP(A160,'[1]ناتج ملف Excel'!$A:$AV,47,0)</f>
        <v>3611.25</v>
      </c>
      <c r="O160" s="42"/>
      <c r="P160" s="47">
        <v>0</v>
      </c>
      <c r="Q160" s="48"/>
      <c r="R160" s="48">
        <v>0</v>
      </c>
      <c r="S160" s="72"/>
      <c r="T160" s="47">
        <v>3080</v>
      </c>
      <c r="U160" s="48">
        <f t="shared" si="29"/>
        <v>773.17708333333337</v>
      </c>
      <c r="V160" s="47">
        <v>700</v>
      </c>
      <c r="W160" s="42">
        <v>0</v>
      </c>
      <c r="X160" s="42">
        <v>0</v>
      </c>
      <c r="Y160" s="46">
        <v>2889</v>
      </c>
      <c r="Z160" s="42">
        <v>0</v>
      </c>
      <c r="AA160" s="4">
        <f t="shared" si="34"/>
        <v>7564.4270833333339</v>
      </c>
      <c r="AB160" s="4">
        <f t="shared" si="31"/>
        <v>90773.125</v>
      </c>
      <c r="AC160" s="4">
        <f t="shared" si="35"/>
        <v>272513.125</v>
      </c>
    </row>
    <row r="161" spans="1:29" x14ac:dyDescent="0.2">
      <c r="A161" s="42">
        <v>400063</v>
      </c>
      <c r="B161" s="43" t="s">
        <v>266</v>
      </c>
      <c r="C161" s="42" t="s">
        <v>32</v>
      </c>
      <c r="D161" s="43" t="s">
        <v>33</v>
      </c>
      <c r="E161" s="43"/>
      <c r="F161" s="42" t="s">
        <v>21</v>
      </c>
      <c r="G161" s="43" t="s">
        <v>21</v>
      </c>
      <c r="H161" s="42">
        <v>37</v>
      </c>
      <c r="I161" s="44">
        <v>44691</v>
      </c>
      <c r="J161" s="43" t="s">
        <v>54</v>
      </c>
      <c r="K161" s="46">
        <v>8505</v>
      </c>
      <c r="L161" s="42"/>
      <c r="M161" s="51">
        <f>VLOOKUP(A161,'[1]ناتج ملف Excel'!$A:$AV,46,0)</f>
        <v>100</v>
      </c>
      <c r="N161" s="51">
        <f>VLOOKUP(A161,'[1]ناتج ملف Excel'!$A:$AV,47,0)</f>
        <v>2126.25</v>
      </c>
      <c r="O161" s="42"/>
      <c r="P161" s="47">
        <v>0</v>
      </c>
      <c r="Q161" s="48"/>
      <c r="R161" s="48">
        <v>0</v>
      </c>
      <c r="S161" s="72"/>
      <c r="T161" s="47">
        <v>3080</v>
      </c>
      <c r="U161" s="48">
        <f t="shared" si="29"/>
        <v>463.80208333333331</v>
      </c>
      <c r="V161" s="47">
        <v>700</v>
      </c>
      <c r="W161" s="42">
        <v>0</v>
      </c>
      <c r="X161" s="42">
        <v>0</v>
      </c>
      <c r="Y161" s="42">
        <v>0</v>
      </c>
      <c r="Z161" s="42">
        <v>0</v>
      </c>
      <c r="AA161" s="4">
        <f t="shared" si="34"/>
        <v>5770.0520833333339</v>
      </c>
      <c r="AB161" s="4">
        <f t="shared" si="31"/>
        <v>69240.625</v>
      </c>
      <c r="AC161" s="4">
        <f t="shared" si="35"/>
        <v>179700.625</v>
      </c>
    </row>
    <row r="162" spans="1:29" x14ac:dyDescent="0.2">
      <c r="A162" s="42">
        <v>400066</v>
      </c>
      <c r="B162" s="43" t="s">
        <v>266</v>
      </c>
      <c r="C162" s="43" t="s">
        <v>277</v>
      </c>
      <c r="D162" s="43" t="s">
        <v>39</v>
      </c>
      <c r="E162" s="43" t="s">
        <v>40</v>
      </c>
      <c r="F162" s="42" t="s">
        <v>236</v>
      </c>
      <c r="G162" s="43" t="s">
        <v>41</v>
      </c>
      <c r="H162" s="42">
        <v>34</v>
      </c>
      <c r="I162" s="44">
        <v>44691</v>
      </c>
      <c r="J162" s="43" t="s">
        <v>54</v>
      </c>
      <c r="K162" s="46">
        <v>5671</v>
      </c>
      <c r="L162" s="42"/>
      <c r="M162" s="51">
        <f>VLOOKUP(A162,'[1]ناتج ملف Excel'!$A:$AV,46,0)</f>
        <v>167.1</v>
      </c>
      <c r="N162" s="51">
        <f>VLOOKUP(A162,'[1]ناتج ملف Excel'!$A:$AV,47,0)</f>
        <v>1417.75</v>
      </c>
      <c r="O162" s="42"/>
      <c r="P162" s="47">
        <v>0</v>
      </c>
      <c r="Q162" s="48"/>
      <c r="R162" s="48">
        <v>0</v>
      </c>
      <c r="S162" s="72"/>
      <c r="T162" s="47">
        <v>3080</v>
      </c>
      <c r="U162" s="48">
        <f t="shared" si="29"/>
        <v>330.17708333333331</v>
      </c>
      <c r="V162" s="47">
        <v>400</v>
      </c>
      <c r="W162" s="42">
        <v>0</v>
      </c>
      <c r="X162" s="42">
        <v>0</v>
      </c>
      <c r="Y162" s="50">
        <v>1134.2</v>
      </c>
      <c r="Z162" s="42">
        <v>0</v>
      </c>
      <c r="AA162" s="4">
        <f t="shared" si="34"/>
        <v>4995.0270833333343</v>
      </c>
      <c r="AB162" s="4">
        <f t="shared" si="31"/>
        <v>59940.325000000012</v>
      </c>
      <c r="AC162" s="4">
        <f t="shared" si="35"/>
        <v>132792.32500000001</v>
      </c>
    </row>
    <row r="163" spans="1:29" x14ac:dyDescent="0.2">
      <c r="A163" s="42">
        <v>400068</v>
      </c>
      <c r="B163" s="43" t="s">
        <v>266</v>
      </c>
      <c r="C163" s="43" t="s">
        <v>277</v>
      </c>
      <c r="D163" s="43" t="s">
        <v>39</v>
      </c>
      <c r="E163" s="43" t="s">
        <v>40</v>
      </c>
      <c r="F163" s="42" t="s">
        <v>236</v>
      </c>
      <c r="G163" s="43" t="s">
        <v>41</v>
      </c>
      <c r="H163" s="42">
        <v>31</v>
      </c>
      <c r="I163" s="44">
        <v>44691</v>
      </c>
      <c r="J163" s="43" t="s">
        <v>54</v>
      </c>
      <c r="K163" s="46">
        <v>5885</v>
      </c>
      <c r="L163" s="42"/>
      <c r="M163" s="51">
        <f>VLOOKUP(A163,'[1]ناتج ملف Excel'!$A:$AV,46,0)</f>
        <v>88.5</v>
      </c>
      <c r="N163" s="51">
        <f>VLOOKUP(A163,'[1]ناتج ملف Excel'!$A:$AV,47,0)</f>
        <v>1471.25</v>
      </c>
      <c r="O163" s="42"/>
      <c r="P163" s="47">
        <v>0</v>
      </c>
      <c r="Q163" s="48"/>
      <c r="R163" s="48">
        <v>0</v>
      </c>
      <c r="S163" s="72"/>
      <c r="T163" s="47">
        <v>3080</v>
      </c>
      <c r="U163" s="48">
        <f t="shared" si="29"/>
        <v>324.94791666666669</v>
      </c>
      <c r="V163" s="47">
        <v>500</v>
      </c>
      <c r="W163" s="42">
        <v>0</v>
      </c>
      <c r="X163" s="42">
        <v>0</v>
      </c>
      <c r="Y163" s="46">
        <v>1177</v>
      </c>
      <c r="Z163" s="42">
        <v>0</v>
      </c>
      <c r="AA163" s="4">
        <f t="shared" si="34"/>
        <v>4964.6979166666661</v>
      </c>
      <c r="AB163" s="4">
        <f t="shared" si="31"/>
        <v>59576.374999999993</v>
      </c>
      <c r="AC163" s="4">
        <f t="shared" si="35"/>
        <v>136196.375</v>
      </c>
    </row>
    <row r="164" spans="1:29" x14ac:dyDescent="0.2">
      <c r="A164" s="42">
        <v>400069</v>
      </c>
      <c r="B164" s="43" t="s">
        <v>266</v>
      </c>
      <c r="C164" s="42" t="s">
        <v>277</v>
      </c>
      <c r="D164" s="43" t="s">
        <v>39</v>
      </c>
      <c r="E164" s="43" t="s">
        <v>40</v>
      </c>
      <c r="F164" s="42" t="s">
        <v>238</v>
      </c>
      <c r="G164" s="43" t="s">
        <v>41</v>
      </c>
      <c r="H164" s="42">
        <v>47</v>
      </c>
      <c r="I164" s="44">
        <v>44691</v>
      </c>
      <c r="J164" s="43" t="s">
        <v>54</v>
      </c>
      <c r="K164" s="49">
        <v>18565</v>
      </c>
      <c r="L164" s="42"/>
      <c r="M164" s="51">
        <v>0</v>
      </c>
      <c r="N164" s="51">
        <f>VLOOKUP(A164,'[1]ناتج ملف Excel'!$A:$AV,47,0)</f>
        <v>4641.25</v>
      </c>
      <c r="O164" s="42"/>
      <c r="P164" s="47">
        <v>0</v>
      </c>
      <c r="Q164" s="48"/>
      <c r="R164" s="48">
        <v>0</v>
      </c>
      <c r="S164" s="72"/>
      <c r="T164" s="47">
        <v>3080</v>
      </c>
      <c r="U164" s="48">
        <f t="shared" si="29"/>
        <v>966.92708333333337</v>
      </c>
      <c r="V164" s="47">
        <v>900</v>
      </c>
      <c r="W164" s="42">
        <v>0</v>
      </c>
      <c r="X164" s="42">
        <v>0</v>
      </c>
      <c r="Y164" s="46">
        <v>3713</v>
      </c>
      <c r="Z164" s="42">
        <v>0</v>
      </c>
      <c r="AA164" s="4">
        <f t="shared" si="34"/>
        <v>8688.1770833333339</v>
      </c>
      <c r="AB164" s="4">
        <f t="shared" si="31"/>
        <v>104258.125</v>
      </c>
      <c r="AC164" s="4">
        <f t="shared" si="35"/>
        <v>337838.125</v>
      </c>
    </row>
    <row r="165" spans="1:29" x14ac:dyDescent="0.2">
      <c r="A165" s="42">
        <v>400071</v>
      </c>
      <c r="B165" s="43" t="s">
        <v>266</v>
      </c>
      <c r="C165" s="42" t="s">
        <v>277</v>
      </c>
      <c r="D165" s="43" t="s">
        <v>39</v>
      </c>
      <c r="E165" s="43" t="s">
        <v>40</v>
      </c>
      <c r="F165" s="42" t="s">
        <v>238</v>
      </c>
      <c r="G165" s="43" t="s">
        <v>41</v>
      </c>
      <c r="H165" s="42">
        <v>44</v>
      </c>
      <c r="I165" s="44">
        <v>44691</v>
      </c>
      <c r="J165" s="43" t="s">
        <v>54</v>
      </c>
      <c r="K165" s="49">
        <v>14865</v>
      </c>
      <c r="L165" s="42"/>
      <c r="M165" s="51">
        <f>VLOOKUP(A165,'[1]ناتج ملف Excel'!$A:$AV,46,0)</f>
        <v>100</v>
      </c>
      <c r="N165" s="51">
        <f>VLOOKUP(A165,'[1]ناتج ملف Excel'!$A:$AV,47,0)</f>
        <v>3716.25</v>
      </c>
      <c r="O165" s="42"/>
      <c r="P165" s="47">
        <v>0</v>
      </c>
      <c r="Q165" s="48"/>
      <c r="R165" s="48">
        <v>0</v>
      </c>
      <c r="S165" s="72"/>
      <c r="T165" s="47">
        <v>3080</v>
      </c>
      <c r="U165" s="48">
        <f t="shared" si="29"/>
        <v>795.05208333333337</v>
      </c>
      <c r="V165" s="47">
        <v>700</v>
      </c>
      <c r="W165" s="42">
        <v>0</v>
      </c>
      <c r="X165" s="42">
        <v>0</v>
      </c>
      <c r="Y165" s="46">
        <v>2973</v>
      </c>
      <c r="Z165" s="42">
        <v>0</v>
      </c>
      <c r="AA165" s="4">
        <f t="shared" si="34"/>
        <v>7691.3020833333339</v>
      </c>
      <c r="AB165" s="4">
        <f t="shared" si="31"/>
        <v>92295.625</v>
      </c>
      <c r="AC165" s="4">
        <f t="shared" si="35"/>
        <v>279075.625</v>
      </c>
    </row>
    <row r="166" spans="1:29" x14ac:dyDescent="0.2">
      <c r="A166" s="42">
        <v>400072</v>
      </c>
      <c r="B166" s="43" t="s">
        <v>266</v>
      </c>
      <c r="C166" s="42" t="s">
        <v>277</v>
      </c>
      <c r="D166" s="43" t="s">
        <v>39</v>
      </c>
      <c r="E166" s="43" t="s">
        <v>40</v>
      </c>
      <c r="F166" s="42" t="s">
        <v>238</v>
      </c>
      <c r="G166" s="43" t="s">
        <v>41</v>
      </c>
      <c r="H166" s="42">
        <v>46</v>
      </c>
      <c r="I166" s="44">
        <v>44691</v>
      </c>
      <c r="J166" s="43" t="s">
        <v>54</v>
      </c>
      <c r="K166" s="49">
        <v>16905</v>
      </c>
      <c r="L166" s="42"/>
      <c r="M166" s="51">
        <f>VLOOKUP(A166,'[1]ناتج ملف Excel'!$A:$AV,46,0)</f>
        <v>100</v>
      </c>
      <c r="N166" s="51">
        <f>VLOOKUP(A166,'[1]ناتج ملف Excel'!$A:$AV,47,0)</f>
        <v>4226.25</v>
      </c>
      <c r="O166" s="42"/>
      <c r="P166" s="47">
        <v>0</v>
      </c>
      <c r="Q166" s="48"/>
      <c r="R166" s="48">
        <v>0</v>
      </c>
      <c r="S166" s="72"/>
      <c r="T166" s="47">
        <v>3080</v>
      </c>
      <c r="U166" s="48">
        <f t="shared" si="29"/>
        <v>901.30208333333337</v>
      </c>
      <c r="V166" s="47">
        <v>700</v>
      </c>
      <c r="W166" s="42">
        <v>0</v>
      </c>
      <c r="X166" s="42">
        <v>0</v>
      </c>
      <c r="Y166" s="46">
        <v>3381</v>
      </c>
      <c r="Z166" s="42">
        <v>0</v>
      </c>
      <c r="AA166" s="4">
        <f t="shared" si="34"/>
        <v>8307.5520833333339</v>
      </c>
      <c r="AB166" s="4">
        <f t="shared" si="31"/>
        <v>99690.625</v>
      </c>
      <c r="AC166" s="4">
        <f t="shared" si="35"/>
        <v>310950.625</v>
      </c>
    </row>
    <row r="167" spans="1:29" x14ac:dyDescent="0.2">
      <c r="A167" s="42">
        <v>400074</v>
      </c>
      <c r="B167" s="43" t="s">
        <v>266</v>
      </c>
      <c r="C167" s="43" t="s">
        <v>278</v>
      </c>
      <c r="D167" s="43" t="s">
        <v>39</v>
      </c>
      <c r="E167" s="43" t="s">
        <v>40</v>
      </c>
      <c r="F167" s="42" t="s">
        <v>21</v>
      </c>
      <c r="G167" s="43" t="s">
        <v>21</v>
      </c>
      <c r="H167" s="42">
        <v>55</v>
      </c>
      <c r="I167" s="44">
        <v>44691</v>
      </c>
      <c r="J167" s="43" t="s">
        <v>54</v>
      </c>
      <c r="K167" s="49">
        <v>13820</v>
      </c>
      <c r="L167" s="42"/>
      <c r="M167" s="51">
        <f>VLOOKUP(A167,'[1]ناتج ملف Excel'!$A:$AV,46,0)</f>
        <v>100</v>
      </c>
      <c r="N167" s="51">
        <f>VLOOKUP(A167,'[1]ناتج ملف Excel'!$A:$AV,47,0)</f>
        <v>3455</v>
      </c>
      <c r="O167" s="42"/>
      <c r="P167" s="47">
        <v>0</v>
      </c>
      <c r="Q167" s="48"/>
      <c r="R167" s="48">
        <v>0</v>
      </c>
      <c r="S167" s="72"/>
      <c r="T167" s="47">
        <v>3080</v>
      </c>
      <c r="U167" s="48">
        <f t="shared" si="29"/>
        <v>740.625</v>
      </c>
      <c r="V167" s="47">
        <v>700</v>
      </c>
      <c r="W167" s="42">
        <v>0</v>
      </c>
      <c r="X167" s="42">
        <v>0</v>
      </c>
      <c r="Y167" s="46">
        <v>2764</v>
      </c>
      <c r="Z167" s="42">
        <v>0</v>
      </c>
      <c r="AA167" s="4">
        <f t="shared" si="34"/>
        <v>7375.625</v>
      </c>
      <c r="AB167" s="4">
        <f t="shared" si="31"/>
        <v>88507.5</v>
      </c>
      <c r="AC167" s="4">
        <f t="shared" si="35"/>
        <v>262747.5</v>
      </c>
    </row>
    <row r="168" spans="1:29" x14ac:dyDescent="0.2">
      <c r="A168" s="42">
        <v>400075</v>
      </c>
      <c r="B168" s="43" t="s">
        <v>267</v>
      </c>
      <c r="C168" s="42" t="s">
        <v>277</v>
      </c>
      <c r="D168" s="43" t="s">
        <v>39</v>
      </c>
      <c r="E168" s="43" t="s">
        <v>40</v>
      </c>
      <c r="F168" s="42" t="s">
        <v>238</v>
      </c>
      <c r="G168" s="43" t="s">
        <v>41</v>
      </c>
      <c r="H168" s="42">
        <v>38</v>
      </c>
      <c r="I168" s="44">
        <v>44691</v>
      </c>
      <c r="J168" s="43" t="s">
        <v>54</v>
      </c>
      <c r="K168" s="49">
        <v>10915</v>
      </c>
      <c r="L168" s="42"/>
      <c r="M168" s="51">
        <f>VLOOKUP(A168,'[1]ناتج ملف Excel'!$A:$AV,46,0)</f>
        <v>100</v>
      </c>
      <c r="N168" s="51">
        <f>VLOOKUP(A168,'[1]ناتج ملف Excel'!$A:$AV,47,0)</f>
        <v>2728.75</v>
      </c>
      <c r="O168" s="42"/>
      <c r="P168" s="47">
        <v>0</v>
      </c>
      <c r="Q168" s="48"/>
      <c r="R168" s="48">
        <v>0</v>
      </c>
      <c r="S168" s="72"/>
      <c r="T168" s="47">
        <v>3080</v>
      </c>
      <c r="U168" s="48">
        <f t="shared" si="29"/>
        <v>589.32291666666663</v>
      </c>
      <c r="V168" s="47">
        <v>700</v>
      </c>
      <c r="W168" s="42">
        <v>750</v>
      </c>
      <c r="X168" s="42">
        <v>0</v>
      </c>
      <c r="Y168" s="46">
        <v>2183</v>
      </c>
      <c r="Z168" s="42">
        <v>0</v>
      </c>
      <c r="AA168" s="4">
        <f t="shared" si="34"/>
        <v>6498.0729166666661</v>
      </c>
      <c r="AB168" s="4">
        <f t="shared" si="31"/>
        <v>77976.875</v>
      </c>
      <c r="AC168" s="4">
        <f t="shared" si="35"/>
        <v>226356.875</v>
      </c>
    </row>
    <row r="169" spans="1:29" x14ac:dyDescent="0.2">
      <c r="A169" s="42">
        <v>400077</v>
      </c>
      <c r="B169" s="43" t="s">
        <v>267</v>
      </c>
      <c r="C169" s="43" t="s">
        <v>277</v>
      </c>
      <c r="D169" s="43" t="s">
        <v>39</v>
      </c>
      <c r="E169" s="43" t="s">
        <v>40</v>
      </c>
      <c r="F169" s="42" t="s">
        <v>236</v>
      </c>
      <c r="G169" s="43" t="s">
        <v>41</v>
      </c>
      <c r="H169" s="42">
        <v>30</v>
      </c>
      <c r="I169" s="44">
        <v>44691</v>
      </c>
      <c r="J169" s="43" t="s">
        <v>54</v>
      </c>
      <c r="K169" s="46">
        <v>7285</v>
      </c>
      <c r="L169" s="42"/>
      <c r="M169" s="51">
        <f>VLOOKUP(A169,'[1]ناتج ملف Excel'!$A:$AV,46,0)</f>
        <v>28.5</v>
      </c>
      <c r="N169" s="51">
        <f>VLOOKUP(A169,'[1]ناتج ملف Excel'!$A:$AV,47,0)</f>
        <v>1821.25</v>
      </c>
      <c r="O169" s="42"/>
      <c r="P169" s="47">
        <v>0</v>
      </c>
      <c r="Q169" s="48"/>
      <c r="R169" s="48">
        <v>0</v>
      </c>
      <c r="S169" s="72"/>
      <c r="T169" s="47">
        <v>3080</v>
      </c>
      <c r="U169" s="48">
        <f t="shared" si="29"/>
        <v>385.36458333333331</v>
      </c>
      <c r="V169" s="47">
        <v>700</v>
      </c>
      <c r="W169" s="42">
        <v>750</v>
      </c>
      <c r="X169" s="42">
        <v>0</v>
      </c>
      <c r="Y169" s="46">
        <v>1457</v>
      </c>
      <c r="Z169" s="42">
        <v>0</v>
      </c>
      <c r="AA169" s="4">
        <f t="shared" si="34"/>
        <v>5315.1145833333339</v>
      </c>
      <c r="AB169" s="4">
        <f t="shared" si="31"/>
        <v>63781.375000000007</v>
      </c>
      <c r="AC169" s="4">
        <f t="shared" si="35"/>
        <v>168601.375</v>
      </c>
    </row>
    <row r="170" spans="1:29" x14ac:dyDescent="0.2">
      <c r="A170" s="42">
        <v>400080</v>
      </c>
      <c r="B170" s="43" t="s">
        <v>267</v>
      </c>
      <c r="C170" s="42" t="s">
        <v>300</v>
      </c>
      <c r="D170" s="43" t="s">
        <v>33</v>
      </c>
      <c r="E170" s="43"/>
      <c r="F170" s="42" t="s">
        <v>77</v>
      </c>
      <c r="G170" s="43" t="s">
        <v>41</v>
      </c>
      <c r="H170" s="42">
        <v>38</v>
      </c>
      <c r="I170" s="44">
        <v>44691</v>
      </c>
      <c r="J170" s="43" t="s">
        <v>54</v>
      </c>
      <c r="K170" s="46">
        <v>9565</v>
      </c>
      <c r="L170" s="42"/>
      <c r="M170" s="51">
        <f>VLOOKUP(A170,'[1]ناتج ملف Excel'!$A:$AV,46,0)</f>
        <v>100</v>
      </c>
      <c r="N170" s="51">
        <f>VLOOKUP(A170,'[1]ناتج ملف Excel'!$A:$AV,47,0)</f>
        <v>2391.25</v>
      </c>
      <c r="O170" s="42"/>
      <c r="P170" s="47">
        <v>0</v>
      </c>
      <c r="Q170" s="48"/>
      <c r="R170" s="48">
        <v>0</v>
      </c>
      <c r="S170" s="72"/>
      <c r="T170" s="47">
        <v>3080</v>
      </c>
      <c r="U170" s="48">
        <f t="shared" si="29"/>
        <v>519.01041666666663</v>
      </c>
      <c r="V170" s="47">
        <v>700</v>
      </c>
      <c r="W170" s="42">
        <v>750</v>
      </c>
      <c r="X170" s="42">
        <v>0</v>
      </c>
      <c r="Y170" s="42">
        <v>0</v>
      </c>
      <c r="Z170" s="42">
        <v>0</v>
      </c>
      <c r="AA170" s="4">
        <f t="shared" si="34"/>
        <v>6090.2604166666661</v>
      </c>
      <c r="AB170" s="4">
        <f t="shared" si="31"/>
        <v>73083.125</v>
      </c>
      <c r="AC170" s="4">
        <f t="shared" si="35"/>
        <v>205263.125</v>
      </c>
    </row>
    <row r="171" spans="1:29" x14ac:dyDescent="0.2">
      <c r="A171" s="42">
        <v>400081</v>
      </c>
      <c r="B171" s="43" t="s">
        <v>267</v>
      </c>
      <c r="C171" s="42" t="s">
        <v>32</v>
      </c>
      <c r="D171" s="43" t="s">
        <v>33</v>
      </c>
      <c r="E171" s="43"/>
      <c r="F171" s="42" t="s">
        <v>21</v>
      </c>
      <c r="G171" s="43" t="s">
        <v>21</v>
      </c>
      <c r="H171" s="42">
        <v>34</v>
      </c>
      <c r="I171" s="44">
        <v>44691</v>
      </c>
      <c r="J171" s="43" t="s">
        <v>54</v>
      </c>
      <c r="K171" s="46">
        <v>7285</v>
      </c>
      <c r="L171" s="42"/>
      <c r="M171" s="51">
        <f>VLOOKUP(A171,'[1]ناتج ملف Excel'!$A:$AV,46,0)</f>
        <v>28.5</v>
      </c>
      <c r="N171" s="51">
        <f>VLOOKUP(A171,'[1]ناتج ملف Excel'!$A:$AV,47,0)</f>
        <v>1821.25</v>
      </c>
      <c r="O171" s="42"/>
      <c r="P171" s="47">
        <v>0</v>
      </c>
      <c r="Q171" s="48"/>
      <c r="R171" s="48">
        <v>0</v>
      </c>
      <c r="S171" s="72"/>
      <c r="T171" s="47">
        <v>3080</v>
      </c>
      <c r="U171" s="48">
        <f t="shared" si="29"/>
        <v>385.36458333333331</v>
      </c>
      <c r="V171" s="47">
        <v>700</v>
      </c>
      <c r="W171" s="42">
        <v>750</v>
      </c>
      <c r="X171" s="42">
        <v>0</v>
      </c>
      <c r="Y171" s="42">
        <v>0</v>
      </c>
      <c r="Z171" s="42">
        <v>0</v>
      </c>
      <c r="AA171" s="4">
        <f t="shared" si="34"/>
        <v>5315.1145833333339</v>
      </c>
      <c r="AB171" s="4">
        <f t="shared" si="31"/>
        <v>63781.375000000007</v>
      </c>
      <c r="AC171" s="4">
        <f t="shared" si="35"/>
        <v>168601.375</v>
      </c>
    </row>
    <row r="172" spans="1:29" x14ac:dyDescent="0.2">
      <c r="A172" s="42">
        <v>400083</v>
      </c>
      <c r="B172" s="43" t="s">
        <v>267</v>
      </c>
      <c r="C172" s="43" t="s">
        <v>277</v>
      </c>
      <c r="D172" s="43" t="s">
        <v>39</v>
      </c>
      <c r="E172" s="43" t="s">
        <v>40</v>
      </c>
      <c r="F172" s="42" t="s">
        <v>236</v>
      </c>
      <c r="G172" s="43" t="s">
        <v>41</v>
      </c>
      <c r="H172" s="42">
        <v>46</v>
      </c>
      <c r="I172" s="44">
        <v>44691</v>
      </c>
      <c r="J172" s="43" t="s">
        <v>54</v>
      </c>
      <c r="K172" s="49">
        <v>14445</v>
      </c>
      <c r="L172" s="42"/>
      <c r="M172" s="51">
        <f>VLOOKUP(A172,'[1]ناتج ملف Excel'!$A:$AV,46,0)</f>
        <v>100</v>
      </c>
      <c r="N172" s="51">
        <f>VLOOKUP(A172,'[1]ناتج ملف Excel'!$A:$AV,47,0)</f>
        <v>3611.25</v>
      </c>
      <c r="O172" s="42"/>
      <c r="P172" s="47">
        <v>0</v>
      </c>
      <c r="Q172" s="48"/>
      <c r="R172" s="48">
        <v>0</v>
      </c>
      <c r="S172" s="72"/>
      <c r="T172" s="47">
        <v>3080</v>
      </c>
      <c r="U172" s="48">
        <f t="shared" si="29"/>
        <v>773.17708333333337</v>
      </c>
      <c r="V172" s="47">
        <v>700</v>
      </c>
      <c r="W172" s="42">
        <v>750</v>
      </c>
      <c r="X172" s="42">
        <v>0</v>
      </c>
      <c r="Y172" s="46">
        <v>2889</v>
      </c>
      <c r="Z172" s="42">
        <v>0</v>
      </c>
      <c r="AA172" s="4">
        <f t="shared" si="34"/>
        <v>7564.4270833333339</v>
      </c>
      <c r="AB172" s="4">
        <f t="shared" si="31"/>
        <v>90773.125</v>
      </c>
      <c r="AC172" s="4">
        <f t="shared" si="35"/>
        <v>281513.125</v>
      </c>
    </row>
    <row r="173" spans="1:29" x14ac:dyDescent="0.2">
      <c r="A173" s="42">
        <v>400085</v>
      </c>
      <c r="B173" s="43" t="s">
        <v>267</v>
      </c>
      <c r="C173" s="43" t="s">
        <v>277</v>
      </c>
      <c r="D173" s="43" t="s">
        <v>39</v>
      </c>
      <c r="E173" s="43" t="s">
        <v>40</v>
      </c>
      <c r="F173" s="42" t="s">
        <v>236</v>
      </c>
      <c r="G173" s="43" t="s">
        <v>41</v>
      </c>
      <c r="H173" s="42">
        <v>48</v>
      </c>
      <c r="I173" s="44">
        <v>44691</v>
      </c>
      <c r="J173" s="43" t="s">
        <v>54</v>
      </c>
      <c r="K173" s="46">
        <v>9565</v>
      </c>
      <c r="L173" s="42"/>
      <c r="M173" s="51">
        <f>VLOOKUP(A173,'[1]ناتج ملف Excel'!$A:$AV,46,0)</f>
        <v>100</v>
      </c>
      <c r="N173" s="51">
        <f>VLOOKUP(A173,'[1]ناتج ملف Excel'!$A:$AV,47,0)</f>
        <v>2391.25</v>
      </c>
      <c r="O173" s="42"/>
      <c r="P173" s="47">
        <v>0</v>
      </c>
      <c r="Q173" s="48"/>
      <c r="R173" s="48">
        <v>0</v>
      </c>
      <c r="S173" s="72"/>
      <c r="T173" s="47">
        <v>3080</v>
      </c>
      <c r="U173" s="48">
        <f t="shared" si="29"/>
        <v>519.01041666666663</v>
      </c>
      <c r="V173" s="47">
        <v>700</v>
      </c>
      <c r="W173" s="42">
        <v>0</v>
      </c>
      <c r="X173" s="42">
        <v>0</v>
      </c>
      <c r="Y173" s="46">
        <v>1913</v>
      </c>
      <c r="Z173" s="42">
        <v>0</v>
      </c>
      <c r="AA173" s="4">
        <f t="shared" si="34"/>
        <v>6090.2604166666661</v>
      </c>
      <c r="AB173" s="4">
        <f t="shared" si="31"/>
        <v>73083.125</v>
      </c>
      <c r="AC173" s="4">
        <f t="shared" si="35"/>
        <v>196263.125</v>
      </c>
    </row>
    <row r="174" spans="1:29" x14ac:dyDescent="0.2">
      <c r="A174" s="42">
        <v>400086</v>
      </c>
      <c r="B174" s="43" t="s">
        <v>267</v>
      </c>
      <c r="C174" s="43" t="s">
        <v>277</v>
      </c>
      <c r="D174" s="43" t="s">
        <v>39</v>
      </c>
      <c r="E174" s="43" t="s">
        <v>40</v>
      </c>
      <c r="F174" s="42" t="s">
        <v>236</v>
      </c>
      <c r="G174" s="43" t="s">
        <v>41</v>
      </c>
      <c r="H174" s="42">
        <v>39</v>
      </c>
      <c r="I174" s="44">
        <v>44691</v>
      </c>
      <c r="J174" s="43" t="s">
        <v>54</v>
      </c>
      <c r="K174" s="49">
        <v>11330</v>
      </c>
      <c r="L174" s="42"/>
      <c r="M174" s="51">
        <f>VLOOKUP(A174,'[1]ناتج ملف Excel'!$A:$AV,46,0)</f>
        <v>100</v>
      </c>
      <c r="N174" s="51">
        <f>VLOOKUP(A174,'[1]ناتج ملف Excel'!$A:$AV,47,0)</f>
        <v>2832.5</v>
      </c>
      <c r="O174" s="42"/>
      <c r="P174" s="47">
        <v>0</v>
      </c>
      <c r="Q174" s="48"/>
      <c r="R174" s="48">
        <v>0</v>
      </c>
      <c r="S174" s="72"/>
      <c r="T174" s="47">
        <v>3080</v>
      </c>
      <c r="U174" s="48">
        <f t="shared" si="29"/>
        <v>610.9375</v>
      </c>
      <c r="V174" s="47">
        <v>700</v>
      </c>
      <c r="W174" s="42">
        <v>0</v>
      </c>
      <c r="X174" s="42">
        <v>0</v>
      </c>
      <c r="Y174" s="46">
        <v>2266</v>
      </c>
      <c r="Z174" s="42">
        <v>0</v>
      </c>
      <c r="AA174" s="4">
        <f t="shared" si="34"/>
        <v>6623.4375</v>
      </c>
      <c r="AB174" s="4">
        <f t="shared" si="31"/>
        <v>79481.25</v>
      </c>
      <c r="AC174" s="4">
        <f t="shared" si="35"/>
        <v>223841.25</v>
      </c>
    </row>
    <row r="175" spans="1:29" x14ac:dyDescent="0.2">
      <c r="A175" s="42">
        <v>400087</v>
      </c>
      <c r="B175" s="43" t="s">
        <v>267</v>
      </c>
      <c r="C175" s="43" t="s">
        <v>53</v>
      </c>
      <c r="D175" s="43" t="s">
        <v>53</v>
      </c>
      <c r="E175" s="43" t="s">
        <v>40</v>
      </c>
      <c r="F175" s="42" t="s">
        <v>21</v>
      </c>
      <c r="G175" s="43" t="s">
        <v>21</v>
      </c>
      <c r="H175" s="42">
        <v>35</v>
      </c>
      <c r="I175" s="44">
        <v>44691</v>
      </c>
      <c r="J175" s="43" t="s">
        <v>54</v>
      </c>
      <c r="K175" s="46">
        <v>7285</v>
      </c>
      <c r="L175" s="42"/>
      <c r="M175" s="51">
        <f>VLOOKUP(A175,'[1]ناتج ملف Excel'!$A:$AV,46,0)</f>
        <v>28.5</v>
      </c>
      <c r="N175" s="51">
        <f>VLOOKUP(A175,'[1]ناتج ملف Excel'!$A:$AV,47,0)</f>
        <v>1821.25</v>
      </c>
      <c r="O175" s="42"/>
      <c r="P175" s="47">
        <v>0</v>
      </c>
      <c r="Q175" s="48"/>
      <c r="R175" s="48">
        <v>0</v>
      </c>
      <c r="S175" s="72"/>
      <c r="T175" s="47">
        <v>3080</v>
      </c>
      <c r="U175" s="48">
        <f t="shared" si="29"/>
        <v>385.36458333333331</v>
      </c>
      <c r="V175" s="47">
        <v>700</v>
      </c>
      <c r="W175" s="42">
        <v>750</v>
      </c>
      <c r="X175" s="42">
        <v>0</v>
      </c>
      <c r="Y175" s="42">
        <v>0</v>
      </c>
      <c r="Z175" s="42">
        <v>0</v>
      </c>
      <c r="AA175" s="4">
        <f t="shared" si="34"/>
        <v>5315.1145833333339</v>
      </c>
      <c r="AB175" s="4">
        <f t="shared" si="31"/>
        <v>63781.375000000007</v>
      </c>
      <c r="AC175" s="4">
        <f t="shared" si="35"/>
        <v>168601.375</v>
      </c>
    </row>
    <row r="176" spans="1:29" x14ac:dyDescent="0.2">
      <c r="A176" s="42">
        <v>400088</v>
      </c>
      <c r="B176" s="43" t="s">
        <v>267</v>
      </c>
      <c r="C176" s="43" t="s">
        <v>277</v>
      </c>
      <c r="D176" s="43" t="s">
        <v>39</v>
      </c>
      <c r="E176" s="43" t="s">
        <v>40</v>
      </c>
      <c r="F176" s="42" t="s">
        <v>236</v>
      </c>
      <c r="G176" s="43" t="s">
        <v>41</v>
      </c>
      <c r="H176" s="42">
        <v>25</v>
      </c>
      <c r="I176" s="44">
        <v>44691</v>
      </c>
      <c r="J176" s="43" t="s">
        <v>54</v>
      </c>
      <c r="K176" s="46">
        <v>6309</v>
      </c>
      <c r="L176" s="42"/>
      <c r="M176" s="51">
        <f>VLOOKUP(A176,'[1]ناتج ملف Excel'!$A:$AV,46,0)</f>
        <v>130.9</v>
      </c>
      <c r="N176" s="51">
        <f>VLOOKUP(A176,'[1]ناتج ملف Excel'!$A:$AV,47,0)</f>
        <v>1577.25</v>
      </c>
      <c r="O176" s="42"/>
      <c r="P176" s="47">
        <v>0</v>
      </c>
      <c r="Q176" s="48"/>
      <c r="R176" s="48">
        <v>0</v>
      </c>
      <c r="S176" s="72"/>
      <c r="T176" s="47">
        <v>3080</v>
      </c>
      <c r="U176" s="48">
        <f t="shared" si="29"/>
        <v>355.86458333333331</v>
      </c>
      <c r="V176" s="47">
        <v>500</v>
      </c>
      <c r="W176" s="42">
        <v>0</v>
      </c>
      <c r="X176" s="42">
        <v>0</v>
      </c>
      <c r="Y176" s="50">
        <v>1261.8</v>
      </c>
      <c r="Z176" s="42">
        <v>0</v>
      </c>
      <c r="AA176" s="4">
        <f t="shared" si="34"/>
        <v>5144.0145833333336</v>
      </c>
      <c r="AB176" s="4">
        <f t="shared" si="31"/>
        <v>61728.175000000003</v>
      </c>
      <c r="AC176" s="4">
        <f t="shared" si="35"/>
        <v>143436.17499999999</v>
      </c>
    </row>
    <row r="177" spans="1:29" x14ac:dyDescent="0.2">
      <c r="A177" s="42">
        <v>400091</v>
      </c>
      <c r="B177" s="43">
        <v>6</v>
      </c>
      <c r="C177" s="43" t="s">
        <v>284</v>
      </c>
      <c r="D177" s="43" t="s">
        <v>39</v>
      </c>
      <c r="E177" s="43" t="s">
        <v>40</v>
      </c>
      <c r="F177" s="42" t="s">
        <v>21</v>
      </c>
      <c r="G177" s="43" t="s">
        <v>21</v>
      </c>
      <c r="H177" s="42">
        <v>58</v>
      </c>
      <c r="I177" s="44">
        <v>44713</v>
      </c>
      <c r="J177" s="43" t="s">
        <v>54</v>
      </c>
      <c r="K177" s="49">
        <v>20275</v>
      </c>
      <c r="L177" s="42"/>
      <c r="M177" s="51">
        <f>VLOOKUP(A177,'[1]ناتج ملف Excel'!$A:$AV,46,0)</f>
        <v>1127.5</v>
      </c>
      <c r="N177" s="51">
        <f>VLOOKUP(A177,'[1]ناتج ملف Excel'!$A:$AV,47,0)</f>
        <v>5068.75</v>
      </c>
      <c r="O177" s="42"/>
      <c r="P177" s="47">
        <v>0</v>
      </c>
      <c r="Q177" s="48"/>
      <c r="R177" s="48">
        <v>0</v>
      </c>
      <c r="S177" s="72"/>
      <c r="T177" s="47">
        <v>3080</v>
      </c>
      <c r="U177" s="48">
        <f t="shared" si="29"/>
        <v>1290.8854166666667</v>
      </c>
      <c r="V177" s="47">
        <v>900</v>
      </c>
      <c r="W177" s="42">
        <v>0</v>
      </c>
      <c r="X177" s="42">
        <v>0</v>
      </c>
      <c r="Y177" s="46">
        <v>4055</v>
      </c>
      <c r="Z177" s="42">
        <v>0</v>
      </c>
      <c r="AA177" s="4">
        <f t="shared" si="34"/>
        <v>10567.135416666668</v>
      </c>
      <c r="AB177" s="4">
        <f t="shared" si="31"/>
        <v>126805.62500000001</v>
      </c>
      <c r="AC177" s="4">
        <f t="shared" si="35"/>
        <v>380905.625</v>
      </c>
    </row>
    <row r="178" spans="1:29" x14ac:dyDescent="0.2">
      <c r="A178" s="42">
        <v>400092</v>
      </c>
      <c r="B178" s="43">
        <v>6</v>
      </c>
      <c r="C178" s="43" t="s">
        <v>284</v>
      </c>
      <c r="D178" s="43" t="s">
        <v>39</v>
      </c>
      <c r="E178" s="43" t="s">
        <v>40</v>
      </c>
      <c r="F178" s="42" t="s">
        <v>21</v>
      </c>
      <c r="G178" s="43" t="s">
        <v>21</v>
      </c>
      <c r="H178" s="42">
        <v>42</v>
      </c>
      <c r="I178" s="44">
        <v>44713</v>
      </c>
      <c r="J178" s="43" t="s">
        <v>54</v>
      </c>
      <c r="K178" s="49">
        <v>14865</v>
      </c>
      <c r="L178" s="42"/>
      <c r="M178" s="51">
        <f>VLOOKUP(A178,'[1]ناتج ملف Excel'!$A:$AV,46,0)</f>
        <v>786.5</v>
      </c>
      <c r="N178" s="51">
        <f>VLOOKUP(A178,'[1]ناتج ملف Excel'!$A:$AV,47,0)</f>
        <v>3716.25</v>
      </c>
      <c r="O178" s="42"/>
      <c r="P178" s="47">
        <v>0</v>
      </c>
      <c r="Q178" s="48"/>
      <c r="R178" s="48">
        <v>0</v>
      </c>
      <c r="S178" s="72"/>
      <c r="T178" s="47">
        <v>3080</v>
      </c>
      <c r="U178" s="48">
        <f t="shared" si="29"/>
        <v>938.07291666666663</v>
      </c>
      <c r="V178" s="47">
        <v>700</v>
      </c>
      <c r="W178" s="42">
        <v>0</v>
      </c>
      <c r="X178" s="42">
        <v>0</v>
      </c>
      <c r="Y178" s="46">
        <v>2973</v>
      </c>
      <c r="Z178" s="42">
        <v>0</v>
      </c>
      <c r="AA178" s="4">
        <f t="shared" si="34"/>
        <v>8520.8229166666661</v>
      </c>
      <c r="AB178" s="4">
        <f t="shared" si="31"/>
        <v>102249.875</v>
      </c>
      <c r="AC178" s="4">
        <f t="shared" si="35"/>
        <v>289029.875</v>
      </c>
    </row>
    <row r="179" spans="1:29" x14ac:dyDescent="0.2">
      <c r="A179" s="42">
        <v>400096</v>
      </c>
      <c r="B179" s="43">
        <v>8</v>
      </c>
      <c r="C179" s="43" t="s">
        <v>284</v>
      </c>
      <c r="D179" s="43" t="s">
        <v>39</v>
      </c>
      <c r="E179" s="43" t="s">
        <v>40</v>
      </c>
      <c r="F179" s="42" t="s">
        <v>21</v>
      </c>
      <c r="G179" s="43" t="s">
        <v>21</v>
      </c>
      <c r="H179" s="42">
        <v>46</v>
      </c>
      <c r="I179" s="44">
        <v>44713</v>
      </c>
      <c r="J179" s="43" t="s">
        <v>54</v>
      </c>
      <c r="K179" s="49">
        <v>15855</v>
      </c>
      <c r="L179" s="42"/>
      <c r="M179" s="51">
        <f>VLOOKUP(A179,'[1]ناتج ملف Excel'!$A:$AV,46,0)</f>
        <v>885.5</v>
      </c>
      <c r="N179" s="51">
        <f>VLOOKUP(A179,'[1]ناتج ملف Excel'!$A:$AV,47,0)</f>
        <v>3963.75</v>
      </c>
      <c r="O179" s="42"/>
      <c r="P179" s="47">
        <v>0</v>
      </c>
      <c r="Q179" s="48"/>
      <c r="R179" s="48">
        <v>0</v>
      </c>
      <c r="S179" s="72"/>
      <c r="T179" s="47">
        <v>3080</v>
      </c>
      <c r="U179" s="48">
        <f t="shared" si="29"/>
        <v>1010.2604166666666</v>
      </c>
      <c r="V179" s="47">
        <v>700</v>
      </c>
      <c r="W179" s="42">
        <v>750</v>
      </c>
      <c r="X179" s="42">
        <f>(K179*2)/2</f>
        <v>15855</v>
      </c>
      <c r="Y179" s="46">
        <v>3171</v>
      </c>
      <c r="Z179" s="42">
        <v>0</v>
      </c>
      <c r="AA179" s="4">
        <f t="shared" si="34"/>
        <v>8939.5104166666661</v>
      </c>
      <c r="AB179" s="4">
        <f t="shared" si="31"/>
        <v>107274.125</v>
      </c>
      <c r="AC179" s="4">
        <f t="shared" si="35"/>
        <v>505194.125</v>
      </c>
    </row>
    <row r="180" spans="1:29" x14ac:dyDescent="0.2">
      <c r="A180" s="42">
        <v>400097</v>
      </c>
      <c r="B180" s="43">
        <v>6</v>
      </c>
      <c r="C180" s="43" t="s">
        <v>284</v>
      </c>
      <c r="D180" s="43" t="s">
        <v>39</v>
      </c>
      <c r="E180" s="43" t="s">
        <v>40</v>
      </c>
      <c r="F180" s="42" t="s">
        <v>21</v>
      </c>
      <c r="G180" s="43" t="s">
        <v>21</v>
      </c>
      <c r="H180" s="42">
        <v>48</v>
      </c>
      <c r="I180" s="44">
        <v>44713</v>
      </c>
      <c r="J180" s="43" t="s">
        <v>54</v>
      </c>
      <c r="K180" s="49">
        <v>12095</v>
      </c>
      <c r="L180" s="42"/>
      <c r="M180" s="51">
        <f>VLOOKUP(A180,'[1]ناتج ملف Excel'!$A:$AV,46,0)</f>
        <v>509.5</v>
      </c>
      <c r="N180" s="51">
        <f>VLOOKUP(A180,'[1]ناتج ملف Excel'!$A:$AV,47,0)</f>
        <v>3023.75</v>
      </c>
      <c r="O180" s="42"/>
      <c r="P180" s="47">
        <v>0</v>
      </c>
      <c r="Q180" s="48"/>
      <c r="R180" s="48">
        <v>0</v>
      </c>
      <c r="S180" s="72"/>
      <c r="T180" s="47">
        <v>3080</v>
      </c>
      <c r="U180" s="48">
        <f t="shared" si="29"/>
        <v>736.09375</v>
      </c>
      <c r="V180" s="47">
        <v>700</v>
      </c>
      <c r="W180" s="42">
        <v>0</v>
      </c>
      <c r="X180" s="42">
        <v>0</v>
      </c>
      <c r="Y180" s="46">
        <v>2419</v>
      </c>
      <c r="Z180" s="42">
        <v>0</v>
      </c>
      <c r="AA180" s="4">
        <f t="shared" si="34"/>
        <v>7349.34375</v>
      </c>
      <c r="AB180" s="4">
        <f t="shared" si="31"/>
        <v>88192.125</v>
      </c>
      <c r="AC180" s="4">
        <f t="shared" si="35"/>
        <v>241732.125</v>
      </c>
    </row>
    <row r="181" spans="1:29" x14ac:dyDescent="0.2">
      <c r="A181" s="42">
        <v>400099</v>
      </c>
      <c r="B181" s="43">
        <v>7</v>
      </c>
      <c r="C181" s="43" t="s">
        <v>53</v>
      </c>
      <c r="D181" s="43" t="s">
        <v>53</v>
      </c>
      <c r="E181" s="43" t="s">
        <v>40</v>
      </c>
      <c r="F181" s="42" t="s">
        <v>21</v>
      </c>
      <c r="G181" s="43" t="s">
        <v>21</v>
      </c>
      <c r="H181" s="42">
        <v>43</v>
      </c>
      <c r="I181" s="44">
        <v>44691</v>
      </c>
      <c r="J181" s="43" t="s">
        <v>54</v>
      </c>
      <c r="K181" s="49">
        <v>14445</v>
      </c>
      <c r="L181" s="42"/>
      <c r="M181" s="51">
        <f>VLOOKUP(A181,'[1]ناتج ملف Excel'!$A:$AV,46,0)</f>
        <v>744.5</v>
      </c>
      <c r="N181" s="51">
        <f>VLOOKUP(A181,'[1]ناتج ملف Excel'!$A:$AV,47,0)</f>
        <v>3611.25</v>
      </c>
      <c r="O181" s="42"/>
      <c r="P181" s="47">
        <v>0</v>
      </c>
      <c r="Q181" s="48"/>
      <c r="R181" s="48">
        <v>0</v>
      </c>
      <c r="S181" s="72"/>
      <c r="T181" s="47">
        <v>3080</v>
      </c>
      <c r="U181" s="48">
        <f t="shared" si="29"/>
        <v>907.44791666666663</v>
      </c>
      <c r="V181" s="47">
        <v>700</v>
      </c>
      <c r="W181" s="42">
        <v>750</v>
      </c>
      <c r="X181" s="42">
        <v>2445.625</v>
      </c>
      <c r="Y181" s="42">
        <v>0</v>
      </c>
      <c r="Z181" s="42">
        <v>0</v>
      </c>
      <c r="AA181" s="4">
        <f t="shared" si="34"/>
        <v>8343.1979166666661</v>
      </c>
      <c r="AB181" s="4">
        <f t="shared" si="31"/>
        <v>100118.375</v>
      </c>
      <c r="AC181" s="4">
        <f t="shared" si="35"/>
        <v>320205.875</v>
      </c>
    </row>
    <row r="182" spans="1:29" x14ac:dyDescent="0.2">
      <c r="A182" s="42">
        <v>400100</v>
      </c>
      <c r="B182" s="43">
        <v>3</v>
      </c>
      <c r="C182" s="42" t="s">
        <v>277</v>
      </c>
      <c r="D182" s="43" t="s">
        <v>39</v>
      </c>
      <c r="E182" s="43" t="s">
        <v>40</v>
      </c>
      <c r="F182" s="42" t="s">
        <v>238</v>
      </c>
      <c r="G182" s="43" t="s">
        <v>41</v>
      </c>
      <c r="H182" s="42">
        <v>36</v>
      </c>
      <c r="I182" s="44">
        <v>44691</v>
      </c>
      <c r="J182" s="43" t="s">
        <v>54</v>
      </c>
      <c r="K182" s="49">
        <v>12500</v>
      </c>
      <c r="L182" s="42"/>
      <c r="M182" s="51">
        <f>VLOOKUP(A182,'[1]ناتج ملف Excel'!$A:$AV,46,0)</f>
        <v>550</v>
      </c>
      <c r="N182" s="51">
        <f>VLOOKUP(A182,'[1]ناتج ملف Excel'!$A:$AV,47,0)</f>
        <v>3125</v>
      </c>
      <c r="O182" s="42"/>
      <c r="P182" s="47">
        <v>0</v>
      </c>
      <c r="Q182" s="48"/>
      <c r="R182" s="48">
        <v>0</v>
      </c>
      <c r="S182" s="72"/>
      <c r="T182" s="47">
        <v>3080</v>
      </c>
      <c r="U182" s="48">
        <f t="shared" si="29"/>
        <v>765.625</v>
      </c>
      <c r="V182" s="47">
        <v>700</v>
      </c>
      <c r="W182" s="42">
        <v>0</v>
      </c>
      <c r="X182" s="42">
        <v>0</v>
      </c>
      <c r="Y182" s="46">
        <v>2500</v>
      </c>
      <c r="Z182" s="42">
        <v>0</v>
      </c>
      <c r="AA182" s="4">
        <f t="shared" si="34"/>
        <v>7520.625</v>
      </c>
      <c r="AB182" s="4">
        <f t="shared" si="31"/>
        <v>90247.5</v>
      </c>
      <c r="AC182" s="4">
        <f t="shared" si="35"/>
        <v>248647.5</v>
      </c>
    </row>
    <row r="183" spans="1:29" x14ac:dyDescent="0.2">
      <c r="A183" s="42">
        <v>400101</v>
      </c>
      <c r="B183" s="43">
        <v>5</v>
      </c>
      <c r="C183" s="42" t="s">
        <v>300</v>
      </c>
      <c r="D183" s="43" t="s">
        <v>33</v>
      </c>
      <c r="E183" s="43"/>
      <c r="F183" s="42" t="s">
        <v>79</v>
      </c>
      <c r="G183" s="43" t="s">
        <v>41</v>
      </c>
      <c r="H183" s="42">
        <v>33</v>
      </c>
      <c r="I183" s="44">
        <v>44691</v>
      </c>
      <c r="J183" s="43" t="s">
        <v>54</v>
      </c>
      <c r="K183" s="49">
        <v>10125</v>
      </c>
      <c r="L183" s="42"/>
      <c r="M183" s="51">
        <f>VLOOKUP(A183,'[1]ناتج ملف Excel'!$A:$AV,46,0)</f>
        <v>512.5</v>
      </c>
      <c r="N183" s="51">
        <f>VLOOKUP(A183,'[1]ناتج ملف Excel'!$A:$AV,47,0)</f>
        <v>2531.25</v>
      </c>
      <c r="O183" s="42"/>
      <c r="P183" s="47">
        <v>0</v>
      </c>
      <c r="Q183" s="48"/>
      <c r="R183" s="48">
        <v>0</v>
      </c>
      <c r="S183" s="72"/>
      <c r="T183" s="47">
        <v>3080</v>
      </c>
      <c r="U183" s="48">
        <f t="shared" si="29"/>
        <v>634.11458333333337</v>
      </c>
      <c r="V183" s="47">
        <v>500</v>
      </c>
      <c r="W183" s="42">
        <v>0</v>
      </c>
      <c r="X183" s="42">
        <v>0</v>
      </c>
      <c r="Y183" s="42">
        <v>0</v>
      </c>
      <c r="Z183" s="42">
        <v>0</v>
      </c>
      <c r="AA183" s="4">
        <f t="shared" si="34"/>
        <v>6757.8645833333339</v>
      </c>
      <c r="AB183" s="4">
        <f t="shared" si="31"/>
        <v>81094.375</v>
      </c>
      <c r="AC183" s="4">
        <f t="shared" si="35"/>
        <v>208594.375</v>
      </c>
    </row>
    <row r="184" spans="1:29" x14ac:dyDescent="0.2">
      <c r="A184" s="42">
        <v>400103</v>
      </c>
      <c r="B184" s="43">
        <v>4</v>
      </c>
      <c r="C184" s="42" t="s">
        <v>300</v>
      </c>
      <c r="D184" s="43" t="s">
        <v>33</v>
      </c>
      <c r="E184" s="43"/>
      <c r="F184" s="42" t="s">
        <v>79</v>
      </c>
      <c r="G184" s="43" t="s">
        <v>41</v>
      </c>
      <c r="H184" s="42">
        <v>56</v>
      </c>
      <c r="I184" s="44">
        <v>44777</v>
      </c>
      <c r="J184" s="43" t="s">
        <v>54</v>
      </c>
      <c r="K184" s="49">
        <v>14915</v>
      </c>
      <c r="L184" s="42"/>
      <c r="M184" s="51">
        <f>VLOOKUP(A184,'[1]ناتج ملف Excel'!$A:$AV,46,0)</f>
        <v>791.5</v>
      </c>
      <c r="N184" s="51">
        <f>VLOOKUP(A184,'[1]ناتج ملف Excel'!$A:$AV,47,0)</f>
        <v>3728.75</v>
      </c>
      <c r="O184" s="42"/>
      <c r="P184" s="47">
        <v>0</v>
      </c>
      <c r="Q184" s="48"/>
      <c r="R184" s="48">
        <v>0</v>
      </c>
      <c r="S184" s="72"/>
      <c r="T184" s="47">
        <v>3080</v>
      </c>
      <c r="U184" s="48">
        <f t="shared" si="29"/>
        <v>941.71875</v>
      </c>
      <c r="V184" s="47">
        <v>700</v>
      </c>
      <c r="W184" s="42">
        <v>0</v>
      </c>
      <c r="X184" s="42">
        <v>0</v>
      </c>
      <c r="Y184" s="42">
        <v>0</v>
      </c>
      <c r="Z184" s="42">
        <v>0</v>
      </c>
      <c r="AA184" s="4">
        <f t="shared" si="34"/>
        <v>8541.96875</v>
      </c>
      <c r="AB184" s="4">
        <f t="shared" si="31"/>
        <v>102503.625</v>
      </c>
      <c r="AC184" s="4">
        <f t="shared" si="35"/>
        <v>289883.625</v>
      </c>
    </row>
    <row r="185" spans="1:29" x14ac:dyDescent="0.2">
      <c r="A185" s="42">
        <v>400105</v>
      </c>
      <c r="B185" s="43">
        <v>3</v>
      </c>
      <c r="C185" s="43" t="s">
        <v>49</v>
      </c>
      <c r="D185" s="38"/>
      <c r="E185" s="43" t="s">
        <v>40</v>
      </c>
      <c r="F185" s="42" t="s">
        <v>21</v>
      </c>
      <c r="G185" s="43" t="s">
        <v>21</v>
      </c>
      <c r="H185" s="42">
        <v>43</v>
      </c>
      <c r="I185" s="44">
        <v>44777</v>
      </c>
      <c r="J185" s="43" t="s">
        <v>54</v>
      </c>
      <c r="K185" s="49">
        <v>10500</v>
      </c>
      <c r="L185" s="42"/>
      <c r="M185" s="51">
        <f>VLOOKUP(A185,'[1]ناتج ملف Excel'!$A:$AV,46,0)</f>
        <v>350</v>
      </c>
      <c r="N185" s="51">
        <f>VLOOKUP(A185,'[1]ناتج ملف Excel'!$A:$AV,47,0)</f>
        <v>2625</v>
      </c>
      <c r="O185" s="42"/>
      <c r="P185" s="47">
        <v>0</v>
      </c>
      <c r="Q185" s="48"/>
      <c r="R185" s="48">
        <v>0</v>
      </c>
      <c r="S185" s="72"/>
      <c r="T185" s="47">
        <v>3080</v>
      </c>
      <c r="U185" s="48">
        <f t="shared" si="29"/>
        <v>619.79166666666663</v>
      </c>
      <c r="V185" s="47">
        <v>700</v>
      </c>
      <c r="W185" s="42">
        <v>0</v>
      </c>
      <c r="X185" s="42">
        <v>0</v>
      </c>
      <c r="Y185" s="42">
        <v>0</v>
      </c>
      <c r="Z185" s="42">
        <v>0</v>
      </c>
      <c r="AA185" s="4">
        <f t="shared" si="34"/>
        <v>6674.7916666666661</v>
      </c>
      <c r="AB185" s="4">
        <f t="shared" si="31"/>
        <v>80097.5</v>
      </c>
      <c r="AC185" s="4">
        <f t="shared" si="35"/>
        <v>214497.5</v>
      </c>
    </row>
    <row r="186" spans="1:29" x14ac:dyDescent="0.2">
      <c r="A186" s="42">
        <v>400106</v>
      </c>
      <c r="B186" s="43">
        <v>3</v>
      </c>
      <c r="C186" s="42" t="s">
        <v>300</v>
      </c>
      <c r="D186" s="43" t="s">
        <v>33</v>
      </c>
      <c r="E186" s="43"/>
      <c r="F186" s="42" t="s">
        <v>80</v>
      </c>
      <c r="G186" s="43" t="s">
        <v>41</v>
      </c>
      <c r="H186" s="42">
        <v>47</v>
      </c>
      <c r="I186" s="44">
        <v>44777</v>
      </c>
      <c r="J186" s="43" t="s">
        <v>54</v>
      </c>
      <c r="K186" s="49">
        <v>16395</v>
      </c>
      <c r="L186" s="42"/>
      <c r="M186" s="51">
        <f>VLOOKUP(A186,'[1]ناتج ملف Excel'!$A:$AV,46,0)</f>
        <v>939.5</v>
      </c>
      <c r="N186" s="51">
        <f>VLOOKUP(A186,'[1]ناتج ملف Excel'!$A:$AV,47,0)</f>
        <v>4098.75</v>
      </c>
      <c r="O186" s="42"/>
      <c r="P186" s="47">
        <v>0</v>
      </c>
      <c r="Q186" s="48"/>
      <c r="R186" s="48">
        <v>0</v>
      </c>
      <c r="S186" s="72"/>
      <c r="T186" s="47">
        <v>3080</v>
      </c>
      <c r="U186" s="48">
        <f t="shared" si="29"/>
        <v>1049.6354166666667</v>
      </c>
      <c r="V186" s="47">
        <v>700</v>
      </c>
      <c r="W186" s="42">
        <v>750</v>
      </c>
      <c r="X186" s="42">
        <v>0</v>
      </c>
      <c r="Y186" s="42">
        <v>0</v>
      </c>
      <c r="Z186" s="42">
        <v>0</v>
      </c>
      <c r="AA186" s="4">
        <f t="shared" si="34"/>
        <v>9167.8854166666679</v>
      </c>
      <c r="AB186" s="4">
        <f t="shared" si="31"/>
        <v>110014.62500000001</v>
      </c>
      <c r="AC186" s="4">
        <f t="shared" si="35"/>
        <v>324154.625</v>
      </c>
    </row>
    <row r="187" spans="1:29" x14ac:dyDescent="0.2">
      <c r="A187" s="42">
        <v>400107</v>
      </c>
      <c r="B187" s="43">
        <v>3</v>
      </c>
      <c r="C187" s="42" t="s">
        <v>300</v>
      </c>
      <c r="D187" s="43" t="s">
        <v>33</v>
      </c>
      <c r="E187" s="43"/>
      <c r="F187" s="42" t="s">
        <v>81</v>
      </c>
      <c r="G187" s="43" t="s">
        <v>41</v>
      </c>
      <c r="H187" s="42">
        <v>36</v>
      </c>
      <c r="I187" s="44">
        <v>44777</v>
      </c>
      <c r="J187" s="43" t="s">
        <v>54</v>
      </c>
      <c r="K187" s="49">
        <v>12565</v>
      </c>
      <c r="L187" s="42"/>
      <c r="M187" s="51">
        <f>VLOOKUP(A187,'[1]ناتج ملف Excel'!$A:$AV,46,0)</f>
        <v>556.5</v>
      </c>
      <c r="N187" s="51">
        <f>VLOOKUP(A187,'[1]ناتج ملف Excel'!$A:$AV,47,0)</f>
        <v>3141.25</v>
      </c>
      <c r="O187" s="42"/>
      <c r="P187" s="47">
        <v>0</v>
      </c>
      <c r="Q187" s="48"/>
      <c r="R187" s="48">
        <v>0</v>
      </c>
      <c r="S187" s="72"/>
      <c r="T187" s="47">
        <v>3080</v>
      </c>
      <c r="U187" s="48">
        <f t="shared" si="29"/>
        <v>770.36458333333337</v>
      </c>
      <c r="V187" s="47">
        <v>700</v>
      </c>
      <c r="W187" s="42">
        <v>750</v>
      </c>
      <c r="X187" s="42">
        <v>2116.625</v>
      </c>
      <c r="Y187" s="42">
        <v>0</v>
      </c>
      <c r="Z187" s="42">
        <v>0</v>
      </c>
      <c r="AA187" s="4">
        <f t="shared" si="34"/>
        <v>7548.1145833333339</v>
      </c>
      <c r="AB187" s="4">
        <f t="shared" si="31"/>
        <v>90577.375</v>
      </c>
      <c r="AC187" s="4">
        <f t="shared" si="35"/>
        <v>284156.875</v>
      </c>
    </row>
    <row r="188" spans="1:29" x14ac:dyDescent="0.2">
      <c r="A188" s="42">
        <v>400112</v>
      </c>
      <c r="B188" s="43">
        <v>5</v>
      </c>
      <c r="C188" s="42" t="s">
        <v>32</v>
      </c>
      <c r="D188" s="43" t="s">
        <v>33</v>
      </c>
      <c r="E188" s="43"/>
      <c r="F188" s="42" t="s">
        <v>21</v>
      </c>
      <c r="G188" s="43" t="s">
        <v>21</v>
      </c>
      <c r="H188" s="42">
        <v>54</v>
      </c>
      <c r="I188" s="44">
        <v>44777</v>
      </c>
      <c r="J188" s="43" t="s">
        <v>54</v>
      </c>
      <c r="K188" s="49">
        <v>16350</v>
      </c>
      <c r="L188" s="42"/>
      <c r="M188" s="51">
        <f>VLOOKUP(A188,'[1]ناتج ملف Excel'!$A:$AV,46,0)</f>
        <v>735</v>
      </c>
      <c r="N188" s="51">
        <f>VLOOKUP(A188,'[1]ناتج ملف Excel'!$A:$AV,47,0)</f>
        <v>4087.5</v>
      </c>
      <c r="O188" s="42"/>
      <c r="P188" s="47">
        <v>0</v>
      </c>
      <c r="Q188" s="48"/>
      <c r="R188" s="48">
        <v>0</v>
      </c>
      <c r="S188" s="72"/>
      <c r="T188" s="47">
        <v>3080</v>
      </c>
      <c r="U188" s="48">
        <f t="shared" si="29"/>
        <v>1004.6875</v>
      </c>
      <c r="V188" s="47">
        <v>900</v>
      </c>
      <c r="W188" s="42">
        <v>0</v>
      </c>
      <c r="X188" s="42">
        <v>0</v>
      </c>
      <c r="Y188" s="42">
        <v>0</v>
      </c>
      <c r="Z188" s="42">
        <v>0</v>
      </c>
      <c r="AA188" s="4">
        <f t="shared" si="34"/>
        <v>8907.1875</v>
      </c>
      <c r="AB188" s="4">
        <f t="shared" si="31"/>
        <v>106886.25</v>
      </c>
      <c r="AC188" s="4">
        <f t="shared" si="35"/>
        <v>313886.25</v>
      </c>
    </row>
    <row r="189" spans="1:29" x14ac:dyDescent="0.2">
      <c r="A189" s="42">
        <v>400114</v>
      </c>
      <c r="B189" s="43">
        <v>5</v>
      </c>
      <c r="C189" s="42" t="s">
        <v>43</v>
      </c>
      <c r="D189" s="38"/>
      <c r="E189" s="43" t="s">
        <v>42</v>
      </c>
      <c r="F189" s="42" t="s">
        <v>21</v>
      </c>
      <c r="G189" s="43" t="s">
        <v>21</v>
      </c>
      <c r="H189" s="42">
        <v>45</v>
      </c>
      <c r="I189" s="44">
        <v>44777</v>
      </c>
      <c r="J189" s="43" t="s">
        <v>54</v>
      </c>
      <c r="K189" s="49">
        <v>15855</v>
      </c>
      <c r="L189" s="42"/>
      <c r="M189" s="51">
        <f>VLOOKUP(A189,'[1]ناتج ملف Excel'!$A:$AV,46,0)</f>
        <v>885.5</v>
      </c>
      <c r="N189" s="51">
        <f>VLOOKUP(A189,'[1]ناتج ملف Excel'!$A:$AV,47,0)</f>
        <v>3963.75</v>
      </c>
      <c r="O189" s="42"/>
      <c r="P189" s="47">
        <v>0</v>
      </c>
      <c r="Q189" s="48"/>
      <c r="R189" s="48">
        <v>0</v>
      </c>
      <c r="S189" s="72"/>
      <c r="T189" s="47">
        <v>3080</v>
      </c>
      <c r="U189" s="48">
        <f t="shared" si="29"/>
        <v>1010.2604166666666</v>
      </c>
      <c r="V189" s="47">
        <v>700</v>
      </c>
      <c r="W189" s="42">
        <v>750</v>
      </c>
      <c r="X189" s="42">
        <v>0</v>
      </c>
      <c r="Y189" s="42">
        <v>0</v>
      </c>
      <c r="Z189" s="42">
        <v>0</v>
      </c>
      <c r="AA189" s="4">
        <f t="shared" si="34"/>
        <v>8939.5104166666661</v>
      </c>
      <c r="AB189" s="4">
        <f t="shared" si="31"/>
        <v>107274.125</v>
      </c>
      <c r="AC189" s="4">
        <f t="shared" si="35"/>
        <v>314934.125</v>
      </c>
    </row>
    <row r="190" spans="1:29" x14ac:dyDescent="0.2">
      <c r="A190" s="42">
        <v>400115</v>
      </c>
      <c r="B190" s="43">
        <v>5</v>
      </c>
      <c r="C190" s="42" t="s">
        <v>300</v>
      </c>
      <c r="D190" s="43" t="s">
        <v>33</v>
      </c>
      <c r="E190" s="43"/>
      <c r="F190" s="42" t="s">
        <v>79</v>
      </c>
      <c r="G190" s="43" t="s">
        <v>41</v>
      </c>
      <c r="H190" s="42">
        <v>53</v>
      </c>
      <c r="I190" s="44">
        <v>44777</v>
      </c>
      <c r="J190" s="43" t="s">
        <v>54</v>
      </c>
      <c r="K190" s="49">
        <v>16905</v>
      </c>
      <c r="L190" s="42"/>
      <c r="M190" s="51">
        <f>VLOOKUP(A190,'[1]ناتج ملف Excel'!$A:$AV,46,0)</f>
        <v>990.5</v>
      </c>
      <c r="N190" s="51">
        <f>VLOOKUP(A190,'[1]ناتج ملف Excel'!$A:$AV,47,0)</f>
        <v>4226.25</v>
      </c>
      <c r="O190" s="42"/>
      <c r="P190" s="47">
        <v>0</v>
      </c>
      <c r="Q190" s="48"/>
      <c r="R190" s="48">
        <v>0</v>
      </c>
      <c r="S190" s="72"/>
      <c r="T190" s="47">
        <v>3080</v>
      </c>
      <c r="U190" s="48">
        <f t="shared" si="29"/>
        <v>1086.8229166666667</v>
      </c>
      <c r="V190" s="47">
        <v>700</v>
      </c>
      <c r="W190" s="42">
        <v>0</v>
      </c>
      <c r="X190" s="42">
        <v>0</v>
      </c>
      <c r="Y190" s="42">
        <v>0</v>
      </c>
      <c r="Z190" s="42">
        <v>0</v>
      </c>
      <c r="AA190" s="4">
        <f t="shared" si="34"/>
        <v>9383.5729166666679</v>
      </c>
      <c r="AB190" s="4">
        <f t="shared" si="31"/>
        <v>112602.87500000001</v>
      </c>
      <c r="AC190" s="4">
        <f t="shared" si="35"/>
        <v>323862.875</v>
      </c>
    </row>
    <row r="191" spans="1:29" x14ac:dyDescent="0.2">
      <c r="A191" s="42">
        <v>400117</v>
      </c>
      <c r="B191" s="43">
        <v>3</v>
      </c>
      <c r="C191" s="43" t="s">
        <v>49</v>
      </c>
      <c r="D191" s="38"/>
      <c r="E191" s="43" t="s">
        <v>40</v>
      </c>
      <c r="F191" s="42" t="s">
        <v>21</v>
      </c>
      <c r="G191" s="43" t="s">
        <v>21</v>
      </c>
      <c r="H191" s="42">
        <v>32</v>
      </c>
      <c r="I191" s="44">
        <v>44777</v>
      </c>
      <c r="J191" s="43" t="s">
        <v>54</v>
      </c>
      <c r="K191" s="49">
        <v>10750</v>
      </c>
      <c r="L191" s="42"/>
      <c r="M191" s="51">
        <f>VLOOKUP(A191,'[1]ناتج ملف Excel'!$A:$AV,46,0)</f>
        <v>375</v>
      </c>
      <c r="N191" s="51">
        <f>VLOOKUP(A191,'[1]ناتج ملف Excel'!$A:$AV,47,0)</f>
        <v>2687.5</v>
      </c>
      <c r="O191" s="42"/>
      <c r="P191" s="47">
        <v>0</v>
      </c>
      <c r="Q191" s="48"/>
      <c r="R191" s="48">
        <v>0</v>
      </c>
      <c r="S191" s="72"/>
      <c r="T191" s="47">
        <v>3080</v>
      </c>
      <c r="U191" s="48">
        <f t="shared" si="29"/>
        <v>638.02083333333337</v>
      </c>
      <c r="V191" s="47">
        <v>700</v>
      </c>
      <c r="W191" s="42">
        <v>0</v>
      </c>
      <c r="X191" s="42">
        <v>0</v>
      </c>
      <c r="Y191" s="42">
        <v>0</v>
      </c>
      <c r="Z191" s="42">
        <v>0</v>
      </c>
      <c r="AA191" s="4">
        <f t="shared" si="34"/>
        <v>6780.5208333333339</v>
      </c>
      <c r="AB191" s="4">
        <f t="shared" si="31"/>
        <v>81366.25</v>
      </c>
      <c r="AC191" s="4">
        <f t="shared" si="35"/>
        <v>218766.25</v>
      </c>
    </row>
    <row r="192" spans="1:29" x14ac:dyDescent="0.2">
      <c r="A192" s="42">
        <v>400118</v>
      </c>
      <c r="B192" s="43">
        <v>7</v>
      </c>
      <c r="C192" s="42" t="s">
        <v>43</v>
      </c>
      <c r="D192" s="38"/>
      <c r="E192" s="43" t="s">
        <v>42</v>
      </c>
      <c r="F192" s="42" t="s">
        <v>21</v>
      </c>
      <c r="G192" s="43" t="s">
        <v>21</v>
      </c>
      <c r="H192" s="42">
        <v>39</v>
      </c>
      <c r="I192" s="44">
        <v>44777</v>
      </c>
      <c r="J192" s="43" t="s">
        <v>54</v>
      </c>
      <c r="K192" s="49">
        <v>12575</v>
      </c>
      <c r="L192" s="42"/>
      <c r="M192" s="51">
        <f>VLOOKUP(A192,'[1]ناتج ملف Excel'!$A:$AV,46,0)</f>
        <v>557.5</v>
      </c>
      <c r="N192" s="51">
        <f>VLOOKUP(A192,'[1]ناتج ملف Excel'!$A:$AV,47,0)</f>
        <v>3143.75</v>
      </c>
      <c r="O192" s="42"/>
      <c r="P192" s="47">
        <v>0</v>
      </c>
      <c r="Q192" s="48"/>
      <c r="R192" s="48">
        <v>0</v>
      </c>
      <c r="S192" s="72"/>
      <c r="T192" s="47">
        <v>3080</v>
      </c>
      <c r="U192" s="48">
        <f t="shared" si="29"/>
        <v>771.09375</v>
      </c>
      <c r="V192" s="47">
        <v>700</v>
      </c>
      <c r="W192" s="42">
        <v>750</v>
      </c>
      <c r="X192" s="42">
        <v>0</v>
      </c>
      <c r="Y192" s="42">
        <v>0</v>
      </c>
      <c r="Z192" s="42">
        <v>0</v>
      </c>
      <c r="AA192" s="4">
        <f t="shared" si="34"/>
        <v>7552.34375</v>
      </c>
      <c r="AB192" s="4">
        <f t="shared" si="31"/>
        <v>90628.125</v>
      </c>
      <c r="AC192" s="4">
        <f t="shared" si="35"/>
        <v>258928.125</v>
      </c>
    </row>
    <row r="193" spans="1:29" x14ac:dyDescent="0.2">
      <c r="A193" s="42">
        <v>400120</v>
      </c>
      <c r="B193" s="43">
        <v>7</v>
      </c>
      <c r="C193" s="42" t="s">
        <v>43</v>
      </c>
      <c r="D193" s="38"/>
      <c r="E193" s="43" t="s">
        <v>42</v>
      </c>
      <c r="F193" s="42" t="s">
        <v>21</v>
      </c>
      <c r="G193" s="43" t="s">
        <v>21</v>
      </c>
      <c r="H193" s="42">
        <v>55</v>
      </c>
      <c r="I193" s="44">
        <v>44777</v>
      </c>
      <c r="J193" s="43" t="s">
        <v>54</v>
      </c>
      <c r="K193" s="49">
        <v>13505</v>
      </c>
      <c r="L193" s="42"/>
      <c r="M193" s="51">
        <f>VLOOKUP(A193,'[1]ناتج ملف Excel'!$A:$AV,46,0)</f>
        <v>650.5</v>
      </c>
      <c r="N193" s="51">
        <f>VLOOKUP(A193,'[1]ناتج ملف Excel'!$A:$AV,47,0)</f>
        <v>3376.25</v>
      </c>
      <c r="O193" s="42"/>
      <c r="P193" s="47">
        <v>0</v>
      </c>
      <c r="Q193" s="48"/>
      <c r="R193" s="48">
        <v>0</v>
      </c>
      <c r="S193" s="72"/>
      <c r="T193" s="47">
        <v>3080</v>
      </c>
      <c r="U193" s="48">
        <f t="shared" si="29"/>
        <v>838.90625</v>
      </c>
      <c r="V193" s="47">
        <v>700</v>
      </c>
      <c r="W193" s="42">
        <v>0</v>
      </c>
      <c r="X193" s="42">
        <v>0</v>
      </c>
      <c r="Y193" s="42">
        <v>0</v>
      </c>
      <c r="Z193" s="42">
        <v>0</v>
      </c>
      <c r="AA193" s="4">
        <f t="shared" si="34"/>
        <v>7945.65625</v>
      </c>
      <c r="AB193" s="4">
        <f t="shared" si="31"/>
        <v>95347.875</v>
      </c>
      <c r="AC193" s="4">
        <f t="shared" si="35"/>
        <v>265807.875</v>
      </c>
    </row>
    <row r="194" spans="1:29" x14ac:dyDescent="0.2">
      <c r="A194" s="42">
        <v>400123</v>
      </c>
      <c r="B194" s="43" t="s">
        <v>267</v>
      </c>
      <c r="C194" s="42" t="s">
        <v>300</v>
      </c>
      <c r="D194" s="43" t="s">
        <v>33</v>
      </c>
      <c r="E194" s="43"/>
      <c r="F194" s="42" t="s">
        <v>77</v>
      </c>
      <c r="G194" s="43" t="s">
        <v>41</v>
      </c>
      <c r="H194" s="42">
        <v>36</v>
      </c>
      <c r="I194" s="44">
        <v>44777</v>
      </c>
      <c r="J194" s="43" t="s">
        <v>54</v>
      </c>
      <c r="K194" s="46">
        <v>9565</v>
      </c>
      <c r="L194" s="42"/>
      <c r="M194" s="51">
        <f>VLOOKUP(A194,'[1]ناتج ملف Excel'!$A:$AV,46,0)</f>
        <v>100</v>
      </c>
      <c r="N194" s="51">
        <f>VLOOKUP(A194,'[1]ناتج ملف Excel'!$A:$AV,47,0)</f>
        <v>2391.25</v>
      </c>
      <c r="O194" s="42"/>
      <c r="P194" s="47">
        <v>0</v>
      </c>
      <c r="Q194" s="48"/>
      <c r="R194" s="48">
        <v>0</v>
      </c>
      <c r="S194" s="72"/>
      <c r="T194" s="47">
        <v>3080</v>
      </c>
      <c r="U194" s="48">
        <f t="shared" si="29"/>
        <v>519.01041666666663</v>
      </c>
      <c r="V194" s="47">
        <v>700</v>
      </c>
      <c r="W194" s="42">
        <v>750</v>
      </c>
      <c r="X194" s="42">
        <v>0</v>
      </c>
      <c r="Y194" s="42">
        <v>0</v>
      </c>
      <c r="Z194" s="42">
        <v>0</v>
      </c>
      <c r="AA194" s="4">
        <f t="shared" si="34"/>
        <v>6090.2604166666661</v>
      </c>
      <c r="AB194" s="4">
        <f t="shared" si="31"/>
        <v>73083.125</v>
      </c>
      <c r="AC194" s="4">
        <f t="shared" si="35"/>
        <v>205263.125</v>
      </c>
    </row>
    <row r="195" spans="1:29" x14ac:dyDescent="0.2">
      <c r="A195" s="42">
        <v>400127</v>
      </c>
      <c r="B195" s="43">
        <v>3</v>
      </c>
      <c r="C195" s="42" t="s">
        <v>300</v>
      </c>
      <c r="D195" s="43" t="s">
        <v>33</v>
      </c>
      <c r="E195" s="43"/>
      <c r="F195" s="42" t="s">
        <v>78</v>
      </c>
      <c r="G195" s="43" t="s">
        <v>41</v>
      </c>
      <c r="H195" s="42">
        <v>48</v>
      </c>
      <c r="I195" s="44">
        <v>44777</v>
      </c>
      <c r="J195" s="43" t="s">
        <v>54</v>
      </c>
      <c r="K195" s="49">
        <v>17425</v>
      </c>
      <c r="L195" s="42"/>
      <c r="M195" s="51">
        <f>VLOOKUP(A195,'[1]ناتج ملف Excel'!$A:$AV,46,0)</f>
        <v>842.5</v>
      </c>
      <c r="N195" s="51">
        <f>VLOOKUP(A195,'[1]ناتج ملف Excel'!$A:$AV,47,0)</f>
        <v>4356.25</v>
      </c>
      <c r="O195" s="42"/>
      <c r="P195" s="47">
        <v>0</v>
      </c>
      <c r="Q195" s="48"/>
      <c r="R195" s="48">
        <v>0</v>
      </c>
      <c r="S195" s="72"/>
      <c r="T195" s="47">
        <v>3080</v>
      </c>
      <c r="U195" s="48">
        <f t="shared" si="29"/>
        <v>1083.0729166666667</v>
      </c>
      <c r="V195" s="47">
        <v>900</v>
      </c>
      <c r="W195" s="42">
        <v>0</v>
      </c>
      <c r="X195" s="42">
        <v>0</v>
      </c>
      <c r="Y195" s="42">
        <v>0</v>
      </c>
      <c r="Z195" s="42">
        <v>0</v>
      </c>
      <c r="AA195" s="4">
        <f t="shared" si="34"/>
        <v>9361.8229166666679</v>
      </c>
      <c r="AB195" s="4">
        <f t="shared" si="31"/>
        <v>112341.87500000001</v>
      </c>
      <c r="AC195" s="4">
        <f t="shared" si="35"/>
        <v>332241.875</v>
      </c>
    </row>
    <row r="196" spans="1:29" x14ac:dyDescent="0.2">
      <c r="A196" s="42">
        <v>400130</v>
      </c>
      <c r="B196" s="43" t="s">
        <v>267</v>
      </c>
      <c r="C196" s="42" t="s">
        <v>300</v>
      </c>
      <c r="D196" s="43" t="s">
        <v>33</v>
      </c>
      <c r="E196" s="43"/>
      <c r="F196" s="42" t="s">
        <v>83</v>
      </c>
      <c r="G196" s="43" t="s">
        <v>41</v>
      </c>
      <c r="H196" s="42">
        <v>39</v>
      </c>
      <c r="I196" s="44">
        <v>44777</v>
      </c>
      <c r="J196" s="43" t="s">
        <v>54</v>
      </c>
      <c r="K196" s="46">
        <v>9565</v>
      </c>
      <c r="L196" s="42"/>
      <c r="M196" s="51">
        <f>VLOOKUP(A196,'[1]ناتج ملف Excel'!$A:$AV,46,0)</f>
        <v>100</v>
      </c>
      <c r="N196" s="51">
        <f>VLOOKUP(A196,'[1]ناتج ملف Excel'!$A:$AV,47,0)</f>
        <v>2391.25</v>
      </c>
      <c r="O196" s="42"/>
      <c r="P196" s="47">
        <v>0</v>
      </c>
      <c r="Q196" s="48"/>
      <c r="R196" s="48">
        <v>0</v>
      </c>
      <c r="S196" s="72"/>
      <c r="T196" s="47">
        <v>3080</v>
      </c>
      <c r="U196" s="48">
        <f t="shared" ref="U196:U255" si="36">(L196+M196+N196+O196)*2.5/12</f>
        <v>519.01041666666663</v>
      </c>
      <c r="V196" s="47">
        <v>700</v>
      </c>
      <c r="W196" s="42">
        <v>750</v>
      </c>
      <c r="X196" s="42">
        <v>0</v>
      </c>
      <c r="Y196" s="42">
        <v>0</v>
      </c>
      <c r="Z196" s="42">
        <v>0</v>
      </c>
      <c r="AA196" s="4">
        <f t="shared" si="34"/>
        <v>6090.2604166666661</v>
      </c>
      <c r="AB196" s="4">
        <f t="shared" ref="AB196:AB255" si="37">AA196*12</f>
        <v>73083.125</v>
      </c>
      <c r="AC196" s="4">
        <f t="shared" si="35"/>
        <v>205263.125</v>
      </c>
    </row>
    <row r="197" spans="1:29" x14ac:dyDescent="0.2">
      <c r="A197" s="42">
        <v>400133</v>
      </c>
      <c r="B197" s="43" t="s">
        <v>266</v>
      </c>
      <c r="C197" s="43" t="s">
        <v>277</v>
      </c>
      <c r="D197" s="43" t="s">
        <v>39</v>
      </c>
      <c r="E197" s="43" t="s">
        <v>40</v>
      </c>
      <c r="F197" s="42" t="s">
        <v>236</v>
      </c>
      <c r="G197" s="43" t="s">
        <v>41</v>
      </c>
      <c r="H197" s="42">
        <v>42</v>
      </c>
      <c r="I197" s="44">
        <v>44777</v>
      </c>
      <c r="J197" s="43" t="s">
        <v>54</v>
      </c>
      <c r="K197" s="49">
        <v>14915</v>
      </c>
      <c r="L197" s="42"/>
      <c r="M197" s="51">
        <f>VLOOKUP(A197,'[1]ناتج ملف Excel'!$A:$AV,46,0)</f>
        <v>100</v>
      </c>
      <c r="N197" s="51">
        <f>VLOOKUP(A197,'[1]ناتج ملف Excel'!$A:$AV,47,0)</f>
        <v>3728.75</v>
      </c>
      <c r="O197" s="42"/>
      <c r="P197" s="47">
        <v>0</v>
      </c>
      <c r="Q197" s="48"/>
      <c r="R197" s="48">
        <v>0</v>
      </c>
      <c r="S197" s="72"/>
      <c r="T197" s="47">
        <v>3080</v>
      </c>
      <c r="U197" s="48">
        <f t="shared" si="36"/>
        <v>797.65625</v>
      </c>
      <c r="V197" s="47">
        <v>700</v>
      </c>
      <c r="W197" s="42">
        <v>0</v>
      </c>
      <c r="X197" s="42">
        <v>0</v>
      </c>
      <c r="Y197" s="46">
        <v>2983</v>
      </c>
      <c r="Z197" s="42">
        <v>0</v>
      </c>
      <c r="AA197" s="4">
        <f t="shared" si="34"/>
        <v>7706.40625</v>
      </c>
      <c r="AB197" s="4">
        <f t="shared" si="37"/>
        <v>92476.875</v>
      </c>
      <c r="AC197" s="4">
        <f t="shared" si="35"/>
        <v>279856.875</v>
      </c>
    </row>
    <row r="198" spans="1:29" x14ac:dyDescent="0.2">
      <c r="A198" s="42">
        <v>400136</v>
      </c>
      <c r="B198" s="43">
        <v>8</v>
      </c>
      <c r="C198" s="42" t="s">
        <v>43</v>
      </c>
      <c r="D198" s="38"/>
      <c r="E198" s="43" t="s">
        <v>42</v>
      </c>
      <c r="F198" s="42" t="s">
        <v>21</v>
      </c>
      <c r="G198" s="43" t="s">
        <v>21</v>
      </c>
      <c r="H198" s="42">
        <v>39</v>
      </c>
      <c r="I198" s="44">
        <v>44777</v>
      </c>
      <c r="J198" s="43" t="s">
        <v>54</v>
      </c>
      <c r="K198" s="49">
        <v>13505</v>
      </c>
      <c r="L198" s="42"/>
      <c r="M198" s="51">
        <f>VLOOKUP(A198,'[1]ناتج ملف Excel'!$A:$AV,46,0)</f>
        <v>650.5</v>
      </c>
      <c r="N198" s="51">
        <f>VLOOKUP(A198,'[1]ناتج ملف Excel'!$A:$AV,47,0)</f>
        <v>3376.25</v>
      </c>
      <c r="O198" s="42"/>
      <c r="P198" s="47">
        <v>0</v>
      </c>
      <c r="Q198" s="48"/>
      <c r="R198" s="48">
        <v>0</v>
      </c>
      <c r="S198" s="72"/>
      <c r="T198" s="47">
        <v>3080</v>
      </c>
      <c r="U198" s="48">
        <f t="shared" si="36"/>
        <v>838.90625</v>
      </c>
      <c r="V198" s="47">
        <v>700</v>
      </c>
      <c r="W198" s="42">
        <v>0</v>
      </c>
      <c r="X198" s="42">
        <v>0</v>
      </c>
      <c r="Y198" s="42">
        <v>0</v>
      </c>
      <c r="Z198" s="42">
        <v>0</v>
      </c>
      <c r="AA198" s="4">
        <f t="shared" si="34"/>
        <v>7945.65625</v>
      </c>
      <c r="AB198" s="4">
        <f t="shared" si="37"/>
        <v>95347.875</v>
      </c>
      <c r="AC198" s="4">
        <f t="shared" si="35"/>
        <v>265807.875</v>
      </c>
    </row>
    <row r="199" spans="1:29" x14ac:dyDescent="0.2">
      <c r="A199" s="42">
        <v>400137</v>
      </c>
      <c r="B199" s="43" t="s">
        <v>267</v>
      </c>
      <c r="C199" s="43" t="s">
        <v>53</v>
      </c>
      <c r="D199" s="43" t="s">
        <v>53</v>
      </c>
      <c r="E199" s="43" t="s">
        <v>40</v>
      </c>
      <c r="F199" s="42" t="s">
        <v>21</v>
      </c>
      <c r="G199" s="43" t="s">
        <v>21</v>
      </c>
      <c r="H199" s="42">
        <v>57</v>
      </c>
      <c r="I199" s="44">
        <v>44777</v>
      </c>
      <c r="J199" s="43" t="s">
        <v>54</v>
      </c>
      <c r="K199" s="49">
        <v>18705</v>
      </c>
      <c r="L199" s="42"/>
      <c r="M199" s="51">
        <v>0</v>
      </c>
      <c r="N199" s="51">
        <f>VLOOKUP(A199,'[1]ناتج ملف Excel'!$A:$AV,47,0)</f>
        <v>4676.25</v>
      </c>
      <c r="O199" s="42"/>
      <c r="P199" s="47">
        <v>0</v>
      </c>
      <c r="Q199" s="48"/>
      <c r="R199" s="48">
        <v>0</v>
      </c>
      <c r="S199" s="72"/>
      <c r="T199" s="47">
        <v>3080</v>
      </c>
      <c r="U199" s="48">
        <f t="shared" si="36"/>
        <v>974.21875</v>
      </c>
      <c r="V199" s="47">
        <v>900</v>
      </c>
      <c r="W199" s="42">
        <v>750</v>
      </c>
      <c r="X199" s="42">
        <v>0</v>
      </c>
      <c r="Y199" s="42">
        <v>0</v>
      </c>
      <c r="Z199" s="42">
        <v>0</v>
      </c>
      <c r="AA199" s="4">
        <f t="shared" si="34"/>
        <v>8730.46875</v>
      </c>
      <c r="AB199" s="4">
        <f t="shared" si="37"/>
        <v>104765.625</v>
      </c>
      <c r="AC199" s="4">
        <f t="shared" si="35"/>
        <v>349025.625</v>
      </c>
    </row>
    <row r="200" spans="1:29" x14ac:dyDescent="0.2">
      <c r="A200" s="42">
        <v>400138</v>
      </c>
      <c r="B200" s="43">
        <v>7</v>
      </c>
      <c r="C200" s="42" t="s">
        <v>43</v>
      </c>
      <c r="D200" s="38"/>
      <c r="E200" s="43" t="s">
        <v>42</v>
      </c>
      <c r="F200" s="42" t="s">
        <v>21</v>
      </c>
      <c r="G200" s="43" t="s">
        <v>21</v>
      </c>
      <c r="H200" s="42">
        <v>36</v>
      </c>
      <c r="I200" s="44">
        <v>44777</v>
      </c>
      <c r="J200" s="43" t="s">
        <v>54</v>
      </c>
      <c r="K200" s="49">
        <v>13505</v>
      </c>
      <c r="L200" s="42"/>
      <c r="M200" s="51">
        <f>VLOOKUP(A200,'[1]ناتج ملف Excel'!$A:$AV,46,0)</f>
        <v>650.5</v>
      </c>
      <c r="N200" s="51">
        <f>VLOOKUP(A200,'[1]ناتج ملف Excel'!$A:$AV,47,0)</f>
        <v>3376.25</v>
      </c>
      <c r="O200" s="42"/>
      <c r="P200" s="47">
        <v>0</v>
      </c>
      <c r="Q200" s="48"/>
      <c r="R200" s="48">
        <v>0</v>
      </c>
      <c r="S200" s="72"/>
      <c r="T200" s="47">
        <v>3080</v>
      </c>
      <c r="U200" s="48">
        <f t="shared" si="36"/>
        <v>838.90625</v>
      </c>
      <c r="V200" s="47">
        <v>700</v>
      </c>
      <c r="W200" s="42">
        <v>0</v>
      </c>
      <c r="X200" s="42">
        <v>0</v>
      </c>
      <c r="Y200" s="42">
        <v>0</v>
      </c>
      <c r="Z200" s="42">
        <v>0</v>
      </c>
      <c r="AA200" s="4">
        <f t="shared" si="34"/>
        <v>7945.65625</v>
      </c>
      <c r="AB200" s="4">
        <f t="shared" si="37"/>
        <v>95347.875</v>
      </c>
      <c r="AC200" s="4">
        <f t="shared" si="35"/>
        <v>265807.875</v>
      </c>
    </row>
    <row r="201" spans="1:29" x14ac:dyDescent="0.2">
      <c r="A201" s="42">
        <v>400139</v>
      </c>
      <c r="B201" s="43">
        <v>4</v>
      </c>
      <c r="C201" s="43" t="s">
        <v>284</v>
      </c>
      <c r="D201" s="43" t="s">
        <v>39</v>
      </c>
      <c r="E201" s="43" t="s">
        <v>40</v>
      </c>
      <c r="F201" s="42" t="s">
        <v>21</v>
      </c>
      <c r="G201" s="43" t="s">
        <v>21</v>
      </c>
      <c r="H201" s="42">
        <v>32</v>
      </c>
      <c r="I201" s="44">
        <v>44777</v>
      </c>
      <c r="J201" s="43" t="s">
        <v>54</v>
      </c>
      <c r="K201" s="49">
        <v>12095</v>
      </c>
      <c r="L201" s="42"/>
      <c r="M201" s="51">
        <f>VLOOKUP(A201,'[1]ناتج ملف Excel'!$A:$AV,46,0)</f>
        <v>509.5</v>
      </c>
      <c r="N201" s="51">
        <f>VLOOKUP(A201,'[1]ناتج ملف Excel'!$A:$AV,47,0)</f>
        <v>3023.75</v>
      </c>
      <c r="O201" s="42"/>
      <c r="P201" s="47">
        <v>0</v>
      </c>
      <c r="Q201" s="48"/>
      <c r="R201" s="48">
        <v>0</v>
      </c>
      <c r="S201" s="72"/>
      <c r="T201" s="47">
        <v>3080</v>
      </c>
      <c r="U201" s="48">
        <f t="shared" si="36"/>
        <v>736.09375</v>
      </c>
      <c r="V201" s="47">
        <v>700</v>
      </c>
      <c r="W201" s="42">
        <v>750</v>
      </c>
      <c r="X201" s="42">
        <f>(K201*2)/2</f>
        <v>12095</v>
      </c>
      <c r="Y201" s="46">
        <v>2419</v>
      </c>
      <c r="Z201" s="42">
        <v>0</v>
      </c>
      <c r="AA201" s="4">
        <f t="shared" si="34"/>
        <v>7349.34375</v>
      </c>
      <c r="AB201" s="4">
        <f t="shared" si="37"/>
        <v>88192.125</v>
      </c>
      <c r="AC201" s="4">
        <f t="shared" si="35"/>
        <v>395872.125</v>
      </c>
    </row>
    <row r="202" spans="1:29" x14ac:dyDescent="0.2">
      <c r="A202" s="42">
        <v>400140</v>
      </c>
      <c r="B202" s="43">
        <v>7</v>
      </c>
      <c r="C202" s="43" t="s">
        <v>53</v>
      </c>
      <c r="D202" s="43" t="s">
        <v>53</v>
      </c>
      <c r="E202" s="43" t="s">
        <v>40</v>
      </c>
      <c r="F202" s="42" t="s">
        <v>21</v>
      </c>
      <c r="G202" s="43" t="s">
        <v>21</v>
      </c>
      <c r="H202" s="42">
        <v>35</v>
      </c>
      <c r="I202" s="44">
        <v>44777</v>
      </c>
      <c r="J202" s="43" t="s">
        <v>54</v>
      </c>
      <c r="K202" s="46">
        <v>9565</v>
      </c>
      <c r="L202" s="42"/>
      <c r="M202" s="51">
        <f>VLOOKUP(A202,'[1]ناتج ملف Excel'!$A:$AV,46,0)</f>
        <v>256.5</v>
      </c>
      <c r="N202" s="51">
        <f>VLOOKUP(A202,'[1]ناتج ملف Excel'!$A:$AV,47,0)</f>
        <v>2391.25</v>
      </c>
      <c r="O202" s="42"/>
      <c r="P202" s="47">
        <v>0</v>
      </c>
      <c r="Q202" s="48"/>
      <c r="R202" s="48">
        <v>0</v>
      </c>
      <c r="S202" s="72"/>
      <c r="T202" s="47">
        <v>3080</v>
      </c>
      <c r="U202" s="48">
        <f t="shared" si="36"/>
        <v>551.61458333333337</v>
      </c>
      <c r="V202" s="47">
        <v>700</v>
      </c>
      <c r="W202" s="42">
        <v>750</v>
      </c>
      <c r="X202" s="42">
        <v>0</v>
      </c>
      <c r="Y202" s="42">
        <v>0</v>
      </c>
      <c r="Z202" s="42">
        <v>0</v>
      </c>
      <c r="AA202" s="4">
        <f t="shared" ref="AA202:AA264" si="38">U202+T202+N202+M202+O202</f>
        <v>6279.3645833333339</v>
      </c>
      <c r="AB202" s="4">
        <f t="shared" si="37"/>
        <v>75352.375</v>
      </c>
      <c r="AC202" s="4">
        <f t="shared" ref="AC202:AC264" si="39">AB202+((K202+V202+W202+X202)*12)</f>
        <v>207532.375</v>
      </c>
    </row>
    <row r="203" spans="1:29" x14ac:dyDescent="0.2">
      <c r="A203" s="42">
        <v>400141</v>
      </c>
      <c r="B203" s="43">
        <v>7</v>
      </c>
      <c r="C203" s="43" t="s">
        <v>53</v>
      </c>
      <c r="D203" s="43" t="s">
        <v>53</v>
      </c>
      <c r="E203" s="43" t="s">
        <v>40</v>
      </c>
      <c r="F203" s="42" t="s">
        <v>21</v>
      </c>
      <c r="G203" s="43" t="s">
        <v>21</v>
      </c>
      <c r="H203" s="42">
        <v>42</v>
      </c>
      <c r="I203" s="44">
        <v>44777</v>
      </c>
      <c r="J203" s="43" t="s">
        <v>54</v>
      </c>
      <c r="K203" s="49">
        <v>11745</v>
      </c>
      <c r="L203" s="42"/>
      <c r="M203" s="51">
        <f>VLOOKUP(A203,'[1]ناتج ملف Excel'!$A:$AV,46,0)</f>
        <v>474.5</v>
      </c>
      <c r="N203" s="51">
        <f>VLOOKUP(A203,'[1]ناتج ملف Excel'!$A:$AV,47,0)</f>
        <v>2936.25</v>
      </c>
      <c r="O203" s="42"/>
      <c r="P203" s="47">
        <v>0</v>
      </c>
      <c r="Q203" s="48"/>
      <c r="R203" s="48">
        <v>0</v>
      </c>
      <c r="S203" s="72"/>
      <c r="T203" s="47">
        <v>3080</v>
      </c>
      <c r="U203" s="48">
        <f t="shared" si="36"/>
        <v>710.57291666666663</v>
      </c>
      <c r="V203" s="47">
        <v>700</v>
      </c>
      <c r="W203" s="42">
        <v>750</v>
      </c>
      <c r="X203" s="42">
        <v>1982.75</v>
      </c>
      <c r="Y203" s="42">
        <v>0</v>
      </c>
      <c r="Z203" s="42">
        <v>0</v>
      </c>
      <c r="AA203" s="4">
        <f t="shared" si="38"/>
        <v>7201.3229166666661</v>
      </c>
      <c r="AB203" s="4">
        <f t="shared" si="37"/>
        <v>86415.875</v>
      </c>
      <c r="AC203" s="4">
        <f t="shared" si="39"/>
        <v>268548.875</v>
      </c>
    </row>
    <row r="204" spans="1:29" x14ac:dyDescent="0.2">
      <c r="A204" s="42">
        <v>400142</v>
      </c>
      <c r="B204" s="43">
        <v>5</v>
      </c>
      <c r="C204" s="42" t="s">
        <v>43</v>
      </c>
      <c r="D204" s="38"/>
      <c r="E204" s="43" t="s">
        <v>42</v>
      </c>
      <c r="F204" s="42" t="s">
        <v>21</v>
      </c>
      <c r="G204" s="43" t="s">
        <v>21</v>
      </c>
      <c r="H204" s="42">
        <v>36</v>
      </c>
      <c r="I204" s="44">
        <v>44777</v>
      </c>
      <c r="J204" s="43" t="s">
        <v>54</v>
      </c>
      <c r="K204" s="49">
        <v>12565</v>
      </c>
      <c r="L204" s="42"/>
      <c r="M204" s="51">
        <f>VLOOKUP(A204,'[1]ناتج ملف Excel'!$A:$AV,46,0)</f>
        <v>556.5</v>
      </c>
      <c r="N204" s="51">
        <f>VLOOKUP(A204,'[1]ناتج ملف Excel'!$A:$AV,47,0)</f>
        <v>3141.25</v>
      </c>
      <c r="O204" s="42"/>
      <c r="P204" s="47">
        <v>0</v>
      </c>
      <c r="Q204" s="48"/>
      <c r="R204" s="48">
        <v>0</v>
      </c>
      <c r="S204" s="72"/>
      <c r="T204" s="47">
        <v>3080</v>
      </c>
      <c r="U204" s="48">
        <f t="shared" si="36"/>
        <v>770.36458333333337</v>
      </c>
      <c r="V204" s="47">
        <v>700</v>
      </c>
      <c r="W204" s="42">
        <v>0</v>
      </c>
      <c r="X204" s="42">
        <v>0</v>
      </c>
      <c r="Y204" s="42">
        <v>0</v>
      </c>
      <c r="Z204" s="42">
        <v>0</v>
      </c>
      <c r="AA204" s="4">
        <f t="shared" si="38"/>
        <v>7548.1145833333339</v>
      </c>
      <c r="AB204" s="4">
        <f t="shared" si="37"/>
        <v>90577.375</v>
      </c>
      <c r="AC204" s="4">
        <f t="shared" si="39"/>
        <v>249757.375</v>
      </c>
    </row>
    <row r="205" spans="1:29" x14ac:dyDescent="0.2">
      <c r="A205" s="42">
        <v>400144</v>
      </c>
      <c r="B205" s="43">
        <v>5</v>
      </c>
      <c r="C205" s="43" t="s">
        <v>277</v>
      </c>
      <c r="D205" s="43" t="s">
        <v>39</v>
      </c>
      <c r="E205" s="43" t="s">
        <v>40</v>
      </c>
      <c r="F205" s="42" t="s">
        <v>239</v>
      </c>
      <c r="G205" s="43" t="s">
        <v>41</v>
      </c>
      <c r="H205" s="42">
        <v>36</v>
      </c>
      <c r="I205" s="44">
        <v>44777</v>
      </c>
      <c r="J205" s="43" t="s">
        <v>54</v>
      </c>
      <c r="K205" s="49">
        <v>10915</v>
      </c>
      <c r="L205" s="42"/>
      <c r="M205" s="51">
        <f>VLOOKUP(A205,'[1]ناتج ملف Excel'!$A:$AV,46,0)</f>
        <v>391.5</v>
      </c>
      <c r="N205" s="51">
        <f>VLOOKUP(A205,'[1]ناتج ملف Excel'!$A:$AV,47,0)</f>
        <v>2728.75</v>
      </c>
      <c r="O205" s="42"/>
      <c r="P205" s="47">
        <v>0</v>
      </c>
      <c r="Q205" s="48"/>
      <c r="R205" s="48">
        <v>0</v>
      </c>
      <c r="S205" s="72"/>
      <c r="T205" s="47">
        <v>3080</v>
      </c>
      <c r="U205" s="48">
        <f t="shared" si="36"/>
        <v>650.05208333333337</v>
      </c>
      <c r="V205" s="47">
        <v>700</v>
      </c>
      <c r="W205" s="42">
        <v>0</v>
      </c>
      <c r="X205" s="42">
        <v>0</v>
      </c>
      <c r="Y205" s="46">
        <v>2183</v>
      </c>
      <c r="Z205" s="42">
        <v>0</v>
      </c>
      <c r="AA205" s="4">
        <f t="shared" si="38"/>
        <v>6850.3020833333339</v>
      </c>
      <c r="AB205" s="4">
        <f t="shared" si="37"/>
        <v>82203.625</v>
      </c>
      <c r="AC205" s="4">
        <f t="shared" si="39"/>
        <v>221583.625</v>
      </c>
    </row>
    <row r="206" spans="1:29" x14ac:dyDescent="0.2">
      <c r="A206" s="42">
        <v>400146</v>
      </c>
      <c r="B206" s="43">
        <v>5</v>
      </c>
      <c r="C206" s="43" t="s">
        <v>32</v>
      </c>
      <c r="D206" s="43" t="s">
        <v>33</v>
      </c>
      <c r="E206" s="43"/>
      <c r="F206" s="42" t="s">
        <v>21</v>
      </c>
      <c r="G206" s="43" t="s">
        <v>21</v>
      </c>
      <c r="H206" s="42">
        <v>35</v>
      </c>
      <c r="I206" s="44">
        <v>44777</v>
      </c>
      <c r="J206" s="43" t="s">
        <v>54</v>
      </c>
      <c r="K206" s="46">
        <v>9934</v>
      </c>
      <c r="L206" s="42"/>
      <c r="M206" s="51">
        <f>VLOOKUP(A206,'[1]ناتج ملف Excel'!$A:$AV,46,0)</f>
        <v>493.4</v>
      </c>
      <c r="N206" s="51">
        <f>VLOOKUP(A206,'[1]ناتج ملف Excel'!$A:$AV,47,0)</f>
        <v>2483.5</v>
      </c>
      <c r="O206" s="42"/>
      <c r="P206" s="47">
        <v>0</v>
      </c>
      <c r="Q206" s="48"/>
      <c r="R206" s="48">
        <v>0</v>
      </c>
      <c r="S206" s="72"/>
      <c r="T206" s="47">
        <v>3080</v>
      </c>
      <c r="U206" s="48">
        <f t="shared" si="36"/>
        <v>620.1875</v>
      </c>
      <c r="V206" s="47">
        <v>500</v>
      </c>
      <c r="W206" s="42">
        <v>0</v>
      </c>
      <c r="X206" s="42">
        <v>0</v>
      </c>
      <c r="Y206" s="42">
        <v>0</v>
      </c>
      <c r="Z206" s="42">
        <v>0</v>
      </c>
      <c r="AA206" s="4">
        <f t="shared" si="38"/>
        <v>6677.0874999999996</v>
      </c>
      <c r="AB206" s="4">
        <f t="shared" si="37"/>
        <v>80125.049999999988</v>
      </c>
      <c r="AC206" s="4">
        <f t="shared" si="39"/>
        <v>205333.05</v>
      </c>
    </row>
    <row r="207" spans="1:29" x14ac:dyDescent="0.2">
      <c r="A207" s="42">
        <v>400149</v>
      </c>
      <c r="B207" s="43" t="s">
        <v>266</v>
      </c>
      <c r="C207" s="43" t="s">
        <v>42</v>
      </c>
      <c r="D207" s="38"/>
      <c r="E207" s="43" t="s">
        <v>42</v>
      </c>
      <c r="F207" s="42" t="s">
        <v>21</v>
      </c>
      <c r="G207" s="43" t="s">
        <v>21</v>
      </c>
      <c r="H207" s="42">
        <v>33</v>
      </c>
      <c r="I207" s="44">
        <v>44777</v>
      </c>
      <c r="J207" s="43" t="s">
        <v>54</v>
      </c>
      <c r="K207" s="46">
        <v>6498</v>
      </c>
      <c r="L207" s="42"/>
      <c r="M207" s="51">
        <f>VLOOKUP(A207,'[1]ناتج ملف Excel'!$A:$AV,46,0)</f>
        <v>149.80000000000001</v>
      </c>
      <c r="N207" s="51">
        <f>VLOOKUP(A207,'[1]ناتج ملف Excel'!$A:$AV,47,0)</f>
        <v>1624.5</v>
      </c>
      <c r="O207" s="42"/>
      <c r="P207" s="47">
        <v>0</v>
      </c>
      <c r="Q207" s="48"/>
      <c r="R207" s="48">
        <v>0</v>
      </c>
      <c r="S207" s="72"/>
      <c r="T207" s="47">
        <v>3080</v>
      </c>
      <c r="U207" s="48">
        <f t="shared" si="36"/>
        <v>369.64583333333331</v>
      </c>
      <c r="V207" s="47">
        <v>500</v>
      </c>
      <c r="W207" s="42">
        <v>0</v>
      </c>
      <c r="X207" s="42">
        <v>0</v>
      </c>
      <c r="Y207" s="42">
        <v>0</v>
      </c>
      <c r="Z207" s="42">
        <v>0</v>
      </c>
      <c r="AA207" s="4">
        <f t="shared" si="38"/>
        <v>5223.9458333333341</v>
      </c>
      <c r="AB207" s="4">
        <f t="shared" si="37"/>
        <v>62687.350000000006</v>
      </c>
      <c r="AC207" s="4">
        <f t="shared" si="39"/>
        <v>146663.35</v>
      </c>
    </row>
    <row r="208" spans="1:29" x14ac:dyDescent="0.2">
      <c r="A208" s="42">
        <v>400150</v>
      </c>
      <c r="B208" s="43" t="s">
        <v>266</v>
      </c>
      <c r="C208" s="43" t="s">
        <v>42</v>
      </c>
      <c r="D208" s="38"/>
      <c r="E208" s="43" t="s">
        <v>42</v>
      </c>
      <c r="F208" s="42" t="s">
        <v>21</v>
      </c>
      <c r="G208" s="43" t="s">
        <v>21</v>
      </c>
      <c r="H208" s="42">
        <v>34</v>
      </c>
      <c r="I208" s="44">
        <v>44777</v>
      </c>
      <c r="J208" s="43" t="s">
        <v>54</v>
      </c>
      <c r="K208" s="46">
        <v>8692</v>
      </c>
      <c r="L208" s="42"/>
      <c r="M208" s="51">
        <f>VLOOKUP(A208,'[1]ناتج ملف Excel'!$A:$AV,46,0)</f>
        <v>300</v>
      </c>
      <c r="N208" s="51">
        <f>VLOOKUP(A208,'[1]ناتج ملف Excel'!$A:$AV,47,0)</f>
        <v>2173</v>
      </c>
      <c r="O208" s="42"/>
      <c r="P208" s="47">
        <v>0</v>
      </c>
      <c r="Q208" s="48"/>
      <c r="R208" s="48">
        <v>0</v>
      </c>
      <c r="S208" s="72"/>
      <c r="T208" s="47">
        <v>3080</v>
      </c>
      <c r="U208" s="48">
        <f t="shared" si="36"/>
        <v>515.20833333333337</v>
      </c>
      <c r="V208" s="47">
        <v>500</v>
      </c>
      <c r="W208" s="42">
        <v>0</v>
      </c>
      <c r="X208" s="42">
        <v>0</v>
      </c>
      <c r="Y208" s="42">
        <v>0</v>
      </c>
      <c r="Z208" s="42">
        <v>0</v>
      </c>
      <c r="AA208" s="4">
        <f t="shared" si="38"/>
        <v>6068.2083333333339</v>
      </c>
      <c r="AB208" s="4">
        <f t="shared" si="37"/>
        <v>72818.5</v>
      </c>
      <c r="AC208" s="4">
        <f t="shared" si="39"/>
        <v>183122.5</v>
      </c>
    </row>
    <row r="209" spans="1:29" x14ac:dyDescent="0.2">
      <c r="A209" s="42">
        <v>400151</v>
      </c>
      <c r="B209" s="43">
        <v>7</v>
      </c>
      <c r="C209" s="43" t="s">
        <v>53</v>
      </c>
      <c r="D209" s="43" t="s">
        <v>53</v>
      </c>
      <c r="E209" s="43" t="s">
        <v>40</v>
      </c>
      <c r="F209" s="42" t="s">
        <v>21</v>
      </c>
      <c r="G209" s="43" t="s">
        <v>21</v>
      </c>
      <c r="H209" s="42">
        <v>35</v>
      </c>
      <c r="I209" s="44">
        <v>44777</v>
      </c>
      <c r="J209" s="43" t="s">
        <v>54</v>
      </c>
      <c r="K209" s="46">
        <v>9932</v>
      </c>
      <c r="L209" s="42"/>
      <c r="M209" s="51">
        <f>VLOOKUP(A209,'[1]ناتج ملف Excel'!$A:$AV,46,0)</f>
        <v>493.2</v>
      </c>
      <c r="N209" s="51">
        <f>VLOOKUP(A209,'[1]ناتج ملف Excel'!$A:$AV,47,0)</f>
        <v>2483</v>
      </c>
      <c r="O209" s="42"/>
      <c r="P209" s="47">
        <v>0</v>
      </c>
      <c r="Q209" s="48"/>
      <c r="R209" s="48">
        <v>0</v>
      </c>
      <c r="S209" s="72"/>
      <c r="T209" s="47">
        <v>3080</v>
      </c>
      <c r="U209" s="48">
        <f t="shared" si="36"/>
        <v>620.04166666666663</v>
      </c>
      <c r="V209" s="47">
        <v>500</v>
      </c>
      <c r="W209" s="42">
        <v>0</v>
      </c>
      <c r="X209" s="42">
        <v>0</v>
      </c>
      <c r="Y209" s="42">
        <v>0</v>
      </c>
      <c r="Z209" s="42">
        <v>0</v>
      </c>
      <c r="AA209" s="4">
        <f t="shared" si="38"/>
        <v>6676.2416666666659</v>
      </c>
      <c r="AB209" s="4">
        <f t="shared" si="37"/>
        <v>80114.899999999994</v>
      </c>
      <c r="AC209" s="4">
        <f t="shared" si="39"/>
        <v>205298.9</v>
      </c>
    </row>
    <row r="210" spans="1:29" x14ac:dyDescent="0.2">
      <c r="A210" s="42">
        <v>400152</v>
      </c>
      <c r="B210" s="43">
        <v>7</v>
      </c>
      <c r="C210" s="43" t="s">
        <v>53</v>
      </c>
      <c r="D210" s="43" t="s">
        <v>53</v>
      </c>
      <c r="E210" s="43" t="s">
        <v>40</v>
      </c>
      <c r="F210" s="42" t="s">
        <v>21</v>
      </c>
      <c r="G210" s="43" t="s">
        <v>21</v>
      </c>
      <c r="H210" s="42">
        <v>32</v>
      </c>
      <c r="I210" s="44">
        <v>44777</v>
      </c>
      <c r="J210" s="43" t="s">
        <v>54</v>
      </c>
      <c r="K210" s="46">
        <v>9932</v>
      </c>
      <c r="L210" s="42"/>
      <c r="M210" s="51">
        <f>VLOOKUP(A210,'[1]ناتج ملف Excel'!$A:$AV,46,0)</f>
        <v>493.2</v>
      </c>
      <c r="N210" s="51">
        <f>VLOOKUP(A210,'[1]ناتج ملف Excel'!$A:$AV,47,0)</f>
        <v>2483</v>
      </c>
      <c r="O210" s="42"/>
      <c r="P210" s="47">
        <v>0</v>
      </c>
      <c r="Q210" s="48"/>
      <c r="R210" s="48">
        <v>0</v>
      </c>
      <c r="S210" s="72"/>
      <c r="T210" s="47">
        <v>3080</v>
      </c>
      <c r="U210" s="48">
        <f t="shared" si="36"/>
        <v>620.04166666666663</v>
      </c>
      <c r="V210" s="47">
        <v>500</v>
      </c>
      <c r="W210" s="42">
        <v>0</v>
      </c>
      <c r="X210" s="42">
        <v>0</v>
      </c>
      <c r="Y210" s="42">
        <v>0</v>
      </c>
      <c r="Z210" s="42">
        <v>0</v>
      </c>
      <c r="AA210" s="4">
        <f t="shared" si="38"/>
        <v>6676.2416666666659</v>
      </c>
      <c r="AB210" s="4">
        <f t="shared" si="37"/>
        <v>80114.899999999994</v>
      </c>
      <c r="AC210" s="4">
        <f t="shared" si="39"/>
        <v>205298.9</v>
      </c>
    </row>
    <row r="211" spans="1:29" x14ac:dyDescent="0.2">
      <c r="A211" s="42">
        <v>400153</v>
      </c>
      <c r="B211" s="43">
        <v>5</v>
      </c>
      <c r="C211" s="42" t="s">
        <v>300</v>
      </c>
      <c r="D211" s="43" t="s">
        <v>33</v>
      </c>
      <c r="E211" s="43"/>
      <c r="F211" s="42" t="s">
        <v>75</v>
      </c>
      <c r="G211" s="43" t="s">
        <v>41</v>
      </c>
      <c r="H211" s="42">
        <v>35</v>
      </c>
      <c r="I211" s="44">
        <v>44777</v>
      </c>
      <c r="J211" s="43" t="s">
        <v>54</v>
      </c>
      <c r="K211" s="46">
        <v>9932</v>
      </c>
      <c r="L211" s="42"/>
      <c r="M211" s="51">
        <f>VLOOKUP(A211,'[1]ناتج ملف Excel'!$A:$AV,46,0)</f>
        <v>493.2</v>
      </c>
      <c r="N211" s="51">
        <f>VLOOKUP(A211,'[1]ناتج ملف Excel'!$A:$AV,47,0)</f>
        <v>2483</v>
      </c>
      <c r="O211" s="42"/>
      <c r="P211" s="47">
        <v>0</v>
      </c>
      <c r="Q211" s="48"/>
      <c r="R211" s="48">
        <v>0</v>
      </c>
      <c r="S211" s="72"/>
      <c r="T211" s="47">
        <v>3080</v>
      </c>
      <c r="U211" s="48">
        <f t="shared" si="36"/>
        <v>620.04166666666663</v>
      </c>
      <c r="V211" s="47">
        <v>500</v>
      </c>
      <c r="W211" s="42">
        <v>0</v>
      </c>
      <c r="X211" s="42">
        <v>0</v>
      </c>
      <c r="Y211" s="42">
        <v>0</v>
      </c>
      <c r="Z211" s="42">
        <v>0</v>
      </c>
      <c r="AA211" s="4">
        <f t="shared" si="38"/>
        <v>6676.2416666666659</v>
      </c>
      <c r="AB211" s="4">
        <f t="shared" si="37"/>
        <v>80114.899999999994</v>
      </c>
      <c r="AC211" s="4">
        <f t="shared" si="39"/>
        <v>205298.9</v>
      </c>
    </row>
    <row r="212" spans="1:29" x14ac:dyDescent="0.2">
      <c r="A212" s="42">
        <v>400154</v>
      </c>
      <c r="B212" s="43">
        <v>3</v>
      </c>
      <c r="C212" s="43" t="s">
        <v>42</v>
      </c>
      <c r="D212" s="38"/>
      <c r="E212" s="43" t="s">
        <v>42</v>
      </c>
      <c r="F212" s="42" t="s">
        <v>21</v>
      </c>
      <c r="G212" s="43" t="s">
        <v>21</v>
      </c>
      <c r="H212" s="42">
        <v>34</v>
      </c>
      <c r="I212" s="44">
        <v>44777</v>
      </c>
      <c r="J212" s="43" t="s">
        <v>54</v>
      </c>
      <c r="K212" s="46">
        <v>9932</v>
      </c>
      <c r="L212" s="42"/>
      <c r="M212" s="51">
        <f>VLOOKUP(A212,'[1]ناتج ملف Excel'!$A:$AV,46,0)</f>
        <v>493.2</v>
      </c>
      <c r="N212" s="51">
        <f>VLOOKUP(A212,'[1]ناتج ملف Excel'!$A:$AV,47,0)</f>
        <v>2483</v>
      </c>
      <c r="O212" s="42"/>
      <c r="P212" s="47">
        <v>0</v>
      </c>
      <c r="Q212" s="48"/>
      <c r="R212" s="48">
        <v>0</v>
      </c>
      <c r="S212" s="72"/>
      <c r="T212" s="47">
        <v>3080</v>
      </c>
      <c r="U212" s="48">
        <f t="shared" si="36"/>
        <v>620.04166666666663</v>
      </c>
      <c r="V212" s="47">
        <v>500</v>
      </c>
      <c r="W212" s="42">
        <v>0</v>
      </c>
      <c r="X212" s="42">
        <v>0</v>
      </c>
      <c r="Y212" s="42">
        <v>0</v>
      </c>
      <c r="Z212" s="42">
        <v>0</v>
      </c>
      <c r="AA212" s="4">
        <f t="shared" si="38"/>
        <v>6676.2416666666659</v>
      </c>
      <c r="AB212" s="4">
        <f t="shared" si="37"/>
        <v>80114.899999999994</v>
      </c>
      <c r="AC212" s="4">
        <f t="shared" si="39"/>
        <v>205298.9</v>
      </c>
    </row>
    <row r="213" spans="1:29" x14ac:dyDescent="0.2">
      <c r="A213" s="42">
        <v>400157</v>
      </c>
      <c r="B213" s="43">
        <v>7</v>
      </c>
      <c r="C213" s="43" t="s">
        <v>42</v>
      </c>
      <c r="D213" s="38"/>
      <c r="E213" s="43" t="s">
        <v>42</v>
      </c>
      <c r="F213" s="42" t="s">
        <v>21</v>
      </c>
      <c r="G213" s="43" t="s">
        <v>21</v>
      </c>
      <c r="H213" s="42">
        <v>45</v>
      </c>
      <c r="I213" s="44">
        <v>44805</v>
      </c>
      <c r="J213" s="43" t="s">
        <v>54</v>
      </c>
      <c r="K213" s="49">
        <v>20275</v>
      </c>
      <c r="L213" s="42"/>
      <c r="M213" s="51">
        <f>VLOOKUP(A213,'[1]ناتج ملف Excel'!$A:$AV,46,0)</f>
        <v>1127.5</v>
      </c>
      <c r="N213" s="51">
        <f>VLOOKUP(A213,'[1]ناتج ملف Excel'!$A:$AV,47,0)</f>
        <v>5068.75</v>
      </c>
      <c r="O213" s="42"/>
      <c r="P213" s="47">
        <v>0</v>
      </c>
      <c r="Q213" s="48"/>
      <c r="R213" s="48">
        <v>0</v>
      </c>
      <c r="S213" s="72"/>
      <c r="T213" s="47">
        <v>3080</v>
      </c>
      <c r="U213" s="48">
        <f t="shared" si="36"/>
        <v>1290.8854166666667</v>
      </c>
      <c r="V213" s="47">
        <v>900</v>
      </c>
      <c r="W213" s="42">
        <v>0</v>
      </c>
      <c r="X213" s="42">
        <v>3548.125</v>
      </c>
      <c r="Y213" s="42">
        <v>0</v>
      </c>
      <c r="Z213" s="42">
        <v>0</v>
      </c>
      <c r="AA213" s="4">
        <f t="shared" si="38"/>
        <v>10567.135416666668</v>
      </c>
      <c r="AB213" s="4">
        <f t="shared" si="37"/>
        <v>126805.62500000001</v>
      </c>
      <c r="AC213" s="4">
        <f t="shared" si="39"/>
        <v>423483.125</v>
      </c>
    </row>
    <row r="214" spans="1:29" x14ac:dyDescent="0.2">
      <c r="A214" s="42">
        <v>400159</v>
      </c>
      <c r="B214" s="43">
        <v>8</v>
      </c>
      <c r="C214" s="43" t="s">
        <v>49</v>
      </c>
      <c r="D214" s="38"/>
      <c r="E214" s="43" t="s">
        <v>40</v>
      </c>
      <c r="F214" s="42" t="s">
        <v>21</v>
      </c>
      <c r="G214" s="43" t="s">
        <v>21</v>
      </c>
      <c r="H214" s="42">
        <v>57</v>
      </c>
      <c r="I214" s="44">
        <v>44805</v>
      </c>
      <c r="J214" s="43" t="s">
        <v>54</v>
      </c>
      <c r="K214" s="49">
        <v>14915</v>
      </c>
      <c r="L214" s="42"/>
      <c r="M214" s="51">
        <f>VLOOKUP(A214,'[1]ناتج ملف Excel'!$A:$AV,46,0)</f>
        <v>791.5</v>
      </c>
      <c r="N214" s="51">
        <f>VLOOKUP(A214,'[1]ناتج ملف Excel'!$A:$AV,47,0)</f>
        <v>3728.75</v>
      </c>
      <c r="O214" s="42"/>
      <c r="P214" s="47">
        <v>0</v>
      </c>
      <c r="Q214" s="48"/>
      <c r="R214" s="48">
        <v>0</v>
      </c>
      <c r="S214" s="72"/>
      <c r="T214" s="47">
        <v>3080</v>
      </c>
      <c r="U214" s="48">
        <f t="shared" si="36"/>
        <v>941.71875</v>
      </c>
      <c r="V214" s="47">
        <v>700</v>
      </c>
      <c r="W214" s="42">
        <v>0</v>
      </c>
      <c r="X214" s="42">
        <v>0</v>
      </c>
      <c r="Y214" s="42">
        <v>0</v>
      </c>
      <c r="Z214" s="42">
        <v>0</v>
      </c>
      <c r="AA214" s="4">
        <f t="shared" si="38"/>
        <v>8541.96875</v>
      </c>
      <c r="AB214" s="4">
        <f t="shared" si="37"/>
        <v>102503.625</v>
      </c>
      <c r="AC214" s="4">
        <f t="shared" si="39"/>
        <v>289883.625</v>
      </c>
    </row>
    <row r="215" spans="1:29" x14ac:dyDescent="0.2">
      <c r="A215" s="42">
        <v>400162</v>
      </c>
      <c r="B215" s="43" t="s">
        <v>266</v>
      </c>
      <c r="C215" s="42" t="s">
        <v>300</v>
      </c>
      <c r="D215" s="43" t="s">
        <v>33</v>
      </c>
      <c r="E215" s="43"/>
      <c r="F215" s="42" t="s">
        <v>86</v>
      </c>
      <c r="G215" s="43" t="s">
        <v>41</v>
      </c>
      <c r="H215" s="42">
        <v>46</v>
      </c>
      <c r="I215" s="44">
        <v>44805</v>
      </c>
      <c r="J215" s="43" t="s">
        <v>54</v>
      </c>
      <c r="K215" s="49">
        <v>16395</v>
      </c>
      <c r="L215" s="42"/>
      <c r="M215" s="51">
        <f>VLOOKUP(A215,'[1]ناتج ملف Excel'!$A:$AV,46,0)</f>
        <v>100</v>
      </c>
      <c r="N215" s="51">
        <f>VLOOKUP(A215,'[1]ناتج ملف Excel'!$A:$AV,47,0)</f>
        <v>4098.75</v>
      </c>
      <c r="O215" s="42"/>
      <c r="P215" s="47">
        <v>0</v>
      </c>
      <c r="Q215" s="48"/>
      <c r="R215" s="48">
        <v>0</v>
      </c>
      <c r="S215" s="72"/>
      <c r="T215" s="47">
        <v>3080</v>
      </c>
      <c r="U215" s="48">
        <f t="shared" si="36"/>
        <v>874.73958333333337</v>
      </c>
      <c r="V215" s="47">
        <v>700</v>
      </c>
      <c r="W215" s="42">
        <v>0</v>
      </c>
      <c r="X215" s="42">
        <v>0</v>
      </c>
      <c r="Y215" s="42">
        <v>0</v>
      </c>
      <c r="Z215" s="42">
        <v>0</v>
      </c>
      <c r="AA215" s="4">
        <f t="shared" si="38"/>
        <v>8153.4895833333339</v>
      </c>
      <c r="AB215" s="4">
        <f t="shared" si="37"/>
        <v>97841.875</v>
      </c>
      <c r="AC215" s="4">
        <f t="shared" si="39"/>
        <v>302981.875</v>
      </c>
    </row>
    <row r="216" spans="1:29" x14ac:dyDescent="0.2">
      <c r="A216" s="42">
        <v>400167</v>
      </c>
      <c r="B216" s="43">
        <v>3</v>
      </c>
      <c r="C216" s="42" t="s">
        <v>300</v>
      </c>
      <c r="D216" s="43" t="s">
        <v>33</v>
      </c>
      <c r="E216" s="43"/>
      <c r="F216" s="42" t="s">
        <v>81</v>
      </c>
      <c r="G216" s="43" t="s">
        <v>41</v>
      </c>
      <c r="H216" s="42">
        <v>48</v>
      </c>
      <c r="I216" s="44">
        <v>44805</v>
      </c>
      <c r="J216" s="43" t="s">
        <v>54</v>
      </c>
      <c r="K216" s="49">
        <v>17415</v>
      </c>
      <c r="L216" s="42"/>
      <c r="M216" s="51">
        <f>VLOOKUP(A216,'[1]ناتج ملف Excel'!$A:$AV,46,0)</f>
        <v>1041.5</v>
      </c>
      <c r="N216" s="51">
        <f>VLOOKUP(A216,'[1]ناتج ملف Excel'!$A:$AV,47,0)</f>
        <v>4353.75</v>
      </c>
      <c r="O216" s="42"/>
      <c r="P216" s="47">
        <v>0</v>
      </c>
      <c r="Q216" s="48"/>
      <c r="R216" s="48">
        <v>0</v>
      </c>
      <c r="S216" s="72"/>
      <c r="T216" s="47">
        <v>3080</v>
      </c>
      <c r="U216" s="48">
        <f t="shared" si="36"/>
        <v>1124.0104166666667</v>
      </c>
      <c r="V216" s="47">
        <v>700</v>
      </c>
      <c r="W216" s="42">
        <v>0</v>
      </c>
      <c r="X216" s="42">
        <v>0</v>
      </c>
      <c r="Y216" s="42">
        <v>0</v>
      </c>
      <c r="Z216" s="42">
        <v>0</v>
      </c>
      <c r="AA216" s="4">
        <f t="shared" si="38"/>
        <v>9599.2604166666679</v>
      </c>
      <c r="AB216" s="4">
        <f t="shared" si="37"/>
        <v>115191.12500000001</v>
      </c>
      <c r="AC216" s="4">
        <f t="shared" si="39"/>
        <v>332571.125</v>
      </c>
    </row>
    <row r="217" spans="1:29" x14ac:dyDescent="0.2">
      <c r="A217" s="42">
        <v>400169</v>
      </c>
      <c r="B217" s="43">
        <v>3</v>
      </c>
      <c r="C217" s="42" t="s">
        <v>277</v>
      </c>
      <c r="D217" s="43" t="s">
        <v>39</v>
      </c>
      <c r="E217" s="43" t="s">
        <v>40</v>
      </c>
      <c r="F217" s="42" t="s">
        <v>236</v>
      </c>
      <c r="G217" s="43" t="s">
        <v>41</v>
      </c>
      <c r="H217" s="42">
        <v>43</v>
      </c>
      <c r="I217" s="44">
        <v>44805</v>
      </c>
      <c r="J217" s="43" t="s">
        <v>54</v>
      </c>
      <c r="K217" s="49">
        <v>15855</v>
      </c>
      <c r="L217" s="42"/>
      <c r="M217" s="51">
        <f>VLOOKUP(A217,'[1]ناتج ملف Excel'!$A:$AV,46,0)</f>
        <v>885.5</v>
      </c>
      <c r="N217" s="51">
        <f>VLOOKUP(A217,'[1]ناتج ملف Excel'!$A:$AV,47,0)</f>
        <v>3963.75</v>
      </c>
      <c r="O217" s="42"/>
      <c r="P217" s="47">
        <v>0</v>
      </c>
      <c r="Q217" s="48"/>
      <c r="R217" s="48">
        <v>0</v>
      </c>
      <c r="S217" s="72"/>
      <c r="T217" s="47">
        <v>3080</v>
      </c>
      <c r="U217" s="48">
        <f t="shared" si="36"/>
        <v>1010.2604166666666</v>
      </c>
      <c r="V217" s="47">
        <v>700</v>
      </c>
      <c r="W217" s="42">
        <v>750</v>
      </c>
      <c r="X217" s="42">
        <f>(K217*2)/2</f>
        <v>15855</v>
      </c>
      <c r="Y217" s="46">
        <v>3171</v>
      </c>
      <c r="Z217" s="42">
        <v>0</v>
      </c>
      <c r="AA217" s="4">
        <f t="shared" si="38"/>
        <v>8939.5104166666661</v>
      </c>
      <c r="AB217" s="4">
        <f t="shared" si="37"/>
        <v>107274.125</v>
      </c>
      <c r="AC217" s="4">
        <f t="shared" si="39"/>
        <v>505194.125</v>
      </c>
    </row>
    <row r="218" spans="1:29" x14ac:dyDescent="0.2">
      <c r="A218" s="42">
        <v>400170</v>
      </c>
      <c r="B218" s="43" t="s">
        <v>267</v>
      </c>
      <c r="C218" s="42" t="s">
        <v>300</v>
      </c>
      <c r="D218" s="43" t="s">
        <v>33</v>
      </c>
      <c r="E218" s="43"/>
      <c r="F218" s="42" t="s">
        <v>87</v>
      </c>
      <c r="G218" s="43" t="s">
        <v>41</v>
      </c>
      <c r="H218" s="42">
        <v>57</v>
      </c>
      <c r="I218" s="44">
        <v>44805</v>
      </c>
      <c r="J218" s="43" t="s">
        <v>54</v>
      </c>
      <c r="K218" s="49">
        <v>12990</v>
      </c>
      <c r="L218" s="42"/>
      <c r="M218" s="51">
        <f>VLOOKUP(A218,'[1]ناتج ملف Excel'!$A:$AV,46,0)</f>
        <v>100</v>
      </c>
      <c r="N218" s="51">
        <f>VLOOKUP(A218,'[1]ناتج ملف Excel'!$A:$AV,47,0)</f>
        <v>3247.5</v>
      </c>
      <c r="O218" s="42"/>
      <c r="P218" s="47">
        <v>0</v>
      </c>
      <c r="Q218" s="48"/>
      <c r="R218" s="48">
        <v>0</v>
      </c>
      <c r="S218" s="72"/>
      <c r="T218" s="47">
        <v>3080</v>
      </c>
      <c r="U218" s="48">
        <f t="shared" si="36"/>
        <v>697.39583333333337</v>
      </c>
      <c r="V218" s="47">
        <v>700</v>
      </c>
      <c r="W218" s="42">
        <v>750</v>
      </c>
      <c r="X218" s="42">
        <v>0</v>
      </c>
      <c r="Y218" s="42">
        <v>0</v>
      </c>
      <c r="Z218" s="42">
        <v>0</v>
      </c>
      <c r="AA218" s="4">
        <f t="shared" si="38"/>
        <v>7124.8958333333339</v>
      </c>
      <c r="AB218" s="4">
        <f t="shared" si="37"/>
        <v>85498.75</v>
      </c>
      <c r="AC218" s="4">
        <f t="shared" si="39"/>
        <v>258778.75</v>
      </c>
    </row>
    <row r="219" spans="1:29" x14ac:dyDescent="0.2">
      <c r="A219" s="42">
        <v>400171</v>
      </c>
      <c r="B219" s="43" t="s">
        <v>267</v>
      </c>
      <c r="C219" s="42" t="s">
        <v>300</v>
      </c>
      <c r="D219" s="43" t="s">
        <v>33</v>
      </c>
      <c r="E219" s="43"/>
      <c r="F219" s="42" t="s">
        <v>88</v>
      </c>
      <c r="G219" s="43" t="s">
        <v>41</v>
      </c>
      <c r="H219" s="42">
        <v>55</v>
      </c>
      <c r="I219" s="44">
        <v>44805</v>
      </c>
      <c r="J219" s="43" t="s">
        <v>54</v>
      </c>
      <c r="K219" s="49">
        <v>14445</v>
      </c>
      <c r="L219" s="42"/>
      <c r="M219" s="51">
        <f>VLOOKUP(A219,'[1]ناتج ملف Excel'!$A:$AV,46,0)</f>
        <v>100</v>
      </c>
      <c r="N219" s="51">
        <f>VLOOKUP(A219,'[1]ناتج ملف Excel'!$A:$AV,47,0)</f>
        <v>3611.25</v>
      </c>
      <c r="O219" s="42"/>
      <c r="P219" s="47">
        <v>0</v>
      </c>
      <c r="Q219" s="48"/>
      <c r="R219" s="48">
        <v>0</v>
      </c>
      <c r="S219" s="72"/>
      <c r="T219" s="47">
        <v>3080</v>
      </c>
      <c r="U219" s="48">
        <f t="shared" si="36"/>
        <v>773.17708333333337</v>
      </c>
      <c r="V219" s="47">
        <v>700</v>
      </c>
      <c r="W219" s="42">
        <v>750</v>
      </c>
      <c r="X219" s="42">
        <v>0</v>
      </c>
      <c r="Y219" s="42">
        <v>0</v>
      </c>
      <c r="Z219" s="42">
        <v>0</v>
      </c>
      <c r="AA219" s="4">
        <f t="shared" si="38"/>
        <v>7564.4270833333339</v>
      </c>
      <c r="AB219" s="4">
        <f t="shared" si="37"/>
        <v>90773.125</v>
      </c>
      <c r="AC219" s="4">
        <f t="shared" si="39"/>
        <v>281513.125</v>
      </c>
    </row>
    <row r="220" spans="1:29" x14ac:dyDescent="0.2">
      <c r="A220" s="42">
        <v>400174</v>
      </c>
      <c r="B220" s="43" t="s">
        <v>266</v>
      </c>
      <c r="C220" s="42" t="s">
        <v>300</v>
      </c>
      <c r="D220" s="43" t="s">
        <v>33</v>
      </c>
      <c r="E220" s="43"/>
      <c r="F220" s="42" t="s">
        <v>81</v>
      </c>
      <c r="G220" s="43" t="s">
        <v>41</v>
      </c>
      <c r="H220" s="42">
        <v>47</v>
      </c>
      <c r="I220" s="44">
        <v>44805</v>
      </c>
      <c r="J220" s="43" t="s">
        <v>54</v>
      </c>
      <c r="K220" s="49">
        <v>14445</v>
      </c>
      <c r="L220" s="42"/>
      <c r="M220" s="51">
        <f>VLOOKUP(A220,'[1]ناتج ملف Excel'!$A:$AV,46,0)</f>
        <v>100</v>
      </c>
      <c r="N220" s="51">
        <f>VLOOKUP(A220,'[1]ناتج ملف Excel'!$A:$AV,47,0)</f>
        <v>3611.25</v>
      </c>
      <c r="O220" s="42"/>
      <c r="P220" s="47">
        <v>0</v>
      </c>
      <c r="Q220" s="48"/>
      <c r="R220" s="48">
        <v>0</v>
      </c>
      <c r="S220" s="72"/>
      <c r="T220" s="47">
        <v>3080</v>
      </c>
      <c r="U220" s="48">
        <f t="shared" si="36"/>
        <v>773.17708333333337</v>
      </c>
      <c r="V220" s="47">
        <v>700</v>
      </c>
      <c r="W220" s="42">
        <v>0</v>
      </c>
      <c r="X220" s="42">
        <v>0</v>
      </c>
      <c r="Y220" s="42">
        <v>0</v>
      </c>
      <c r="Z220" s="42">
        <v>0</v>
      </c>
      <c r="AA220" s="4">
        <f t="shared" si="38"/>
        <v>7564.4270833333339</v>
      </c>
      <c r="AB220" s="4">
        <f t="shared" si="37"/>
        <v>90773.125</v>
      </c>
      <c r="AC220" s="4">
        <f t="shared" si="39"/>
        <v>272513.125</v>
      </c>
    </row>
    <row r="221" spans="1:29" x14ac:dyDescent="0.2">
      <c r="A221" s="42">
        <v>400177</v>
      </c>
      <c r="B221" s="43">
        <v>4</v>
      </c>
      <c r="C221" s="42" t="s">
        <v>300</v>
      </c>
      <c r="D221" s="43" t="s">
        <v>33</v>
      </c>
      <c r="E221" s="43"/>
      <c r="F221" s="42" t="s">
        <v>75</v>
      </c>
      <c r="G221" s="43" t="s">
        <v>41</v>
      </c>
      <c r="H221" s="42">
        <v>47</v>
      </c>
      <c r="I221" s="44">
        <v>44805</v>
      </c>
      <c r="J221" s="43" t="s">
        <v>54</v>
      </c>
      <c r="K221" s="49">
        <v>16905</v>
      </c>
      <c r="L221" s="42"/>
      <c r="M221" s="51">
        <f>VLOOKUP(A221,'[1]ناتج ملف Excel'!$A:$AV,46,0)</f>
        <v>990.5</v>
      </c>
      <c r="N221" s="51">
        <f>VLOOKUP(A221,'[1]ناتج ملف Excel'!$A:$AV,47,0)</f>
        <v>4226.25</v>
      </c>
      <c r="O221" s="42"/>
      <c r="P221" s="47">
        <v>0</v>
      </c>
      <c r="Q221" s="48"/>
      <c r="R221" s="48">
        <v>0</v>
      </c>
      <c r="S221" s="72"/>
      <c r="T221" s="47">
        <v>3080</v>
      </c>
      <c r="U221" s="48">
        <f t="shared" si="36"/>
        <v>1086.8229166666667</v>
      </c>
      <c r="V221" s="47">
        <v>700</v>
      </c>
      <c r="W221" s="42">
        <v>0</v>
      </c>
      <c r="X221" s="42">
        <v>0</v>
      </c>
      <c r="Y221" s="42">
        <v>0</v>
      </c>
      <c r="Z221" s="42">
        <v>0</v>
      </c>
      <c r="AA221" s="4">
        <f t="shared" si="38"/>
        <v>9383.5729166666679</v>
      </c>
      <c r="AB221" s="4">
        <f t="shared" si="37"/>
        <v>112602.87500000001</v>
      </c>
      <c r="AC221" s="4">
        <f t="shared" si="39"/>
        <v>323862.875</v>
      </c>
    </row>
    <row r="222" spans="1:29" x14ac:dyDescent="0.2">
      <c r="A222" s="42">
        <v>400180</v>
      </c>
      <c r="B222" s="43">
        <v>4</v>
      </c>
      <c r="C222" s="42" t="s">
        <v>300</v>
      </c>
      <c r="D222" s="43" t="s">
        <v>33</v>
      </c>
      <c r="E222" s="43"/>
      <c r="F222" s="42" t="s">
        <v>81</v>
      </c>
      <c r="G222" s="43" t="s">
        <v>41</v>
      </c>
      <c r="H222" s="42">
        <v>48</v>
      </c>
      <c r="I222" s="44">
        <v>44805</v>
      </c>
      <c r="J222" s="43" t="s">
        <v>54</v>
      </c>
      <c r="K222" s="49">
        <v>14445</v>
      </c>
      <c r="L222" s="42"/>
      <c r="M222" s="51">
        <f>VLOOKUP(A222,'[1]ناتج ملف Excel'!$A:$AV,46,0)</f>
        <v>744.5</v>
      </c>
      <c r="N222" s="51">
        <f>VLOOKUP(A222,'[1]ناتج ملف Excel'!$A:$AV,47,0)</f>
        <v>3611.25</v>
      </c>
      <c r="O222" s="42"/>
      <c r="P222" s="47">
        <v>0</v>
      </c>
      <c r="Q222" s="48"/>
      <c r="R222" s="48">
        <v>0</v>
      </c>
      <c r="S222" s="72"/>
      <c r="T222" s="47">
        <v>3080</v>
      </c>
      <c r="U222" s="48">
        <f t="shared" si="36"/>
        <v>907.44791666666663</v>
      </c>
      <c r="V222" s="47">
        <v>700</v>
      </c>
      <c r="W222" s="42">
        <v>750</v>
      </c>
      <c r="X222" s="42">
        <v>0</v>
      </c>
      <c r="Y222" s="42">
        <v>0</v>
      </c>
      <c r="Z222" s="42">
        <v>0</v>
      </c>
      <c r="AA222" s="4">
        <f t="shared" si="38"/>
        <v>8343.1979166666661</v>
      </c>
      <c r="AB222" s="4">
        <f t="shared" si="37"/>
        <v>100118.375</v>
      </c>
      <c r="AC222" s="4">
        <f t="shared" si="39"/>
        <v>290858.375</v>
      </c>
    </row>
    <row r="223" spans="1:29" x14ac:dyDescent="0.2">
      <c r="A223" s="42">
        <v>400181</v>
      </c>
      <c r="B223" s="43" t="s">
        <v>266</v>
      </c>
      <c r="C223" s="42" t="s">
        <v>300</v>
      </c>
      <c r="D223" s="43" t="s">
        <v>33</v>
      </c>
      <c r="E223" s="43"/>
      <c r="F223" s="42" t="s">
        <v>89</v>
      </c>
      <c r="G223" s="43" t="s">
        <v>41</v>
      </c>
      <c r="H223" s="42">
        <v>51</v>
      </c>
      <c r="I223" s="44">
        <v>44805</v>
      </c>
      <c r="J223" s="43" t="s">
        <v>54</v>
      </c>
      <c r="K223" s="49">
        <v>12575</v>
      </c>
      <c r="L223" s="42"/>
      <c r="M223" s="51">
        <f>VLOOKUP(A223,'[1]ناتج ملف Excel'!$A:$AV,46,0)</f>
        <v>100</v>
      </c>
      <c r="N223" s="51">
        <f>VLOOKUP(A223,'[1]ناتج ملف Excel'!$A:$AV,47,0)</f>
        <v>3143.75</v>
      </c>
      <c r="O223" s="42"/>
      <c r="P223" s="47">
        <v>0</v>
      </c>
      <c r="Q223" s="48"/>
      <c r="R223" s="48">
        <v>0</v>
      </c>
      <c r="S223" s="72"/>
      <c r="T223" s="47">
        <v>3080</v>
      </c>
      <c r="U223" s="48">
        <f t="shared" si="36"/>
        <v>675.78125</v>
      </c>
      <c r="V223" s="47">
        <v>700</v>
      </c>
      <c r="W223" s="42">
        <v>0</v>
      </c>
      <c r="X223" s="42">
        <v>0</v>
      </c>
      <c r="Y223" s="42">
        <v>0</v>
      </c>
      <c r="Z223" s="42">
        <v>0</v>
      </c>
      <c r="AA223" s="4">
        <f t="shared" si="38"/>
        <v>6999.53125</v>
      </c>
      <c r="AB223" s="4">
        <f t="shared" si="37"/>
        <v>83994.375</v>
      </c>
      <c r="AC223" s="4">
        <f t="shared" si="39"/>
        <v>243294.375</v>
      </c>
    </row>
    <row r="224" spans="1:29" x14ac:dyDescent="0.2">
      <c r="A224" s="42">
        <v>400182</v>
      </c>
      <c r="B224" s="43">
        <v>3</v>
      </c>
      <c r="C224" s="42" t="s">
        <v>300</v>
      </c>
      <c r="D224" s="43" t="s">
        <v>33</v>
      </c>
      <c r="E224" s="43"/>
      <c r="F224" s="42" t="s">
        <v>75</v>
      </c>
      <c r="G224" s="43" t="s">
        <v>41</v>
      </c>
      <c r="H224" s="42">
        <v>48</v>
      </c>
      <c r="I224" s="44">
        <v>44805</v>
      </c>
      <c r="J224" s="43" t="s">
        <v>54</v>
      </c>
      <c r="K224" s="49">
        <v>13820</v>
      </c>
      <c r="L224" s="42"/>
      <c r="M224" s="51">
        <f>VLOOKUP(A224,'[1]ناتج ملف Excel'!$A:$AV,46,0)</f>
        <v>682</v>
      </c>
      <c r="N224" s="51">
        <f>VLOOKUP(A224,'[1]ناتج ملف Excel'!$A:$AV,47,0)</f>
        <v>3455</v>
      </c>
      <c r="O224" s="42"/>
      <c r="P224" s="47">
        <v>0</v>
      </c>
      <c r="Q224" s="48"/>
      <c r="R224" s="48">
        <v>0</v>
      </c>
      <c r="S224" s="72"/>
      <c r="T224" s="47">
        <v>3080</v>
      </c>
      <c r="U224" s="48">
        <f t="shared" si="36"/>
        <v>861.875</v>
      </c>
      <c r="V224" s="47">
        <v>700</v>
      </c>
      <c r="W224" s="42">
        <v>0</v>
      </c>
      <c r="X224" s="42">
        <v>0</v>
      </c>
      <c r="Y224" s="42">
        <v>0</v>
      </c>
      <c r="Z224" s="42">
        <v>0</v>
      </c>
      <c r="AA224" s="4">
        <f t="shared" si="38"/>
        <v>8078.875</v>
      </c>
      <c r="AB224" s="4">
        <f t="shared" si="37"/>
        <v>96946.5</v>
      </c>
      <c r="AC224" s="4">
        <f t="shared" si="39"/>
        <v>271186.5</v>
      </c>
    </row>
    <row r="225" spans="1:29" x14ac:dyDescent="0.2">
      <c r="A225" s="42">
        <v>400183</v>
      </c>
      <c r="B225" s="43">
        <v>3</v>
      </c>
      <c r="C225" s="42" t="s">
        <v>300</v>
      </c>
      <c r="D225" s="43" t="s">
        <v>33</v>
      </c>
      <c r="E225" s="43"/>
      <c r="F225" s="42" t="s">
        <v>75</v>
      </c>
      <c r="G225" s="43" t="s">
        <v>41</v>
      </c>
      <c r="H225" s="42">
        <v>37</v>
      </c>
      <c r="I225" s="44">
        <v>44805</v>
      </c>
      <c r="J225" s="43" t="s">
        <v>54</v>
      </c>
      <c r="K225" s="49">
        <v>14445</v>
      </c>
      <c r="L225" s="42"/>
      <c r="M225" s="51">
        <f>VLOOKUP(A225,'[1]ناتج ملف Excel'!$A:$AV,46,0)</f>
        <v>744.5</v>
      </c>
      <c r="N225" s="51">
        <f>VLOOKUP(A225,'[1]ناتج ملف Excel'!$A:$AV,47,0)</f>
        <v>3611.25</v>
      </c>
      <c r="O225" s="42"/>
      <c r="P225" s="47">
        <v>0</v>
      </c>
      <c r="Q225" s="48"/>
      <c r="R225" s="48">
        <v>0</v>
      </c>
      <c r="S225" s="72"/>
      <c r="T225" s="47">
        <v>3080</v>
      </c>
      <c r="U225" s="48">
        <f t="shared" si="36"/>
        <v>907.44791666666663</v>
      </c>
      <c r="V225" s="47">
        <v>700</v>
      </c>
      <c r="W225" s="42">
        <v>0</v>
      </c>
      <c r="X225" s="42">
        <v>2445.625</v>
      </c>
      <c r="Y225" s="42">
        <v>0</v>
      </c>
      <c r="Z225" s="42">
        <v>0</v>
      </c>
      <c r="AA225" s="4">
        <f t="shared" si="38"/>
        <v>8343.1979166666661</v>
      </c>
      <c r="AB225" s="4">
        <f t="shared" si="37"/>
        <v>100118.375</v>
      </c>
      <c r="AC225" s="4">
        <f t="shared" si="39"/>
        <v>311205.875</v>
      </c>
    </row>
    <row r="226" spans="1:29" x14ac:dyDescent="0.2">
      <c r="A226" s="42">
        <v>400185</v>
      </c>
      <c r="B226" s="43" t="s">
        <v>267</v>
      </c>
      <c r="C226" s="42" t="s">
        <v>300</v>
      </c>
      <c r="D226" s="43" t="s">
        <v>33</v>
      </c>
      <c r="E226" s="43"/>
      <c r="F226" s="42" t="s">
        <v>80</v>
      </c>
      <c r="G226" s="43" t="s">
        <v>41</v>
      </c>
      <c r="H226" s="42">
        <v>47</v>
      </c>
      <c r="I226" s="44">
        <v>44805</v>
      </c>
      <c r="J226" s="43" t="s">
        <v>54</v>
      </c>
      <c r="K226" s="49">
        <v>11390</v>
      </c>
      <c r="L226" s="42"/>
      <c r="M226" s="51">
        <f>VLOOKUP(A226,'[1]ناتج ملف Excel'!$A:$AV,46,0)</f>
        <v>100</v>
      </c>
      <c r="N226" s="51">
        <f>VLOOKUP(A226,'[1]ناتج ملف Excel'!$A:$AV,47,0)</f>
        <v>2847.5</v>
      </c>
      <c r="O226" s="42"/>
      <c r="P226" s="47">
        <v>0</v>
      </c>
      <c r="Q226" s="48"/>
      <c r="R226" s="48">
        <v>0</v>
      </c>
      <c r="S226" s="72"/>
      <c r="T226" s="47">
        <v>3080</v>
      </c>
      <c r="U226" s="48">
        <f t="shared" si="36"/>
        <v>614.0625</v>
      </c>
      <c r="V226" s="47">
        <v>700</v>
      </c>
      <c r="W226" s="42">
        <v>0</v>
      </c>
      <c r="X226" s="42">
        <v>0</v>
      </c>
      <c r="Y226" s="42">
        <v>0</v>
      </c>
      <c r="Z226" s="42">
        <v>0</v>
      </c>
      <c r="AA226" s="4">
        <f t="shared" si="38"/>
        <v>6641.5625</v>
      </c>
      <c r="AB226" s="4">
        <f t="shared" si="37"/>
        <v>79698.75</v>
      </c>
      <c r="AC226" s="4">
        <f t="shared" si="39"/>
        <v>224778.75</v>
      </c>
    </row>
    <row r="227" spans="1:29" x14ac:dyDescent="0.2">
      <c r="A227" s="42">
        <v>400186</v>
      </c>
      <c r="B227" s="43">
        <v>4</v>
      </c>
      <c r="C227" s="42" t="s">
        <v>32</v>
      </c>
      <c r="D227" s="43" t="s">
        <v>33</v>
      </c>
      <c r="E227" s="43"/>
      <c r="F227" s="42" t="s">
        <v>21</v>
      </c>
      <c r="G227" s="43" t="s">
        <v>21</v>
      </c>
      <c r="H227" s="42">
        <v>40</v>
      </c>
      <c r="I227" s="44">
        <v>44805</v>
      </c>
      <c r="J227" s="43" t="s">
        <v>54</v>
      </c>
      <c r="K227" s="49">
        <v>13505</v>
      </c>
      <c r="L227" s="42"/>
      <c r="M227" s="51">
        <f>VLOOKUP(A227,'[1]ناتج ملف Excel'!$A:$AV,46,0)</f>
        <v>650.5</v>
      </c>
      <c r="N227" s="51">
        <f>VLOOKUP(A227,'[1]ناتج ملف Excel'!$A:$AV,47,0)</f>
        <v>3376.25</v>
      </c>
      <c r="O227" s="42"/>
      <c r="P227" s="47">
        <v>0</v>
      </c>
      <c r="Q227" s="48"/>
      <c r="R227" s="48">
        <v>0</v>
      </c>
      <c r="S227" s="72"/>
      <c r="T227" s="47">
        <v>3080</v>
      </c>
      <c r="U227" s="48">
        <f t="shared" si="36"/>
        <v>838.90625</v>
      </c>
      <c r="V227" s="47">
        <v>700</v>
      </c>
      <c r="W227" s="42">
        <v>750</v>
      </c>
      <c r="X227" s="42">
        <v>2281.125</v>
      </c>
      <c r="Y227" s="42">
        <v>0</v>
      </c>
      <c r="Z227" s="42">
        <v>0</v>
      </c>
      <c r="AA227" s="4">
        <f t="shared" si="38"/>
        <v>7945.65625</v>
      </c>
      <c r="AB227" s="4">
        <f t="shared" si="37"/>
        <v>95347.875</v>
      </c>
      <c r="AC227" s="4">
        <f t="shared" si="39"/>
        <v>302181.375</v>
      </c>
    </row>
    <row r="228" spans="1:29" x14ac:dyDescent="0.2">
      <c r="A228" s="42">
        <v>400187</v>
      </c>
      <c r="B228" s="43" t="s">
        <v>267</v>
      </c>
      <c r="C228" s="42" t="s">
        <v>300</v>
      </c>
      <c r="D228" s="43" t="s">
        <v>33</v>
      </c>
      <c r="E228" s="43"/>
      <c r="F228" s="42" t="s">
        <v>75</v>
      </c>
      <c r="G228" s="43" t="s">
        <v>41</v>
      </c>
      <c r="H228" s="42">
        <v>43</v>
      </c>
      <c r="I228" s="44">
        <v>44805</v>
      </c>
      <c r="J228" s="43" t="s">
        <v>54</v>
      </c>
      <c r="K228" s="49">
        <v>12565</v>
      </c>
      <c r="L228" s="42"/>
      <c r="M228" s="51">
        <f>VLOOKUP(A228,'[1]ناتج ملف Excel'!$A:$AV,46,0)</f>
        <v>100</v>
      </c>
      <c r="N228" s="51">
        <f>VLOOKUP(A228,'[1]ناتج ملف Excel'!$A:$AV,47,0)</f>
        <v>3141.25</v>
      </c>
      <c r="O228" s="42"/>
      <c r="P228" s="47">
        <v>0</v>
      </c>
      <c r="Q228" s="48"/>
      <c r="R228" s="48">
        <v>0</v>
      </c>
      <c r="S228" s="72"/>
      <c r="T228" s="47">
        <v>3080</v>
      </c>
      <c r="U228" s="48">
        <f t="shared" si="36"/>
        <v>675.26041666666663</v>
      </c>
      <c r="V228" s="47">
        <v>700</v>
      </c>
      <c r="W228" s="42">
        <v>0</v>
      </c>
      <c r="X228" s="42">
        <v>0</v>
      </c>
      <c r="Y228" s="42">
        <v>0</v>
      </c>
      <c r="Z228" s="42">
        <v>0</v>
      </c>
      <c r="AA228" s="4">
        <f t="shared" si="38"/>
        <v>6996.5104166666661</v>
      </c>
      <c r="AB228" s="4">
        <f t="shared" si="37"/>
        <v>83958.125</v>
      </c>
      <c r="AC228" s="4">
        <f t="shared" si="39"/>
        <v>243138.125</v>
      </c>
    </row>
    <row r="229" spans="1:29" x14ac:dyDescent="0.2">
      <c r="A229" s="42">
        <v>400188</v>
      </c>
      <c r="B229" s="43">
        <v>3</v>
      </c>
      <c r="C229" s="42" t="s">
        <v>300</v>
      </c>
      <c r="D229" s="43" t="s">
        <v>33</v>
      </c>
      <c r="E229" s="43"/>
      <c r="F229" s="42" t="s">
        <v>90</v>
      </c>
      <c r="G229" s="43" t="s">
        <v>41</v>
      </c>
      <c r="H229" s="42">
        <v>41</v>
      </c>
      <c r="I229" s="44">
        <v>44805</v>
      </c>
      <c r="J229" s="43" t="s">
        <v>54</v>
      </c>
      <c r="K229" s="49">
        <v>13975</v>
      </c>
      <c r="L229" s="42"/>
      <c r="M229" s="51">
        <f>VLOOKUP(A229,'[1]ناتج ملف Excel'!$A:$AV,46,0)</f>
        <v>697.5</v>
      </c>
      <c r="N229" s="51">
        <f>VLOOKUP(A229,'[1]ناتج ملف Excel'!$A:$AV,47,0)</f>
        <v>3493.75</v>
      </c>
      <c r="O229" s="42"/>
      <c r="P229" s="47">
        <v>0</v>
      </c>
      <c r="Q229" s="48"/>
      <c r="R229" s="48">
        <v>0</v>
      </c>
      <c r="S229" s="72"/>
      <c r="T229" s="47">
        <v>3080</v>
      </c>
      <c r="U229" s="48">
        <f t="shared" si="36"/>
        <v>873.17708333333337</v>
      </c>
      <c r="V229" s="47">
        <v>700</v>
      </c>
      <c r="W229" s="42">
        <v>0</v>
      </c>
      <c r="X229" s="42">
        <v>0</v>
      </c>
      <c r="Y229" s="42">
        <v>0</v>
      </c>
      <c r="Z229" s="42">
        <v>0</v>
      </c>
      <c r="AA229" s="4">
        <f t="shared" si="38"/>
        <v>8144.4270833333339</v>
      </c>
      <c r="AB229" s="4">
        <f t="shared" si="37"/>
        <v>97733.125</v>
      </c>
      <c r="AC229" s="4">
        <f t="shared" si="39"/>
        <v>273833.125</v>
      </c>
    </row>
    <row r="230" spans="1:29" x14ac:dyDescent="0.2">
      <c r="A230" s="42">
        <v>400189</v>
      </c>
      <c r="B230" s="43">
        <v>3</v>
      </c>
      <c r="C230" s="42" t="s">
        <v>300</v>
      </c>
      <c r="D230" s="43" t="s">
        <v>33</v>
      </c>
      <c r="E230" s="43"/>
      <c r="F230" s="42" t="s">
        <v>89</v>
      </c>
      <c r="G230" s="43" t="s">
        <v>41</v>
      </c>
      <c r="H230" s="42">
        <v>36</v>
      </c>
      <c r="I230" s="44">
        <v>44805</v>
      </c>
      <c r="J230" s="43" t="s">
        <v>54</v>
      </c>
      <c r="K230" s="49">
        <v>13505</v>
      </c>
      <c r="L230" s="42"/>
      <c r="M230" s="51">
        <f>VLOOKUP(A230,'[1]ناتج ملف Excel'!$A:$AV,46,0)</f>
        <v>650.5</v>
      </c>
      <c r="N230" s="51">
        <f>VLOOKUP(A230,'[1]ناتج ملف Excel'!$A:$AV,47,0)</f>
        <v>3376.25</v>
      </c>
      <c r="O230" s="42"/>
      <c r="P230" s="47">
        <v>0</v>
      </c>
      <c r="Q230" s="48"/>
      <c r="R230" s="48">
        <v>0</v>
      </c>
      <c r="S230" s="72"/>
      <c r="T230" s="47">
        <v>3080</v>
      </c>
      <c r="U230" s="48">
        <f t="shared" si="36"/>
        <v>838.90625</v>
      </c>
      <c r="V230" s="47">
        <v>700</v>
      </c>
      <c r="W230" s="42">
        <v>750</v>
      </c>
      <c r="X230" s="42">
        <v>2281.125</v>
      </c>
      <c r="Y230" s="42">
        <v>0</v>
      </c>
      <c r="Z230" s="42">
        <v>0</v>
      </c>
      <c r="AA230" s="4">
        <f t="shared" si="38"/>
        <v>7945.65625</v>
      </c>
      <c r="AB230" s="4">
        <f t="shared" si="37"/>
        <v>95347.875</v>
      </c>
      <c r="AC230" s="4">
        <f t="shared" si="39"/>
        <v>302181.375</v>
      </c>
    </row>
    <row r="231" spans="1:29" x14ac:dyDescent="0.2">
      <c r="A231" s="42">
        <v>400190</v>
      </c>
      <c r="B231" s="43" t="s">
        <v>267</v>
      </c>
      <c r="C231" s="42" t="s">
        <v>300</v>
      </c>
      <c r="D231" s="43" t="s">
        <v>33</v>
      </c>
      <c r="E231" s="43"/>
      <c r="F231" s="42" t="s">
        <v>81</v>
      </c>
      <c r="G231" s="43" t="s">
        <v>41</v>
      </c>
      <c r="H231" s="42">
        <v>38</v>
      </c>
      <c r="I231" s="44">
        <v>44805</v>
      </c>
      <c r="J231" s="43" t="s">
        <v>54</v>
      </c>
      <c r="K231" s="49">
        <v>11330</v>
      </c>
      <c r="L231" s="42"/>
      <c r="M231" s="51">
        <f>VLOOKUP(A231,'[1]ناتج ملف Excel'!$A:$AV,46,0)</f>
        <v>100</v>
      </c>
      <c r="N231" s="51">
        <f>VLOOKUP(A231,'[1]ناتج ملف Excel'!$A:$AV,47,0)</f>
        <v>2832.5</v>
      </c>
      <c r="O231" s="42"/>
      <c r="P231" s="47">
        <v>0</v>
      </c>
      <c r="Q231" s="48"/>
      <c r="R231" s="48">
        <v>0</v>
      </c>
      <c r="S231" s="72"/>
      <c r="T231" s="47">
        <v>3080</v>
      </c>
      <c r="U231" s="48">
        <f t="shared" si="36"/>
        <v>610.9375</v>
      </c>
      <c r="V231" s="47">
        <v>700</v>
      </c>
      <c r="W231" s="42">
        <v>0</v>
      </c>
      <c r="X231" s="42">
        <v>0</v>
      </c>
      <c r="Y231" s="42">
        <v>0</v>
      </c>
      <c r="Z231" s="42">
        <v>0</v>
      </c>
      <c r="AA231" s="4">
        <f t="shared" si="38"/>
        <v>6623.4375</v>
      </c>
      <c r="AB231" s="4">
        <f t="shared" si="37"/>
        <v>79481.25</v>
      </c>
      <c r="AC231" s="4">
        <f t="shared" si="39"/>
        <v>223841.25</v>
      </c>
    </row>
    <row r="232" spans="1:29" x14ac:dyDescent="0.2">
      <c r="A232" s="42">
        <v>400191</v>
      </c>
      <c r="B232" s="43" t="s">
        <v>267</v>
      </c>
      <c r="C232" s="42" t="s">
        <v>32</v>
      </c>
      <c r="D232" s="43" t="s">
        <v>33</v>
      </c>
      <c r="E232" s="43"/>
      <c r="F232" s="43" t="s">
        <v>21</v>
      </c>
      <c r="G232" s="43" t="s">
        <v>21</v>
      </c>
      <c r="H232" s="42">
        <v>40</v>
      </c>
      <c r="I232" s="44">
        <v>44805</v>
      </c>
      <c r="J232" s="43" t="s">
        <v>54</v>
      </c>
      <c r="K232" s="49">
        <v>11330</v>
      </c>
      <c r="L232" s="42"/>
      <c r="M232" s="51">
        <f>VLOOKUP(A232,'[1]ناتج ملف Excel'!$A:$AV,46,0)</f>
        <v>100</v>
      </c>
      <c r="N232" s="51">
        <f>VLOOKUP(A232,'[1]ناتج ملف Excel'!$A:$AV,47,0)</f>
        <v>2832.5</v>
      </c>
      <c r="O232" s="42"/>
      <c r="P232" s="47">
        <v>0</v>
      </c>
      <c r="Q232" s="48"/>
      <c r="R232" s="48">
        <v>0</v>
      </c>
      <c r="S232" s="72"/>
      <c r="T232" s="47">
        <v>3080</v>
      </c>
      <c r="U232" s="48">
        <f t="shared" si="36"/>
        <v>610.9375</v>
      </c>
      <c r="V232" s="47">
        <v>700</v>
      </c>
      <c r="W232" s="42">
        <v>0</v>
      </c>
      <c r="X232" s="42">
        <v>0</v>
      </c>
      <c r="Y232" s="42">
        <v>0</v>
      </c>
      <c r="Z232" s="42">
        <v>0</v>
      </c>
      <c r="AA232" s="4">
        <f t="shared" si="38"/>
        <v>6623.4375</v>
      </c>
      <c r="AB232" s="4">
        <f t="shared" si="37"/>
        <v>79481.25</v>
      </c>
      <c r="AC232" s="4">
        <f t="shared" si="39"/>
        <v>223841.25</v>
      </c>
    </row>
    <row r="233" spans="1:29" x14ac:dyDescent="0.2">
      <c r="A233" s="42">
        <v>400193</v>
      </c>
      <c r="B233" s="43">
        <v>3</v>
      </c>
      <c r="C233" s="42" t="s">
        <v>300</v>
      </c>
      <c r="D233" s="43" t="s">
        <v>33</v>
      </c>
      <c r="E233" s="43"/>
      <c r="F233" s="42" t="s">
        <v>86</v>
      </c>
      <c r="G233" s="43" t="s">
        <v>41</v>
      </c>
      <c r="H233" s="42">
        <v>37</v>
      </c>
      <c r="I233" s="44">
        <v>44805</v>
      </c>
      <c r="J233" s="43" t="s">
        <v>54</v>
      </c>
      <c r="K233" s="49">
        <v>13035</v>
      </c>
      <c r="L233" s="42"/>
      <c r="M233" s="51">
        <f>VLOOKUP(A233,'[1]ناتج ملف Excel'!$A:$AV,46,0)</f>
        <v>603.5</v>
      </c>
      <c r="N233" s="51">
        <f>VLOOKUP(A233,'[1]ناتج ملف Excel'!$A:$AV,47,0)</f>
        <v>3258.75</v>
      </c>
      <c r="O233" s="42"/>
      <c r="P233" s="47">
        <v>0</v>
      </c>
      <c r="Q233" s="48"/>
      <c r="R233" s="48">
        <v>0</v>
      </c>
      <c r="S233" s="72"/>
      <c r="T233" s="47">
        <v>3080</v>
      </c>
      <c r="U233" s="48">
        <f t="shared" si="36"/>
        <v>804.63541666666663</v>
      </c>
      <c r="V233" s="47">
        <v>700</v>
      </c>
      <c r="W233" s="42">
        <v>0</v>
      </c>
      <c r="X233" s="42">
        <v>2198.875</v>
      </c>
      <c r="Y233" s="42">
        <v>0</v>
      </c>
      <c r="Z233" s="42">
        <v>0</v>
      </c>
      <c r="AA233" s="4">
        <f t="shared" si="38"/>
        <v>7746.8854166666661</v>
      </c>
      <c r="AB233" s="4">
        <f t="shared" si="37"/>
        <v>92962.625</v>
      </c>
      <c r="AC233" s="4">
        <f t="shared" si="39"/>
        <v>284169.125</v>
      </c>
    </row>
    <row r="234" spans="1:29" x14ac:dyDescent="0.2">
      <c r="A234" s="42">
        <v>400198</v>
      </c>
      <c r="B234" s="43" t="s">
        <v>267</v>
      </c>
      <c r="C234" s="42" t="s">
        <v>300</v>
      </c>
      <c r="D234" s="43" t="s">
        <v>33</v>
      </c>
      <c r="E234" s="43"/>
      <c r="F234" s="42" t="s">
        <v>77</v>
      </c>
      <c r="G234" s="43" t="s">
        <v>41</v>
      </c>
      <c r="H234" s="42">
        <v>43</v>
      </c>
      <c r="I234" s="44">
        <v>44805</v>
      </c>
      <c r="J234" s="43" t="s">
        <v>54</v>
      </c>
      <c r="K234" s="49">
        <v>10295</v>
      </c>
      <c r="L234" s="42"/>
      <c r="M234" s="51">
        <f>VLOOKUP(A234,'[1]ناتج ملف Excel'!$A:$AV,46,0)</f>
        <v>100</v>
      </c>
      <c r="N234" s="51">
        <f>VLOOKUP(A234,'[1]ناتج ملف Excel'!$A:$AV,47,0)</f>
        <v>2573.75</v>
      </c>
      <c r="O234" s="42"/>
      <c r="P234" s="47">
        <v>0</v>
      </c>
      <c r="Q234" s="48"/>
      <c r="R234" s="48">
        <v>0</v>
      </c>
      <c r="S234" s="72"/>
      <c r="T234" s="47">
        <v>3080</v>
      </c>
      <c r="U234" s="48">
        <f t="shared" si="36"/>
        <v>557.03125</v>
      </c>
      <c r="V234" s="47">
        <v>700</v>
      </c>
      <c r="W234" s="42">
        <v>0</v>
      </c>
      <c r="X234" s="42">
        <v>0</v>
      </c>
      <c r="Y234" s="42">
        <v>0</v>
      </c>
      <c r="Z234" s="42">
        <v>0</v>
      </c>
      <c r="AA234" s="4">
        <f t="shared" si="38"/>
        <v>6310.78125</v>
      </c>
      <c r="AB234" s="4">
        <f t="shared" si="37"/>
        <v>75729.375</v>
      </c>
      <c r="AC234" s="4">
        <f t="shared" si="39"/>
        <v>207669.375</v>
      </c>
    </row>
    <row r="235" spans="1:29" x14ac:dyDescent="0.2">
      <c r="A235" s="42">
        <v>400201</v>
      </c>
      <c r="B235" s="43" t="s">
        <v>267</v>
      </c>
      <c r="C235" s="42" t="s">
        <v>300</v>
      </c>
      <c r="D235" s="43" t="s">
        <v>33</v>
      </c>
      <c r="E235" s="43"/>
      <c r="F235" s="42" t="s">
        <v>90</v>
      </c>
      <c r="G235" s="43" t="s">
        <v>41</v>
      </c>
      <c r="H235" s="42">
        <v>34</v>
      </c>
      <c r="I235" s="44">
        <v>44805</v>
      </c>
      <c r="J235" s="43" t="s">
        <v>54</v>
      </c>
      <c r="K235" s="46">
        <v>9565</v>
      </c>
      <c r="L235" s="42"/>
      <c r="M235" s="51">
        <f>VLOOKUP(A235,'[1]ناتج ملف Excel'!$A:$AV,46,0)</f>
        <v>100</v>
      </c>
      <c r="N235" s="51">
        <f>VLOOKUP(A235,'[1]ناتج ملف Excel'!$A:$AV,47,0)</f>
        <v>2391.25</v>
      </c>
      <c r="O235" s="42"/>
      <c r="P235" s="47">
        <v>0</v>
      </c>
      <c r="Q235" s="48"/>
      <c r="R235" s="48">
        <v>0</v>
      </c>
      <c r="S235" s="72"/>
      <c r="T235" s="47">
        <v>3080</v>
      </c>
      <c r="U235" s="48">
        <f t="shared" si="36"/>
        <v>519.01041666666663</v>
      </c>
      <c r="V235" s="47">
        <v>700</v>
      </c>
      <c r="W235" s="42">
        <v>0</v>
      </c>
      <c r="X235" s="42">
        <v>0</v>
      </c>
      <c r="Y235" s="42">
        <v>0</v>
      </c>
      <c r="Z235" s="42">
        <v>0</v>
      </c>
      <c r="AA235" s="4">
        <f t="shared" si="38"/>
        <v>6090.2604166666661</v>
      </c>
      <c r="AB235" s="4">
        <f t="shared" si="37"/>
        <v>73083.125</v>
      </c>
      <c r="AC235" s="4">
        <f t="shared" si="39"/>
        <v>196263.125</v>
      </c>
    </row>
    <row r="236" spans="1:29" x14ac:dyDescent="0.2">
      <c r="A236" s="42">
        <v>400202</v>
      </c>
      <c r="B236" s="43" t="s">
        <v>267</v>
      </c>
      <c r="C236" s="42" t="s">
        <v>300</v>
      </c>
      <c r="D236" s="43" t="s">
        <v>33</v>
      </c>
      <c r="E236" s="43"/>
      <c r="F236" s="42" t="s">
        <v>78</v>
      </c>
      <c r="G236" s="43" t="s">
        <v>41</v>
      </c>
      <c r="H236" s="42">
        <v>38</v>
      </c>
      <c r="I236" s="44">
        <v>44805</v>
      </c>
      <c r="J236" s="43" t="s">
        <v>54</v>
      </c>
      <c r="K236" s="46">
        <v>9565</v>
      </c>
      <c r="L236" s="42"/>
      <c r="M236" s="51">
        <f>VLOOKUP(A236,'[1]ناتج ملف Excel'!$A:$AV,46,0)</f>
        <v>100</v>
      </c>
      <c r="N236" s="51">
        <f>VLOOKUP(A236,'[1]ناتج ملف Excel'!$A:$AV,47,0)</f>
        <v>2391.25</v>
      </c>
      <c r="O236" s="42"/>
      <c r="P236" s="47">
        <v>0</v>
      </c>
      <c r="Q236" s="48"/>
      <c r="R236" s="48">
        <v>0</v>
      </c>
      <c r="S236" s="72"/>
      <c r="T236" s="47">
        <v>3080</v>
      </c>
      <c r="U236" s="48">
        <f t="shared" si="36"/>
        <v>519.01041666666663</v>
      </c>
      <c r="V236" s="47">
        <v>700</v>
      </c>
      <c r="W236" s="42">
        <v>0</v>
      </c>
      <c r="X236" s="42">
        <v>0</v>
      </c>
      <c r="Y236" s="42">
        <v>0</v>
      </c>
      <c r="Z236" s="42">
        <v>0</v>
      </c>
      <c r="AA236" s="4">
        <f t="shared" si="38"/>
        <v>6090.2604166666661</v>
      </c>
      <c r="AB236" s="4">
        <f t="shared" si="37"/>
        <v>73083.125</v>
      </c>
      <c r="AC236" s="4">
        <f t="shared" si="39"/>
        <v>196263.125</v>
      </c>
    </row>
    <row r="237" spans="1:29" x14ac:dyDescent="0.2">
      <c r="A237" s="42">
        <v>400203</v>
      </c>
      <c r="B237" s="43" t="s">
        <v>267</v>
      </c>
      <c r="C237" s="42" t="s">
        <v>300</v>
      </c>
      <c r="D237" s="43" t="s">
        <v>33</v>
      </c>
      <c r="E237" s="43"/>
      <c r="F237" s="42" t="s">
        <v>79</v>
      </c>
      <c r="G237" s="43" t="s">
        <v>41</v>
      </c>
      <c r="H237" s="42">
        <v>36</v>
      </c>
      <c r="I237" s="44">
        <v>44805</v>
      </c>
      <c r="J237" s="43" t="s">
        <v>54</v>
      </c>
      <c r="K237" s="46">
        <v>7285</v>
      </c>
      <c r="L237" s="42"/>
      <c r="M237" s="51">
        <f>VLOOKUP(A237,'[1]ناتج ملف Excel'!$A:$AV,46,0)</f>
        <v>28.5</v>
      </c>
      <c r="N237" s="51">
        <f>VLOOKUP(A237,'[1]ناتج ملف Excel'!$A:$AV,47,0)</f>
        <v>1821.25</v>
      </c>
      <c r="O237" s="42"/>
      <c r="P237" s="47">
        <v>0</v>
      </c>
      <c r="Q237" s="48"/>
      <c r="R237" s="48">
        <v>0</v>
      </c>
      <c r="S237" s="72"/>
      <c r="T237" s="47">
        <v>3080</v>
      </c>
      <c r="U237" s="48">
        <f t="shared" si="36"/>
        <v>385.36458333333331</v>
      </c>
      <c r="V237" s="47">
        <v>700</v>
      </c>
      <c r="W237" s="42">
        <v>750</v>
      </c>
      <c r="X237" s="42">
        <v>0</v>
      </c>
      <c r="Y237" s="42">
        <v>0</v>
      </c>
      <c r="Z237" s="42">
        <v>0</v>
      </c>
      <c r="AA237" s="4">
        <f t="shared" si="38"/>
        <v>5315.1145833333339</v>
      </c>
      <c r="AB237" s="4">
        <f t="shared" si="37"/>
        <v>63781.375000000007</v>
      </c>
      <c r="AC237" s="4">
        <f t="shared" si="39"/>
        <v>168601.375</v>
      </c>
    </row>
    <row r="238" spans="1:29" x14ac:dyDescent="0.2">
      <c r="A238" s="42">
        <v>400204</v>
      </c>
      <c r="B238" s="43" t="s">
        <v>267</v>
      </c>
      <c r="C238" s="42" t="s">
        <v>300</v>
      </c>
      <c r="D238" s="43" t="s">
        <v>33</v>
      </c>
      <c r="E238" s="43"/>
      <c r="F238" s="42" t="s">
        <v>89</v>
      </c>
      <c r="G238" s="43" t="s">
        <v>41</v>
      </c>
      <c r="H238" s="42">
        <v>38</v>
      </c>
      <c r="I238" s="44">
        <v>44805</v>
      </c>
      <c r="J238" s="43" t="s">
        <v>54</v>
      </c>
      <c r="K238" s="46">
        <v>7285</v>
      </c>
      <c r="L238" s="42"/>
      <c r="M238" s="51">
        <f>VLOOKUP(A238,'[1]ناتج ملف Excel'!$A:$AV,46,0)</f>
        <v>28.5</v>
      </c>
      <c r="N238" s="51">
        <f>VLOOKUP(A238,'[1]ناتج ملف Excel'!$A:$AV,47,0)</f>
        <v>1821.25</v>
      </c>
      <c r="O238" s="42"/>
      <c r="P238" s="47">
        <v>0</v>
      </c>
      <c r="Q238" s="48"/>
      <c r="R238" s="48">
        <v>0</v>
      </c>
      <c r="S238" s="72"/>
      <c r="T238" s="47">
        <v>3080</v>
      </c>
      <c r="U238" s="48">
        <f t="shared" si="36"/>
        <v>385.36458333333331</v>
      </c>
      <c r="V238" s="47">
        <v>700</v>
      </c>
      <c r="W238" s="42">
        <v>750</v>
      </c>
      <c r="X238" s="42">
        <v>0</v>
      </c>
      <c r="Y238" s="42">
        <v>0</v>
      </c>
      <c r="Z238" s="42">
        <v>0</v>
      </c>
      <c r="AA238" s="4">
        <f t="shared" si="38"/>
        <v>5315.1145833333339</v>
      </c>
      <c r="AB238" s="4">
        <f t="shared" si="37"/>
        <v>63781.375000000007</v>
      </c>
      <c r="AC238" s="4">
        <f t="shared" si="39"/>
        <v>168601.375</v>
      </c>
    </row>
    <row r="239" spans="1:29" x14ac:dyDescent="0.2">
      <c r="A239" s="42">
        <v>400205</v>
      </c>
      <c r="B239" s="43" t="s">
        <v>267</v>
      </c>
      <c r="C239" s="42" t="s">
        <v>300</v>
      </c>
      <c r="D239" s="43" t="s">
        <v>33</v>
      </c>
      <c r="E239" s="43"/>
      <c r="F239" s="42" t="s">
        <v>77</v>
      </c>
      <c r="G239" s="43" t="s">
        <v>41</v>
      </c>
      <c r="H239" s="42">
        <v>29</v>
      </c>
      <c r="I239" s="44">
        <v>44805</v>
      </c>
      <c r="J239" s="43" t="s">
        <v>54</v>
      </c>
      <c r="K239" s="46">
        <v>7285</v>
      </c>
      <c r="L239" s="42"/>
      <c r="M239" s="51">
        <f>VLOOKUP(A239,'[1]ناتج ملف Excel'!$A:$AV,46,0)</f>
        <v>28.5</v>
      </c>
      <c r="N239" s="51">
        <f>VLOOKUP(A239,'[1]ناتج ملف Excel'!$A:$AV,47,0)</f>
        <v>1821.25</v>
      </c>
      <c r="O239" s="42"/>
      <c r="P239" s="47">
        <v>0</v>
      </c>
      <c r="Q239" s="48"/>
      <c r="R239" s="48">
        <v>0</v>
      </c>
      <c r="S239" s="72"/>
      <c r="T239" s="47">
        <v>3080</v>
      </c>
      <c r="U239" s="48">
        <f t="shared" si="36"/>
        <v>385.36458333333331</v>
      </c>
      <c r="V239" s="47">
        <v>700</v>
      </c>
      <c r="W239" s="42">
        <v>750</v>
      </c>
      <c r="X239" s="42">
        <v>0</v>
      </c>
      <c r="Y239" s="42">
        <v>0</v>
      </c>
      <c r="Z239" s="42">
        <v>0</v>
      </c>
      <c r="AA239" s="4">
        <f t="shared" si="38"/>
        <v>5315.1145833333339</v>
      </c>
      <c r="AB239" s="4">
        <f t="shared" si="37"/>
        <v>63781.375000000007</v>
      </c>
      <c r="AC239" s="4">
        <f t="shared" si="39"/>
        <v>168601.375</v>
      </c>
    </row>
    <row r="240" spans="1:29" x14ac:dyDescent="0.2">
      <c r="A240" s="42">
        <v>400206</v>
      </c>
      <c r="B240" s="43" t="s">
        <v>267</v>
      </c>
      <c r="C240" s="42" t="s">
        <v>277</v>
      </c>
      <c r="D240" s="43" t="s">
        <v>39</v>
      </c>
      <c r="E240" s="43" t="s">
        <v>40</v>
      </c>
      <c r="F240" s="42" t="s">
        <v>240</v>
      </c>
      <c r="G240" s="43" t="s">
        <v>41</v>
      </c>
      <c r="H240" s="42">
        <v>36</v>
      </c>
      <c r="I240" s="44">
        <v>44805</v>
      </c>
      <c r="J240" s="43" t="s">
        <v>54</v>
      </c>
      <c r="K240" s="46">
        <v>7285</v>
      </c>
      <c r="L240" s="42"/>
      <c r="M240" s="51">
        <f>VLOOKUP(A240,'[1]ناتج ملف Excel'!$A:$AV,46,0)</f>
        <v>28.5</v>
      </c>
      <c r="N240" s="51">
        <f>VLOOKUP(A240,'[1]ناتج ملف Excel'!$A:$AV,47,0)</f>
        <v>1821.25</v>
      </c>
      <c r="O240" s="42"/>
      <c r="P240" s="47">
        <v>0</v>
      </c>
      <c r="Q240" s="48"/>
      <c r="R240" s="48">
        <v>0</v>
      </c>
      <c r="S240" s="72"/>
      <c r="T240" s="47">
        <v>3080</v>
      </c>
      <c r="U240" s="48">
        <f t="shared" si="36"/>
        <v>385.36458333333331</v>
      </c>
      <c r="V240" s="47">
        <v>700</v>
      </c>
      <c r="W240" s="42">
        <v>750</v>
      </c>
      <c r="X240" s="42">
        <v>0</v>
      </c>
      <c r="Y240" s="46">
        <v>1457</v>
      </c>
      <c r="Z240" s="42">
        <v>0</v>
      </c>
      <c r="AA240" s="4">
        <f t="shared" si="38"/>
        <v>5315.1145833333339</v>
      </c>
      <c r="AB240" s="4">
        <f t="shared" si="37"/>
        <v>63781.375000000007</v>
      </c>
      <c r="AC240" s="4">
        <f t="shared" si="39"/>
        <v>168601.375</v>
      </c>
    </row>
    <row r="241" spans="1:29" x14ac:dyDescent="0.2">
      <c r="A241" s="42">
        <v>400216</v>
      </c>
      <c r="B241" s="43">
        <v>3</v>
      </c>
      <c r="C241" s="42" t="s">
        <v>300</v>
      </c>
      <c r="D241" s="43" t="s">
        <v>33</v>
      </c>
      <c r="E241" s="43"/>
      <c r="F241" s="42" t="s">
        <v>87</v>
      </c>
      <c r="G241" s="43" t="s">
        <v>41</v>
      </c>
      <c r="H241" s="42">
        <v>43</v>
      </c>
      <c r="I241" s="44">
        <v>44835</v>
      </c>
      <c r="J241" s="43" t="s">
        <v>54</v>
      </c>
      <c r="K241" s="49">
        <v>20150</v>
      </c>
      <c r="L241" s="42"/>
      <c r="M241" s="51">
        <f>VLOOKUP(A241,'[1]ناتج ملف Excel'!$A:$AV,46,0)</f>
        <v>800</v>
      </c>
      <c r="N241" s="51">
        <f>VLOOKUP(A241,'[1]ناتج ملف Excel'!$A:$AV,47,0)</f>
        <v>2537.5</v>
      </c>
      <c r="O241" s="42"/>
      <c r="P241" s="47">
        <v>0</v>
      </c>
      <c r="Q241" s="48"/>
      <c r="R241" s="48">
        <v>0</v>
      </c>
      <c r="S241" s="72"/>
      <c r="T241" s="47">
        <v>3080</v>
      </c>
      <c r="U241" s="48">
        <f t="shared" si="36"/>
        <v>695.3125</v>
      </c>
      <c r="V241" s="46">
        <v>1200</v>
      </c>
      <c r="W241" s="42">
        <v>0</v>
      </c>
      <c r="X241" s="42">
        <v>0</v>
      </c>
      <c r="Y241" s="42">
        <v>0</v>
      </c>
      <c r="Z241" s="42">
        <v>0</v>
      </c>
      <c r="AA241" s="4">
        <f t="shared" si="38"/>
        <v>7112.8125</v>
      </c>
      <c r="AB241" s="4">
        <f t="shared" si="37"/>
        <v>85353.75</v>
      </c>
      <c r="AC241" s="4">
        <f t="shared" si="39"/>
        <v>341553.75</v>
      </c>
    </row>
    <row r="242" spans="1:29" x14ac:dyDescent="0.2">
      <c r="A242" s="42">
        <v>400218</v>
      </c>
      <c r="B242" s="43">
        <v>3</v>
      </c>
      <c r="C242" s="42" t="s">
        <v>300</v>
      </c>
      <c r="D242" s="43" t="s">
        <v>33</v>
      </c>
      <c r="E242" s="43"/>
      <c r="F242" s="42" t="s">
        <v>89</v>
      </c>
      <c r="G242" s="43" t="s">
        <v>41</v>
      </c>
      <c r="H242" s="42">
        <v>33</v>
      </c>
      <c r="I242" s="44">
        <v>44835</v>
      </c>
      <c r="J242" s="43" t="s">
        <v>54</v>
      </c>
      <c r="K242" s="49">
        <v>10030</v>
      </c>
      <c r="L242" s="42"/>
      <c r="M242" s="51">
        <f>VLOOKUP(A242,'[1]ناتج ملف Excel'!$A:$AV,46,0)</f>
        <v>503</v>
      </c>
      <c r="N242" s="51">
        <f>VLOOKUP(A242,'[1]ناتج ملف Excel'!$A:$AV,47,0)</f>
        <v>2507.5</v>
      </c>
      <c r="O242" s="42"/>
      <c r="P242" s="47">
        <v>0</v>
      </c>
      <c r="Q242" s="48"/>
      <c r="R242" s="48">
        <v>0</v>
      </c>
      <c r="S242" s="72"/>
      <c r="T242" s="47">
        <v>3080</v>
      </c>
      <c r="U242" s="48">
        <f t="shared" si="36"/>
        <v>627.1875</v>
      </c>
      <c r="V242" s="47">
        <v>500</v>
      </c>
      <c r="W242" s="42">
        <v>0</v>
      </c>
      <c r="X242" s="42">
        <v>0</v>
      </c>
      <c r="Y242" s="42">
        <v>0</v>
      </c>
      <c r="Z242" s="42">
        <v>0</v>
      </c>
      <c r="AA242" s="4">
        <f t="shared" si="38"/>
        <v>6717.6875</v>
      </c>
      <c r="AB242" s="4">
        <f t="shared" si="37"/>
        <v>80612.25</v>
      </c>
      <c r="AC242" s="4">
        <f t="shared" si="39"/>
        <v>206972.25</v>
      </c>
    </row>
    <row r="243" spans="1:29" x14ac:dyDescent="0.2">
      <c r="A243" s="42">
        <v>400219</v>
      </c>
      <c r="B243" s="43">
        <v>3</v>
      </c>
      <c r="C243" s="42" t="s">
        <v>300</v>
      </c>
      <c r="D243" s="43" t="s">
        <v>33</v>
      </c>
      <c r="E243" s="43"/>
      <c r="F243" s="42" t="s">
        <v>80</v>
      </c>
      <c r="G243" s="43" t="s">
        <v>41</v>
      </c>
      <c r="H243" s="42">
        <v>36</v>
      </c>
      <c r="I243" s="44">
        <v>44835</v>
      </c>
      <c r="J243" s="43" t="s">
        <v>54</v>
      </c>
      <c r="K243" s="46">
        <v>9934</v>
      </c>
      <c r="L243" s="42"/>
      <c r="M243" s="51">
        <f>VLOOKUP(A243,'[1]ناتج ملف Excel'!$A:$AV,46,0)</f>
        <v>493.4</v>
      </c>
      <c r="N243" s="51">
        <f>VLOOKUP(A243,'[1]ناتج ملف Excel'!$A:$AV,47,0)</f>
        <v>2483.5</v>
      </c>
      <c r="O243" s="42"/>
      <c r="P243" s="47">
        <v>0</v>
      </c>
      <c r="Q243" s="48"/>
      <c r="R243" s="48">
        <v>0</v>
      </c>
      <c r="S243" s="72"/>
      <c r="T243" s="47">
        <v>3080</v>
      </c>
      <c r="U243" s="48">
        <f t="shared" si="36"/>
        <v>620.1875</v>
      </c>
      <c r="V243" s="47">
        <v>500</v>
      </c>
      <c r="W243" s="42">
        <v>0</v>
      </c>
      <c r="X243" s="42">
        <v>0</v>
      </c>
      <c r="Y243" s="42">
        <v>0</v>
      </c>
      <c r="Z243" s="42">
        <v>0</v>
      </c>
      <c r="AA243" s="4">
        <f t="shared" si="38"/>
        <v>6677.0874999999996</v>
      </c>
      <c r="AB243" s="4">
        <f t="shared" si="37"/>
        <v>80125.049999999988</v>
      </c>
      <c r="AC243" s="4">
        <f t="shared" si="39"/>
        <v>205333.05</v>
      </c>
    </row>
    <row r="244" spans="1:29" x14ac:dyDescent="0.2">
      <c r="A244" s="42">
        <v>400220</v>
      </c>
      <c r="B244" s="43">
        <v>3</v>
      </c>
      <c r="C244" s="42" t="s">
        <v>300</v>
      </c>
      <c r="D244" s="43" t="s">
        <v>33</v>
      </c>
      <c r="E244" s="43"/>
      <c r="F244" s="42" t="s">
        <v>77</v>
      </c>
      <c r="G244" s="43" t="s">
        <v>41</v>
      </c>
      <c r="H244" s="42">
        <v>34</v>
      </c>
      <c r="I244" s="44">
        <v>44835</v>
      </c>
      <c r="J244" s="43" t="s">
        <v>54</v>
      </c>
      <c r="K244" s="49">
        <v>10125</v>
      </c>
      <c r="L244" s="42"/>
      <c r="M244" s="51">
        <f>VLOOKUP(A244,'[1]ناتج ملف Excel'!$A:$AV,46,0)</f>
        <v>512.5</v>
      </c>
      <c r="N244" s="51">
        <f>VLOOKUP(A244,'[1]ناتج ملف Excel'!$A:$AV,47,0)</f>
        <v>2531.25</v>
      </c>
      <c r="O244" s="42"/>
      <c r="P244" s="47">
        <v>0</v>
      </c>
      <c r="Q244" s="48"/>
      <c r="R244" s="48">
        <v>0</v>
      </c>
      <c r="S244" s="72"/>
      <c r="T244" s="47">
        <v>3080</v>
      </c>
      <c r="U244" s="48">
        <f t="shared" si="36"/>
        <v>634.11458333333337</v>
      </c>
      <c r="V244" s="47">
        <v>500</v>
      </c>
      <c r="W244" s="42">
        <v>0</v>
      </c>
      <c r="X244" s="42">
        <v>0</v>
      </c>
      <c r="Y244" s="42">
        <v>0</v>
      </c>
      <c r="Z244" s="42">
        <v>0</v>
      </c>
      <c r="AA244" s="4">
        <f t="shared" si="38"/>
        <v>6757.8645833333339</v>
      </c>
      <c r="AB244" s="4">
        <f t="shared" si="37"/>
        <v>81094.375</v>
      </c>
      <c r="AC244" s="4">
        <f t="shared" si="39"/>
        <v>208594.375</v>
      </c>
    </row>
    <row r="245" spans="1:29" x14ac:dyDescent="0.2">
      <c r="A245" s="42">
        <v>400221</v>
      </c>
      <c r="B245" s="43">
        <v>3</v>
      </c>
      <c r="C245" s="42" t="s">
        <v>300</v>
      </c>
      <c r="D245" s="43" t="s">
        <v>33</v>
      </c>
      <c r="E245" s="43"/>
      <c r="F245" s="42" t="s">
        <v>83</v>
      </c>
      <c r="G245" s="43" t="s">
        <v>41</v>
      </c>
      <c r="H245" s="42">
        <v>35</v>
      </c>
      <c r="I245" s="44">
        <v>44835</v>
      </c>
      <c r="J245" s="43" t="s">
        <v>54</v>
      </c>
      <c r="K245" s="46">
        <v>9551</v>
      </c>
      <c r="L245" s="42"/>
      <c r="M245" s="51">
        <f>VLOOKUP(A245,'[1]ناتج ملف Excel'!$A:$AV,46,0)</f>
        <v>455.1</v>
      </c>
      <c r="N245" s="51">
        <f>VLOOKUP(A245,'[1]ناتج ملف Excel'!$A:$AV,47,0)</f>
        <v>2387.75</v>
      </c>
      <c r="O245" s="42"/>
      <c r="P245" s="47">
        <v>0</v>
      </c>
      <c r="Q245" s="48"/>
      <c r="R245" s="48">
        <v>0</v>
      </c>
      <c r="S245" s="72"/>
      <c r="T245" s="47">
        <v>3080</v>
      </c>
      <c r="U245" s="48">
        <f t="shared" si="36"/>
        <v>592.26041666666663</v>
      </c>
      <c r="V245" s="47">
        <v>500</v>
      </c>
      <c r="W245" s="42">
        <v>0</v>
      </c>
      <c r="X245" s="42">
        <v>0</v>
      </c>
      <c r="Y245" s="42">
        <v>0</v>
      </c>
      <c r="Z245" s="42">
        <v>0</v>
      </c>
      <c r="AA245" s="4">
        <f t="shared" si="38"/>
        <v>6515.1104166666664</v>
      </c>
      <c r="AB245" s="4">
        <f t="shared" si="37"/>
        <v>78181.324999999997</v>
      </c>
      <c r="AC245" s="4">
        <f t="shared" si="39"/>
        <v>198793.32500000001</v>
      </c>
    </row>
    <row r="246" spans="1:29" x14ac:dyDescent="0.2">
      <c r="A246" s="42">
        <v>400222</v>
      </c>
      <c r="B246" s="43">
        <v>3</v>
      </c>
      <c r="C246" s="42" t="s">
        <v>300</v>
      </c>
      <c r="D246" s="43" t="s">
        <v>33</v>
      </c>
      <c r="E246" s="43"/>
      <c r="F246" s="42" t="s">
        <v>86</v>
      </c>
      <c r="G246" s="43" t="s">
        <v>41</v>
      </c>
      <c r="H246" s="42">
        <v>35</v>
      </c>
      <c r="I246" s="44">
        <v>44835</v>
      </c>
      <c r="J246" s="43" t="s">
        <v>54</v>
      </c>
      <c r="K246" s="49">
        <v>10029</v>
      </c>
      <c r="L246" s="42"/>
      <c r="M246" s="51">
        <f>VLOOKUP(A246,'[1]ناتج ملف Excel'!$A:$AV,46,0)</f>
        <v>502.9</v>
      </c>
      <c r="N246" s="51">
        <f>VLOOKUP(A246,'[1]ناتج ملف Excel'!$A:$AV,47,0)</f>
        <v>2507.25</v>
      </c>
      <c r="O246" s="42"/>
      <c r="P246" s="47">
        <v>0</v>
      </c>
      <c r="Q246" s="48"/>
      <c r="R246" s="48">
        <v>0</v>
      </c>
      <c r="S246" s="72"/>
      <c r="T246" s="47">
        <v>3080</v>
      </c>
      <c r="U246" s="48">
        <f t="shared" si="36"/>
        <v>627.11458333333337</v>
      </c>
      <c r="V246" s="47">
        <v>500</v>
      </c>
      <c r="W246" s="42">
        <v>0</v>
      </c>
      <c r="X246" s="42">
        <v>0</v>
      </c>
      <c r="Y246" s="42">
        <v>0</v>
      </c>
      <c r="Z246" s="42">
        <v>0</v>
      </c>
      <c r="AA246" s="4">
        <f t="shared" si="38"/>
        <v>6717.2645833333336</v>
      </c>
      <c r="AB246" s="4">
        <f t="shared" si="37"/>
        <v>80607.175000000003</v>
      </c>
      <c r="AC246" s="4">
        <f t="shared" si="39"/>
        <v>206955.17499999999</v>
      </c>
    </row>
    <row r="247" spans="1:29" x14ac:dyDescent="0.2">
      <c r="A247" s="42">
        <v>400223</v>
      </c>
      <c r="B247" s="43">
        <v>3</v>
      </c>
      <c r="C247" s="42" t="s">
        <v>277</v>
      </c>
      <c r="D247" s="43" t="s">
        <v>39</v>
      </c>
      <c r="E247" s="43" t="s">
        <v>40</v>
      </c>
      <c r="F247" s="42" t="s">
        <v>237</v>
      </c>
      <c r="G247" s="43" t="s">
        <v>41</v>
      </c>
      <c r="H247" s="42">
        <v>37</v>
      </c>
      <c r="I247" s="44">
        <v>44835</v>
      </c>
      <c r="J247" s="43" t="s">
        <v>54</v>
      </c>
      <c r="K247" s="49">
        <v>10029</v>
      </c>
      <c r="L247" s="42"/>
      <c r="M247" s="51">
        <f>VLOOKUP(A247,'[1]ناتج ملف Excel'!$A:$AV,46,0)</f>
        <v>502.9</v>
      </c>
      <c r="N247" s="51">
        <f>VLOOKUP(A247,'[1]ناتج ملف Excel'!$A:$AV,47,0)</f>
        <v>2507.25</v>
      </c>
      <c r="O247" s="42"/>
      <c r="P247" s="47">
        <v>0</v>
      </c>
      <c r="Q247" s="48"/>
      <c r="R247" s="48">
        <v>0</v>
      </c>
      <c r="S247" s="72"/>
      <c r="T247" s="47">
        <v>3080</v>
      </c>
      <c r="U247" s="48">
        <f t="shared" si="36"/>
        <v>627.11458333333337</v>
      </c>
      <c r="V247" s="47">
        <v>500</v>
      </c>
      <c r="W247" s="42">
        <v>0</v>
      </c>
      <c r="X247" s="42">
        <v>0</v>
      </c>
      <c r="Y247" s="42">
        <v>0</v>
      </c>
      <c r="Z247" s="42">
        <v>0</v>
      </c>
      <c r="AA247" s="4">
        <f t="shared" si="38"/>
        <v>6717.2645833333336</v>
      </c>
      <c r="AB247" s="4">
        <f t="shared" si="37"/>
        <v>80607.175000000003</v>
      </c>
      <c r="AC247" s="4">
        <f t="shared" si="39"/>
        <v>206955.17499999999</v>
      </c>
    </row>
    <row r="248" spans="1:29" x14ac:dyDescent="0.2">
      <c r="A248" s="42">
        <v>400224</v>
      </c>
      <c r="B248" s="43">
        <v>3</v>
      </c>
      <c r="C248" s="42" t="s">
        <v>300</v>
      </c>
      <c r="D248" s="43" t="s">
        <v>33</v>
      </c>
      <c r="E248" s="43"/>
      <c r="F248" s="42" t="s">
        <v>91</v>
      </c>
      <c r="G248" s="43" t="s">
        <v>41</v>
      </c>
      <c r="H248" s="42">
        <v>33</v>
      </c>
      <c r="I248" s="44">
        <v>44835</v>
      </c>
      <c r="J248" s="43" t="s">
        <v>54</v>
      </c>
      <c r="K248" s="46">
        <v>9837</v>
      </c>
      <c r="L248" s="42"/>
      <c r="M248" s="51">
        <f>VLOOKUP(A248,'[1]ناتج ملف Excel'!$A:$AV,46,0)</f>
        <v>483.7</v>
      </c>
      <c r="N248" s="51">
        <f>VLOOKUP(A248,'[1]ناتج ملف Excel'!$A:$AV,47,0)</f>
        <v>2459.25</v>
      </c>
      <c r="O248" s="42"/>
      <c r="P248" s="47">
        <v>0</v>
      </c>
      <c r="Q248" s="48"/>
      <c r="R248" s="48">
        <v>0</v>
      </c>
      <c r="S248" s="72"/>
      <c r="T248" s="47">
        <v>3080</v>
      </c>
      <c r="U248" s="48">
        <f t="shared" si="36"/>
        <v>613.11458333333337</v>
      </c>
      <c r="V248" s="47">
        <v>500</v>
      </c>
      <c r="W248" s="42">
        <v>0</v>
      </c>
      <c r="X248" s="42">
        <v>0</v>
      </c>
      <c r="Y248" s="42">
        <v>0</v>
      </c>
      <c r="Z248" s="42">
        <v>0</v>
      </c>
      <c r="AA248" s="4">
        <f t="shared" si="38"/>
        <v>6636.0645833333338</v>
      </c>
      <c r="AB248" s="4">
        <f t="shared" si="37"/>
        <v>79632.775000000009</v>
      </c>
      <c r="AC248" s="4">
        <f t="shared" si="39"/>
        <v>203676.77500000002</v>
      </c>
    </row>
    <row r="249" spans="1:29" x14ac:dyDescent="0.2">
      <c r="A249" s="42">
        <v>400226</v>
      </c>
      <c r="B249" s="43">
        <v>3</v>
      </c>
      <c r="C249" s="42" t="s">
        <v>300</v>
      </c>
      <c r="D249" s="43" t="s">
        <v>33</v>
      </c>
      <c r="E249" s="43"/>
      <c r="F249" s="42" t="s">
        <v>83</v>
      </c>
      <c r="G249" s="43" t="s">
        <v>41</v>
      </c>
      <c r="H249" s="42">
        <v>37</v>
      </c>
      <c r="I249" s="44">
        <v>44835</v>
      </c>
      <c r="J249" s="43" t="s">
        <v>54</v>
      </c>
      <c r="K249" s="46">
        <v>9836</v>
      </c>
      <c r="L249" s="42"/>
      <c r="M249" s="51">
        <f>VLOOKUP(A249,'[1]ناتج ملف Excel'!$A:$AV,46,0)</f>
        <v>483.6</v>
      </c>
      <c r="N249" s="51">
        <f>VLOOKUP(A249,'[1]ناتج ملف Excel'!$A:$AV,47,0)</f>
        <v>2459</v>
      </c>
      <c r="O249" s="42"/>
      <c r="P249" s="47">
        <v>0</v>
      </c>
      <c r="Q249" s="48"/>
      <c r="R249" s="48">
        <v>0</v>
      </c>
      <c r="S249" s="72"/>
      <c r="T249" s="47">
        <v>3080</v>
      </c>
      <c r="U249" s="48">
        <f t="shared" si="36"/>
        <v>613.04166666666663</v>
      </c>
      <c r="V249" s="47">
        <v>500</v>
      </c>
      <c r="W249" s="42">
        <v>0</v>
      </c>
      <c r="X249" s="42">
        <v>0</v>
      </c>
      <c r="Y249" s="42">
        <v>0</v>
      </c>
      <c r="Z249" s="42">
        <v>0</v>
      </c>
      <c r="AA249" s="4">
        <f t="shared" si="38"/>
        <v>6635.6416666666664</v>
      </c>
      <c r="AB249" s="4">
        <f t="shared" si="37"/>
        <v>79627.7</v>
      </c>
      <c r="AC249" s="4">
        <f t="shared" si="39"/>
        <v>203659.7</v>
      </c>
    </row>
    <row r="250" spans="1:29" x14ac:dyDescent="0.2">
      <c r="A250" s="42">
        <v>400228</v>
      </c>
      <c r="B250" s="43">
        <v>3</v>
      </c>
      <c r="C250" s="42" t="s">
        <v>42</v>
      </c>
      <c r="D250" s="43"/>
      <c r="E250" s="43" t="s">
        <v>42</v>
      </c>
      <c r="F250" s="42" t="s">
        <v>21</v>
      </c>
      <c r="G250" s="43" t="s">
        <v>21</v>
      </c>
      <c r="H250" s="42">
        <v>33</v>
      </c>
      <c r="I250" s="44">
        <v>44835</v>
      </c>
      <c r="J250" s="43" t="s">
        <v>54</v>
      </c>
      <c r="K250" s="46">
        <v>9837</v>
      </c>
      <c r="L250" s="42"/>
      <c r="M250" s="51">
        <f>VLOOKUP(A250,'[1]ناتج ملف Excel'!$A:$AV,46,0)</f>
        <v>483.7</v>
      </c>
      <c r="N250" s="51">
        <f>VLOOKUP(A250,'[1]ناتج ملف Excel'!$A:$AV,47,0)</f>
        <v>2459.25</v>
      </c>
      <c r="O250" s="42"/>
      <c r="P250" s="47">
        <v>0</v>
      </c>
      <c r="Q250" s="48"/>
      <c r="R250" s="48">
        <v>0</v>
      </c>
      <c r="S250" s="72"/>
      <c r="T250" s="47">
        <v>3080</v>
      </c>
      <c r="U250" s="48">
        <f t="shared" si="36"/>
        <v>613.11458333333337</v>
      </c>
      <c r="V250" s="47">
        <v>500</v>
      </c>
      <c r="W250" s="42">
        <v>0</v>
      </c>
      <c r="X250" s="42">
        <v>0</v>
      </c>
      <c r="Y250" s="42">
        <v>0</v>
      </c>
      <c r="Z250" s="42">
        <v>0</v>
      </c>
      <c r="AA250" s="4">
        <f t="shared" si="38"/>
        <v>6636.0645833333338</v>
      </c>
      <c r="AB250" s="4">
        <f t="shared" si="37"/>
        <v>79632.775000000009</v>
      </c>
      <c r="AC250" s="4">
        <f t="shared" si="39"/>
        <v>203676.77500000002</v>
      </c>
    </row>
    <row r="251" spans="1:29" x14ac:dyDescent="0.2">
      <c r="A251" s="42">
        <v>400229</v>
      </c>
      <c r="B251" s="43">
        <v>3</v>
      </c>
      <c r="C251" s="42" t="s">
        <v>300</v>
      </c>
      <c r="D251" s="43" t="s">
        <v>33</v>
      </c>
      <c r="E251" s="43"/>
      <c r="F251" s="42" t="s">
        <v>80</v>
      </c>
      <c r="G251" s="43" t="s">
        <v>41</v>
      </c>
      <c r="H251" s="42">
        <v>29</v>
      </c>
      <c r="I251" s="44">
        <v>44835</v>
      </c>
      <c r="J251" s="43" t="s">
        <v>54</v>
      </c>
      <c r="K251" s="46">
        <v>9643</v>
      </c>
      <c r="L251" s="42"/>
      <c r="M251" s="51">
        <f>VLOOKUP(A251,'[1]ناتج ملف Excel'!$A:$AV,46,0)</f>
        <v>464.3</v>
      </c>
      <c r="N251" s="51">
        <f>VLOOKUP(A251,'[1]ناتج ملف Excel'!$A:$AV,47,0)</f>
        <v>2410.75</v>
      </c>
      <c r="O251" s="42"/>
      <c r="P251" s="47">
        <v>0</v>
      </c>
      <c r="Q251" s="48"/>
      <c r="R251" s="48">
        <v>0</v>
      </c>
      <c r="S251" s="72"/>
      <c r="T251" s="47">
        <v>3080</v>
      </c>
      <c r="U251" s="48">
        <f t="shared" si="36"/>
        <v>598.96875</v>
      </c>
      <c r="V251" s="47">
        <v>500</v>
      </c>
      <c r="W251" s="42">
        <v>0</v>
      </c>
      <c r="X251" s="42">
        <v>0</v>
      </c>
      <c r="Y251" s="42">
        <v>0</v>
      </c>
      <c r="Z251" s="42">
        <v>0</v>
      </c>
      <c r="AA251" s="4">
        <f t="shared" si="38"/>
        <v>6554.0187500000002</v>
      </c>
      <c r="AB251" s="4">
        <f t="shared" si="37"/>
        <v>78648.225000000006</v>
      </c>
      <c r="AC251" s="4">
        <f t="shared" si="39"/>
        <v>200364.22500000001</v>
      </c>
    </row>
    <row r="252" spans="1:29" x14ac:dyDescent="0.2">
      <c r="A252" s="42">
        <v>400230</v>
      </c>
      <c r="B252" s="43">
        <v>3</v>
      </c>
      <c r="C252" s="42" t="s">
        <v>300</v>
      </c>
      <c r="D252" s="43" t="s">
        <v>33</v>
      </c>
      <c r="E252" s="43"/>
      <c r="F252" s="42" t="s">
        <v>79</v>
      </c>
      <c r="G252" s="43" t="s">
        <v>41</v>
      </c>
      <c r="H252" s="42">
        <v>30</v>
      </c>
      <c r="I252" s="44">
        <v>44835</v>
      </c>
      <c r="J252" s="43" t="s">
        <v>54</v>
      </c>
      <c r="K252" s="46">
        <v>9643</v>
      </c>
      <c r="L252" s="42"/>
      <c r="M252" s="51">
        <f>VLOOKUP(A252,'[1]ناتج ملف Excel'!$A:$AV,46,0)</f>
        <v>464.3</v>
      </c>
      <c r="N252" s="51">
        <f>VLOOKUP(A252,'[1]ناتج ملف Excel'!$A:$AV,47,0)</f>
        <v>2410.75</v>
      </c>
      <c r="O252" s="42"/>
      <c r="P252" s="47">
        <v>0</v>
      </c>
      <c r="Q252" s="48"/>
      <c r="R252" s="48">
        <v>0</v>
      </c>
      <c r="S252" s="72"/>
      <c r="T252" s="47">
        <v>3080</v>
      </c>
      <c r="U252" s="48">
        <f t="shared" si="36"/>
        <v>598.96875</v>
      </c>
      <c r="V252" s="47">
        <v>500</v>
      </c>
      <c r="W252" s="42">
        <v>0</v>
      </c>
      <c r="X252" s="42">
        <v>0</v>
      </c>
      <c r="Y252" s="42">
        <v>0</v>
      </c>
      <c r="Z252" s="42">
        <v>0</v>
      </c>
      <c r="AA252" s="4">
        <f t="shared" si="38"/>
        <v>6554.0187500000002</v>
      </c>
      <c r="AB252" s="4">
        <f t="shared" si="37"/>
        <v>78648.225000000006</v>
      </c>
      <c r="AC252" s="4">
        <f t="shared" si="39"/>
        <v>200364.22500000001</v>
      </c>
    </row>
    <row r="253" spans="1:29" x14ac:dyDescent="0.2">
      <c r="A253" s="42">
        <v>400231</v>
      </c>
      <c r="B253" s="43">
        <v>3</v>
      </c>
      <c r="C253" s="42" t="s">
        <v>300</v>
      </c>
      <c r="D253" s="43" t="s">
        <v>33</v>
      </c>
      <c r="E253" s="43"/>
      <c r="F253" s="42" t="s">
        <v>92</v>
      </c>
      <c r="G253" s="43" t="s">
        <v>41</v>
      </c>
      <c r="H253" s="42">
        <v>30</v>
      </c>
      <c r="I253" s="44">
        <v>44835</v>
      </c>
      <c r="J253" s="43" t="s">
        <v>54</v>
      </c>
      <c r="K253" s="46">
        <v>9551</v>
      </c>
      <c r="L253" s="42"/>
      <c r="M253" s="51">
        <f>VLOOKUP(A253,'[1]ناتج ملف Excel'!$A:$AV,46,0)</f>
        <v>455.1</v>
      </c>
      <c r="N253" s="51">
        <f>VLOOKUP(A253,'[1]ناتج ملف Excel'!$A:$AV,47,0)</f>
        <v>2387.75</v>
      </c>
      <c r="O253" s="42"/>
      <c r="P253" s="47">
        <v>0</v>
      </c>
      <c r="Q253" s="48"/>
      <c r="R253" s="48">
        <v>0</v>
      </c>
      <c r="S253" s="72"/>
      <c r="T253" s="47">
        <v>3080</v>
      </c>
      <c r="U253" s="48">
        <f t="shared" si="36"/>
        <v>592.26041666666663</v>
      </c>
      <c r="V253" s="47">
        <v>500</v>
      </c>
      <c r="W253" s="42">
        <v>0</v>
      </c>
      <c r="X253" s="42">
        <v>0</v>
      </c>
      <c r="Y253" s="42">
        <v>0</v>
      </c>
      <c r="Z253" s="42">
        <v>0</v>
      </c>
      <c r="AA253" s="4">
        <f t="shared" si="38"/>
        <v>6515.1104166666664</v>
      </c>
      <c r="AB253" s="4">
        <f t="shared" si="37"/>
        <v>78181.324999999997</v>
      </c>
      <c r="AC253" s="4">
        <f t="shared" si="39"/>
        <v>198793.32500000001</v>
      </c>
    </row>
    <row r="254" spans="1:29" x14ac:dyDescent="0.2">
      <c r="A254" s="42">
        <v>400232</v>
      </c>
      <c r="B254" s="43" t="s">
        <v>267</v>
      </c>
      <c r="C254" s="42" t="s">
        <v>300</v>
      </c>
      <c r="D254" s="43" t="s">
        <v>33</v>
      </c>
      <c r="E254" s="43"/>
      <c r="F254" s="42" t="s">
        <v>78</v>
      </c>
      <c r="G254" s="43" t="s">
        <v>41</v>
      </c>
      <c r="H254" s="42">
        <v>29</v>
      </c>
      <c r="I254" s="44">
        <v>44835</v>
      </c>
      <c r="J254" s="43" t="s">
        <v>54</v>
      </c>
      <c r="K254" s="46">
        <v>6189</v>
      </c>
      <c r="L254" s="42"/>
      <c r="M254" s="51">
        <f>VLOOKUP(A254,'[1]ناتج ملف Excel'!$A:$AV,46,0)</f>
        <v>118.9</v>
      </c>
      <c r="N254" s="51">
        <f>VLOOKUP(A254,'[1]ناتج ملف Excel'!$A:$AV,47,0)</f>
        <v>1547.25</v>
      </c>
      <c r="O254" s="42"/>
      <c r="P254" s="47">
        <v>0</v>
      </c>
      <c r="Q254" s="48"/>
      <c r="R254" s="48">
        <v>0</v>
      </c>
      <c r="S254" s="72"/>
      <c r="T254" s="47">
        <v>3080</v>
      </c>
      <c r="U254" s="48">
        <f t="shared" si="36"/>
        <v>347.11458333333331</v>
      </c>
      <c r="V254" s="47">
        <v>500</v>
      </c>
      <c r="W254" s="42">
        <v>0</v>
      </c>
      <c r="X254" s="42">
        <v>0</v>
      </c>
      <c r="Y254" s="42">
        <v>0</v>
      </c>
      <c r="Z254" s="42">
        <v>0</v>
      </c>
      <c r="AA254" s="4">
        <f t="shared" si="38"/>
        <v>5093.2645833333336</v>
      </c>
      <c r="AB254" s="4">
        <f t="shared" si="37"/>
        <v>61119.175000000003</v>
      </c>
      <c r="AC254" s="4">
        <f t="shared" si="39"/>
        <v>141387.17499999999</v>
      </c>
    </row>
    <row r="255" spans="1:29" x14ac:dyDescent="0.2">
      <c r="A255" s="42">
        <v>400233</v>
      </c>
      <c r="B255" s="43">
        <v>3</v>
      </c>
      <c r="C255" s="42" t="s">
        <v>300</v>
      </c>
      <c r="D255" s="43" t="s">
        <v>33</v>
      </c>
      <c r="E255" s="43"/>
      <c r="F255" s="42" t="s">
        <v>81</v>
      </c>
      <c r="G255" s="43" t="s">
        <v>41</v>
      </c>
      <c r="H255" s="42">
        <v>32</v>
      </c>
      <c r="I255" s="44">
        <v>44835</v>
      </c>
      <c r="J255" s="43" t="s">
        <v>54</v>
      </c>
      <c r="K255" s="46">
        <v>9643</v>
      </c>
      <c r="L255" s="42"/>
      <c r="M255" s="51">
        <f>VLOOKUP(A255,'[1]ناتج ملف Excel'!$A:$AV,46,0)</f>
        <v>464.3</v>
      </c>
      <c r="N255" s="51">
        <f>VLOOKUP(A255,'[1]ناتج ملف Excel'!$A:$AV,47,0)</f>
        <v>2410.75</v>
      </c>
      <c r="O255" s="42"/>
      <c r="P255" s="47">
        <v>0</v>
      </c>
      <c r="Q255" s="48"/>
      <c r="R255" s="48">
        <v>0</v>
      </c>
      <c r="S255" s="72"/>
      <c r="T255" s="47">
        <v>3080</v>
      </c>
      <c r="U255" s="48">
        <f t="shared" si="36"/>
        <v>598.96875</v>
      </c>
      <c r="V255" s="47">
        <v>500</v>
      </c>
      <c r="W255" s="42">
        <v>0</v>
      </c>
      <c r="X255" s="42">
        <v>0</v>
      </c>
      <c r="Y255" s="42">
        <v>0</v>
      </c>
      <c r="Z255" s="42">
        <v>0</v>
      </c>
      <c r="AA255" s="4">
        <f t="shared" si="38"/>
        <v>6554.0187500000002</v>
      </c>
      <c r="AB255" s="4">
        <f t="shared" si="37"/>
        <v>78648.225000000006</v>
      </c>
      <c r="AC255" s="4">
        <f t="shared" si="39"/>
        <v>200364.22500000001</v>
      </c>
    </row>
    <row r="256" spans="1:29" x14ac:dyDescent="0.2">
      <c r="A256" s="42">
        <v>400234</v>
      </c>
      <c r="B256" s="43">
        <v>3</v>
      </c>
      <c r="C256" s="42" t="s">
        <v>300</v>
      </c>
      <c r="D256" s="43" t="s">
        <v>33</v>
      </c>
      <c r="E256" s="43"/>
      <c r="F256" s="42" t="s">
        <v>82</v>
      </c>
      <c r="G256" s="43" t="s">
        <v>41</v>
      </c>
      <c r="H256" s="42">
        <v>31</v>
      </c>
      <c r="I256" s="44">
        <v>44835</v>
      </c>
      <c r="J256" s="43" t="s">
        <v>54</v>
      </c>
      <c r="K256" s="46">
        <v>9551</v>
      </c>
      <c r="L256" s="42"/>
      <c r="M256" s="51">
        <f>VLOOKUP(A256,'[1]ناتج ملف Excel'!$A:$AV,46,0)</f>
        <v>455.1</v>
      </c>
      <c r="N256" s="51">
        <f>VLOOKUP(A256,'[1]ناتج ملف Excel'!$A:$AV,47,0)</f>
        <v>2387.75</v>
      </c>
      <c r="O256" s="42"/>
      <c r="P256" s="47">
        <v>0</v>
      </c>
      <c r="Q256" s="48"/>
      <c r="R256" s="48">
        <v>0</v>
      </c>
      <c r="S256" s="72"/>
      <c r="T256" s="47">
        <v>3080</v>
      </c>
      <c r="U256" s="48">
        <f t="shared" ref="U256:U318" si="40">(L256+M256+N256+O256)*2.5/12</f>
        <v>592.26041666666663</v>
      </c>
      <c r="V256" s="47">
        <v>500</v>
      </c>
      <c r="W256" s="42">
        <v>0</v>
      </c>
      <c r="X256" s="42">
        <v>0</v>
      </c>
      <c r="Y256" s="42">
        <v>0</v>
      </c>
      <c r="Z256" s="42">
        <v>0</v>
      </c>
      <c r="AA256" s="4">
        <f t="shared" si="38"/>
        <v>6515.1104166666664</v>
      </c>
      <c r="AB256" s="4">
        <f t="shared" ref="AB256:AB318" si="41">AA256*12</f>
        <v>78181.324999999997</v>
      </c>
      <c r="AC256" s="4">
        <f t="shared" si="39"/>
        <v>198793.32500000001</v>
      </c>
    </row>
    <row r="257" spans="1:29" x14ac:dyDescent="0.2">
      <c r="A257" s="42">
        <v>400235</v>
      </c>
      <c r="B257" s="43">
        <v>3</v>
      </c>
      <c r="C257" s="42" t="s">
        <v>300</v>
      </c>
      <c r="D257" s="43" t="s">
        <v>33</v>
      </c>
      <c r="E257" s="43"/>
      <c r="F257" s="42" t="s">
        <v>82</v>
      </c>
      <c r="G257" s="43" t="s">
        <v>41</v>
      </c>
      <c r="H257" s="42">
        <v>31</v>
      </c>
      <c r="I257" s="44">
        <v>44835</v>
      </c>
      <c r="J257" s="43" t="s">
        <v>54</v>
      </c>
      <c r="K257" s="46">
        <v>9643</v>
      </c>
      <c r="L257" s="42"/>
      <c r="M257" s="51">
        <f>VLOOKUP(A257,'[1]ناتج ملف Excel'!$A:$AV,46,0)</f>
        <v>464.3</v>
      </c>
      <c r="N257" s="51">
        <f>VLOOKUP(A257,'[1]ناتج ملف Excel'!$A:$AV,47,0)</f>
        <v>2410.75</v>
      </c>
      <c r="O257" s="42"/>
      <c r="P257" s="47">
        <v>0</v>
      </c>
      <c r="Q257" s="48"/>
      <c r="R257" s="48">
        <v>0</v>
      </c>
      <c r="S257" s="72"/>
      <c r="T257" s="47">
        <v>3080</v>
      </c>
      <c r="U257" s="48">
        <f t="shared" si="40"/>
        <v>598.96875</v>
      </c>
      <c r="V257" s="47">
        <v>500</v>
      </c>
      <c r="W257" s="42">
        <v>0</v>
      </c>
      <c r="X257" s="42">
        <v>0</v>
      </c>
      <c r="Y257" s="42">
        <v>0</v>
      </c>
      <c r="Z257" s="42">
        <v>0</v>
      </c>
      <c r="AA257" s="4">
        <f t="shared" si="38"/>
        <v>6554.0187500000002</v>
      </c>
      <c r="AB257" s="4">
        <f t="shared" si="41"/>
        <v>78648.225000000006</v>
      </c>
      <c r="AC257" s="4">
        <f t="shared" si="39"/>
        <v>200364.22500000001</v>
      </c>
    </row>
    <row r="258" spans="1:29" x14ac:dyDescent="0.2">
      <c r="A258" s="42">
        <v>400236</v>
      </c>
      <c r="B258" s="43">
        <v>3</v>
      </c>
      <c r="C258" s="42" t="s">
        <v>300</v>
      </c>
      <c r="D258" s="43" t="s">
        <v>33</v>
      </c>
      <c r="E258" s="43"/>
      <c r="F258" s="42" t="s">
        <v>91</v>
      </c>
      <c r="G258" s="43" t="s">
        <v>41</v>
      </c>
      <c r="H258" s="42">
        <v>29</v>
      </c>
      <c r="I258" s="44">
        <v>44835</v>
      </c>
      <c r="J258" s="43" t="s">
        <v>54</v>
      </c>
      <c r="K258" s="46">
        <v>9551</v>
      </c>
      <c r="L258" s="42"/>
      <c r="M258" s="51">
        <f>VLOOKUP(A258,'[1]ناتج ملف Excel'!$A:$AV,46,0)</f>
        <v>455.1</v>
      </c>
      <c r="N258" s="51">
        <f>VLOOKUP(A258,'[1]ناتج ملف Excel'!$A:$AV,47,0)</f>
        <v>2387.75</v>
      </c>
      <c r="O258" s="42"/>
      <c r="P258" s="47">
        <v>0</v>
      </c>
      <c r="Q258" s="48"/>
      <c r="R258" s="48">
        <v>0</v>
      </c>
      <c r="S258" s="72"/>
      <c r="T258" s="47">
        <v>3080</v>
      </c>
      <c r="U258" s="48">
        <f t="shared" si="40"/>
        <v>592.26041666666663</v>
      </c>
      <c r="V258" s="47">
        <v>500</v>
      </c>
      <c r="W258" s="42">
        <v>0</v>
      </c>
      <c r="X258" s="42">
        <v>0</v>
      </c>
      <c r="Y258" s="42">
        <v>0</v>
      </c>
      <c r="Z258" s="42">
        <v>0</v>
      </c>
      <c r="AA258" s="4">
        <f t="shared" si="38"/>
        <v>6515.1104166666664</v>
      </c>
      <c r="AB258" s="4">
        <f t="shared" si="41"/>
        <v>78181.324999999997</v>
      </c>
      <c r="AC258" s="4">
        <f t="shared" si="39"/>
        <v>198793.32500000001</v>
      </c>
    </row>
    <row r="259" spans="1:29" x14ac:dyDescent="0.2">
      <c r="A259" s="42">
        <v>400237</v>
      </c>
      <c r="B259" s="43" t="s">
        <v>267</v>
      </c>
      <c r="C259" s="42" t="s">
        <v>300</v>
      </c>
      <c r="D259" s="43" t="s">
        <v>33</v>
      </c>
      <c r="E259" s="43"/>
      <c r="F259" s="42" t="s">
        <v>92</v>
      </c>
      <c r="G259" s="43" t="s">
        <v>41</v>
      </c>
      <c r="H259" s="42">
        <v>33</v>
      </c>
      <c r="I259" s="44">
        <v>44835</v>
      </c>
      <c r="J259" s="43" t="s">
        <v>54</v>
      </c>
      <c r="K259" s="46">
        <v>6250</v>
      </c>
      <c r="L259" s="42"/>
      <c r="M259" s="51">
        <f>VLOOKUP(A259,'[1]ناتج ملف Excel'!$A:$AV,46,0)</f>
        <v>125</v>
      </c>
      <c r="N259" s="51">
        <f>VLOOKUP(A259,'[1]ناتج ملف Excel'!$A:$AV,47,0)</f>
        <v>1562.5</v>
      </c>
      <c r="O259" s="42"/>
      <c r="P259" s="47">
        <v>0</v>
      </c>
      <c r="Q259" s="48"/>
      <c r="R259" s="48">
        <v>0</v>
      </c>
      <c r="S259" s="72"/>
      <c r="T259" s="47">
        <v>3080</v>
      </c>
      <c r="U259" s="48">
        <f t="shared" si="40"/>
        <v>351.5625</v>
      </c>
      <c r="V259" s="47">
        <v>500</v>
      </c>
      <c r="W259" s="42">
        <v>0</v>
      </c>
      <c r="X259" s="42">
        <v>0</v>
      </c>
      <c r="Y259" s="42">
        <v>0</v>
      </c>
      <c r="Z259" s="42">
        <v>0</v>
      </c>
      <c r="AA259" s="4">
        <f t="shared" si="38"/>
        <v>5119.0625</v>
      </c>
      <c r="AB259" s="4">
        <f t="shared" si="41"/>
        <v>61428.75</v>
      </c>
      <c r="AC259" s="4">
        <f t="shared" si="39"/>
        <v>142428.75</v>
      </c>
    </row>
    <row r="260" spans="1:29" x14ac:dyDescent="0.2">
      <c r="A260" s="42">
        <v>400238</v>
      </c>
      <c r="B260" s="43" t="s">
        <v>267</v>
      </c>
      <c r="C260" s="42" t="s">
        <v>300</v>
      </c>
      <c r="D260" s="43" t="s">
        <v>33</v>
      </c>
      <c r="E260" s="43"/>
      <c r="F260" s="42" t="s">
        <v>90</v>
      </c>
      <c r="G260" s="43" t="s">
        <v>41</v>
      </c>
      <c r="H260" s="42">
        <v>25</v>
      </c>
      <c r="I260" s="44">
        <v>44835</v>
      </c>
      <c r="J260" s="43" t="s">
        <v>54</v>
      </c>
      <c r="K260" s="46">
        <v>6190</v>
      </c>
      <c r="L260" s="42"/>
      <c r="M260" s="51">
        <f>VLOOKUP(A260,'[1]ناتج ملف Excel'!$A:$AV,46,0)</f>
        <v>119</v>
      </c>
      <c r="N260" s="51">
        <f>VLOOKUP(A260,'[1]ناتج ملف Excel'!$A:$AV,47,0)</f>
        <v>1547.5</v>
      </c>
      <c r="O260" s="42"/>
      <c r="P260" s="47">
        <v>0</v>
      </c>
      <c r="Q260" s="48"/>
      <c r="R260" s="48">
        <v>0</v>
      </c>
      <c r="S260" s="72"/>
      <c r="T260" s="47">
        <v>3080</v>
      </c>
      <c r="U260" s="48">
        <f t="shared" si="40"/>
        <v>347.1875</v>
      </c>
      <c r="V260" s="47">
        <v>500</v>
      </c>
      <c r="W260" s="42">
        <v>0</v>
      </c>
      <c r="X260" s="42">
        <v>0</v>
      </c>
      <c r="Y260" s="42">
        <v>0</v>
      </c>
      <c r="Z260" s="42">
        <v>0</v>
      </c>
      <c r="AA260" s="4">
        <f t="shared" si="38"/>
        <v>5093.6875</v>
      </c>
      <c r="AB260" s="4">
        <f t="shared" si="41"/>
        <v>61124.25</v>
      </c>
      <c r="AC260" s="4">
        <f t="shared" si="39"/>
        <v>141404.25</v>
      </c>
    </row>
    <row r="261" spans="1:29" x14ac:dyDescent="0.2">
      <c r="A261" s="42">
        <v>400240</v>
      </c>
      <c r="B261" s="43">
        <v>3</v>
      </c>
      <c r="C261" s="42" t="s">
        <v>300</v>
      </c>
      <c r="D261" s="43" t="s">
        <v>33</v>
      </c>
      <c r="E261" s="43"/>
      <c r="F261" s="42" t="s">
        <v>87</v>
      </c>
      <c r="G261" s="43" t="s">
        <v>41</v>
      </c>
      <c r="H261" s="42">
        <v>32</v>
      </c>
      <c r="I261" s="44">
        <v>44835</v>
      </c>
      <c r="J261" s="43" t="s">
        <v>54</v>
      </c>
      <c r="K261" s="46">
        <v>9643</v>
      </c>
      <c r="L261" s="42"/>
      <c r="M261" s="51">
        <f>VLOOKUP(A261,'[1]ناتج ملف Excel'!$A:$AV,46,0)</f>
        <v>464.3</v>
      </c>
      <c r="N261" s="51">
        <f>VLOOKUP(A261,'[1]ناتج ملف Excel'!$A:$AV,47,0)</f>
        <v>2410.75</v>
      </c>
      <c r="O261" s="42"/>
      <c r="P261" s="47">
        <v>0</v>
      </c>
      <c r="Q261" s="48"/>
      <c r="R261" s="48">
        <v>0</v>
      </c>
      <c r="S261" s="72"/>
      <c r="T261" s="47">
        <v>3080</v>
      </c>
      <c r="U261" s="48">
        <f t="shared" si="40"/>
        <v>598.96875</v>
      </c>
      <c r="V261" s="47">
        <v>500</v>
      </c>
      <c r="W261" s="42">
        <v>0</v>
      </c>
      <c r="X261" s="42">
        <v>0</v>
      </c>
      <c r="Y261" s="42">
        <v>0</v>
      </c>
      <c r="Z261" s="42">
        <v>0</v>
      </c>
      <c r="AA261" s="4">
        <f t="shared" si="38"/>
        <v>6554.0187500000002</v>
      </c>
      <c r="AB261" s="4">
        <f t="shared" si="41"/>
        <v>78648.225000000006</v>
      </c>
      <c r="AC261" s="4">
        <f t="shared" si="39"/>
        <v>200364.22500000001</v>
      </c>
    </row>
    <row r="262" spans="1:29" x14ac:dyDescent="0.2">
      <c r="A262" s="42">
        <v>400241</v>
      </c>
      <c r="B262" s="43" t="s">
        <v>267</v>
      </c>
      <c r="C262" s="42" t="s">
        <v>300</v>
      </c>
      <c r="D262" s="43" t="s">
        <v>33</v>
      </c>
      <c r="E262" s="43"/>
      <c r="F262" s="42" t="s">
        <v>81</v>
      </c>
      <c r="G262" s="43" t="s">
        <v>41</v>
      </c>
      <c r="H262" s="42">
        <v>32</v>
      </c>
      <c r="I262" s="44">
        <v>44835</v>
      </c>
      <c r="J262" s="43" t="s">
        <v>54</v>
      </c>
      <c r="K262" s="46">
        <v>6308</v>
      </c>
      <c r="L262" s="42"/>
      <c r="M262" s="51">
        <f>VLOOKUP(A262,'[1]ناتج ملف Excel'!$A:$AV,46,0)</f>
        <v>130.80000000000001</v>
      </c>
      <c r="N262" s="51">
        <f>VLOOKUP(A262,'[1]ناتج ملف Excel'!$A:$AV,47,0)</f>
        <v>1577</v>
      </c>
      <c r="O262" s="42"/>
      <c r="P262" s="47">
        <v>0</v>
      </c>
      <c r="Q262" s="48"/>
      <c r="R262" s="48">
        <v>0</v>
      </c>
      <c r="S262" s="72"/>
      <c r="T262" s="47">
        <v>3080</v>
      </c>
      <c r="U262" s="48">
        <f t="shared" si="40"/>
        <v>355.79166666666669</v>
      </c>
      <c r="V262" s="47">
        <v>500</v>
      </c>
      <c r="W262" s="42">
        <v>0</v>
      </c>
      <c r="X262" s="42">
        <v>0</v>
      </c>
      <c r="Y262" s="42">
        <v>0</v>
      </c>
      <c r="Z262" s="42">
        <v>0</v>
      </c>
      <c r="AA262" s="4">
        <f t="shared" si="38"/>
        <v>5143.5916666666662</v>
      </c>
      <c r="AB262" s="4">
        <f t="shared" si="41"/>
        <v>61723.099999999991</v>
      </c>
      <c r="AC262" s="4">
        <f t="shared" si="39"/>
        <v>143419.09999999998</v>
      </c>
    </row>
    <row r="263" spans="1:29" x14ac:dyDescent="0.2">
      <c r="A263" s="42">
        <v>400243</v>
      </c>
      <c r="B263" s="43">
        <v>3</v>
      </c>
      <c r="C263" s="42" t="s">
        <v>300</v>
      </c>
      <c r="D263" s="43" t="s">
        <v>33</v>
      </c>
      <c r="E263" s="43"/>
      <c r="F263" s="42" t="s">
        <v>80</v>
      </c>
      <c r="G263" s="43" t="s">
        <v>41</v>
      </c>
      <c r="H263" s="42">
        <v>30</v>
      </c>
      <c r="I263" s="44">
        <v>44835</v>
      </c>
      <c r="J263" s="43" t="s">
        <v>54</v>
      </c>
      <c r="K263" s="46">
        <v>9551</v>
      </c>
      <c r="L263" s="42"/>
      <c r="M263" s="51">
        <f>VLOOKUP(A263,'[1]ناتج ملف Excel'!$A:$AV,46,0)</f>
        <v>455.1</v>
      </c>
      <c r="N263" s="51">
        <f>VLOOKUP(A263,'[1]ناتج ملف Excel'!$A:$AV,47,0)</f>
        <v>2387.75</v>
      </c>
      <c r="O263" s="42"/>
      <c r="P263" s="47">
        <v>0</v>
      </c>
      <c r="Q263" s="48"/>
      <c r="R263" s="48">
        <v>0</v>
      </c>
      <c r="S263" s="72"/>
      <c r="T263" s="47">
        <v>3080</v>
      </c>
      <c r="U263" s="48">
        <f t="shared" si="40"/>
        <v>592.26041666666663</v>
      </c>
      <c r="V263" s="47">
        <v>500</v>
      </c>
      <c r="W263" s="42">
        <v>0</v>
      </c>
      <c r="X263" s="42">
        <v>0</v>
      </c>
      <c r="Y263" s="42">
        <v>0</v>
      </c>
      <c r="Z263" s="42">
        <v>0</v>
      </c>
      <c r="AA263" s="4">
        <f t="shared" si="38"/>
        <v>6515.1104166666664</v>
      </c>
      <c r="AB263" s="4">
        <f t="shared" si="41"/>
        <v>78181.324999999997</v>
      </c>
      <c r="AC263" s="4">
        <f t="shared" si="39"/>
        <v>198793.32500000001</v>
      </c>
    </row>
    <row r="264" spans="1:29" x14ac:dyDescent="0.2">
      <c r="A264" s="42">
        <v>400244</v>
      </c>
      <c r="B264" s="43">
        <v>3</v>
      </c>
      <c r="C264" s="42" t="s">
        <v>300</v>
      </c>
      <c r="D264" s="43" t="s">
        <v>33</v>
      </c>
      <c r="E264" s="43"/>
      <c r="F264" s="42" t="s">
        <v>86</v>
      </c>
      <c r="G264" s="43" t="s">
        <v>41</v>
      </c>
      <c r="H264" s="42">
        <v>29</v>
      </c>
      <c r="I264" s="44">
        <v>44835</v>
      </c>
      <c r="J264" s="43" t="s">
        <v>54</v>
      </c>
      <c r="K264" s="46">
        <v>9551</v>
      </c>
      <c r="L264" s="42"/>
      <c r="M264" s="51">
        <f>VLOOKUP(A264,'[1]ناتج ملف Excel'!$A:$AV,46,0)</f>
        <v>455.1</v>
      </c>
      <c r="N264" s="51">
        <f>VLOOKUP(A264,'[1]ناتج ملف Excel'!$A:$AV,47,0)</f>
        <v>2387.75</v>
      </c>
      <c r="O264" s="42"/>
      <c r="P264" s="47">
        <v>0</v>
      </c>
      <c r="Q264" s="48"/>
      <c r="R264" s="48">
        <v>0</v>
      </c>
      <c r="S264" s="72"/>
      <c r="T264" s="47">
        <v>3080</v>
      </c>
      <c r="U264" s="48">
        <f t="shared" si="40"/>
        <v>592.26041666666663</v>
      </c>
      <c r="V264" s="47">
        <v>500</v>
      </c>
      <c r="W264" s="42">
        <v>0</v>
      </c>
      <c r="X264" s="42">
        <v>0</v>
      </c>
      <c r="Y264" s="42">
        <v>0</v>
      </c>
      <c r="Z264" s="42">
        <v>0</v>
      </c>
      <c r="AA264" s="4">
        <f t="shared" si="38"/>
        <v>6515.1104166666664</v>
      </c>
      <c r="AB264" s="4">
        <f t="shared" si="41"/>
        <v>78181.324999999997</v>
      </c>
      <c r="AC264" s="4">
        <f t="shared" si="39"/>
        <v>198793.32500000001</v>
      </c>
    </row>
    <row r="265" spans="1:29" x14ac:dyDescent="0.2">
      <c r="A265" s="42">
        <v>400246</v>
      </c>
      <c r="B265" s="43">
        <v>3</v>
      </c>
      <c r="C265" s="42" t="s">
        <v>300</v>
      </c>
      <c r="D265" s="43" t="s">
        <v>33</v>
      </c>
      <c r="E265" s="43"/>
      <c r="F265" s="42" t="s">
        <v>85</v>
      </c>
      <c r="G265" s="43" t="s">
        <v>41</v>
      </c>
      <c r="H265" s="42">
        <v>31</v>
      </c>
      <c r="I265" s="44">
        <v>44835</v>
      </c>
      <c r="J265" s="43" t="s">
        <v>54</v>
      </c>
      <c r="K265" s="46">
        <v>9461</v>
      </c>
      <c r="L265" s="42"/>
      <c r="M265" s="51">
        <f>VLOOKUP(A265,'[1]ناتج ملف Excel'!$A:$AV,46,0)</f>
        <v>446.1</v>
      </c>
      <c r="N265" s="51">
        <f>VLOOKUP(A265,'[1]ناتج ملف Excel'!$A:$AV,47,0)</f>
        <v>2365.25</v>
      </c>
      <c r="O265" s="42"/>
      <c r="P265" s="47">
        <v>0</v>
      </c>
      <c r="Q265" s="48"/>
      <c r="R265" s="48">
        <v>0</v>
      </c>
      <c r="S265" s="72"/>
      <c r="T265" s="47">
        <v>3080</v>
      </c>
      <c r="U265" s="48">
        <f t="shared" si="40"/>
        <v>585.69791666666663</v>
      </c>
      <c r="V265" s="47">
        <v>500</v>
      </c>
      <c r="W265" s="42">
        <v>0</v>
      </c>
      <c r="X265" s="42">
        <v>0</v>
      </c>
      <c r="Y265" s="42">
        <v>0</v>
      </c>
      <c r="Z265" s="42">
        <v>0</v>
      </c>
      <c r="AA265" s="4">
        <f t="shared" ref="AA265:AA327" si="42">U265+T265+N265+M265+O265</f>
        <v>6477.0479166666664</v>
      </c>
      <c r="AB265" s="4">
        <f t="shared" si="41"/>
        <v>77724.574999999997</v>
      </c>
      <c r="AC265" s="4">
        <f t="shared" ref="AC265:AC327" si="43">AB265+((K265+V265+W265+X265)*12)</f>
        <v>197256.57500000001</v>
      </c>
    </row>
    <row r="266" spans="1:29" x14ac:dyDescent="0.2">
      <c r="A266" s="42">
        <v>400247</v>
      </c>
      <c r="B266" s="43">
        <v>3</v>
      </c>
      <c r="C266" s="42" t="s">
        <v>300</v>
      </c>
      <c r="D266" s="43" t="s">
        <v>33</v>
      </c>
      <c r="E266" s="43"/>
      <c r="F266" s="42" t="s">
        <v>87</v>
      </c>
      <c r="G266" s="43" t="s">
        <v>41</v>
      </c>
      <c r="H266" s="42">
        <v>30</v>
      </c>
      <c r="I266" s="44">
        <v>44835</v>
      </c>
      <c r="J266" s="43" t="s">
        <v>54</v>
      </c>
      <c r="K266" s="46">
        <v>9459</v>
      </c>
      <c r="L266" s="42"/>
      <c r="M266" s="51">
        <f>VLOOKUP(A266,'[1]ناتج ملف Excel'!$A:$AV,46,0)</f>
        <v>445.9</v>
      </c>
      <c r="N266" s="51">
        <f>VLOOKUP(A266,'[1]ناتج ملف Excel'!$A:$AV,47,0)</f>
        <v>2364.75</v>
      </c>
      <c r="O266" s="42"/>
      <c r="P266" s="47">
        <v>0</v>
      </c>
      <c r="Q266" s="48"/>
      <c r="R266" s="48">
        <v>0</v>
      </c>
      <c r="S266" s="72"/>
      <c r="T266" s="47">
        <v>3080</v>
      </c>
      <c r="U266" s="48">
        <f t="shared" si="40"/>
        <v>585.55208333333337</v>
      </c>
      <c r="V266" s="47">
        <v>500</v>
      </c>
      <c r="W266" s="42">
        <v>0</v>
      </c>
      <c r="X266" s="42">
        <v>0</v>
      </c>
      <c r="Y266" s="42">
        <v>0</v>
      </c>
      <c r="Z266" s="42">
        <v>0</v>
      </c>
      <c r="AA266" s="4">
        <f t="shared" si="42"/>
        <v>6476.2020833333336</v>
      </c>
      <c r="AB266" s="4">
        <f t="shared" si="41"/>
        <v>77714.425000000003</v>
      </c>
      <c r="AC266" s="4">
        <f t="shared" si="43"/>
        <v>197222.42499999999</v>
      </c>
    </row>
    <row r="267" spans="1:29" x14ac:dyDescent="0.2">
      <c r="A267" s="42">
        <v>400248</v>
      </c>
      <c r="B267" s="43" t="s">
        <v>267</v>
      </c>
      <c r="C267" s="42" t="s">
        <v>300</v>
      </c>
      <c r="D267" s="43" t="s">
        <v>33</v>
      </c>
      <c r="E267" s="43"/>
      <c r="F267" s="42" t="s">
        <v>85</v>
      </c>
      <c r="G267" s="43" t="s">
        <v>41</v>
      </c>
      <c r="H267" s="42">
        <v>26</v>
      </c>
      <c r="I267" s="44">
        <v>44835</v>
      </c>
      <c r="J267" s="43" t="s">
        <v>54</v>
      </c>
      <c r="K267" s="46">
        <v>6009</v>
      </c>
      <c r="L267" s="42"/>
      <c r="M267" s="51">
        <f>VLOOKUP(A267,'[1]ناتج ملف Excel'!$A:$AV,46,0)</f>
        <v>100.9</v>
      </c>
      <c r="N267" s="51">
        <f>VLOOKUP(A267,'[1]ناتج ملف Excel'!$A:$AV,47,0)</f>
        <v>1502.25</v>
      </c>
      <c r="O267" s="42"/>
      <c r="P267" s="47">
        <v>0</v>
      </c>
      <c r="Q267" s="48"/>
      <c r="R267" s="48">
        <v>0</v>
      </c>
      <c r="S267" s="72"/>
      <c r="T267" s="47">
        <v>3080</v>
      </c>
      <c r="U267" s="48">
        <f t="shared" si="40"/>
        <v>333.98958333333331</v>
      </c>
      <c r="V267" s="47">
        <v>500</v>
      </c>
      <c r="W267" s="42">
        <v>0</v>
      </c>
      <c r="X267" s="42">
        <v>0</v>
      </c>
      <c r="Y267" s="42">
        <v>0</v>
      </c>
      <c r="Z267" s="42">
        <v>0</v>
      </c>
      <c r="AA267" s="4">
        <f t="shared" si="42"/>
        <v>5017.1395833333336</v>
      </c>
      <c r="AB267" s="4">
        <f t="shared" si="41"/>
        <v>60205.675000000003</v>
      </c>
      <c r="AC267" s="4">
        <f t="shared" si="43"/>
        <v>138313.67499999999</v>
      </c>
    </row>
    <row r="268" spans="1:29" x14ac:dyDescent="0.2">
      <c r="A268" s="42">
        <v>400249</v>
      </c>
      <c r="B268" s="43" t="s">
        <v>267</v>
      </c>
      <c r="C268" s="42" t="s">
        <v>300</v>
      </c>
      <c r="D268" s="43" t="s">
        <v>33</v>
      </c>
      <c r="E268" s="43"/>
      <c r="F268" s="42" t="s">
        <v>88</v>
      </c>
      <c r="G268" s="43" t="s">
        <v>41</v>
      </c>
      <c r="H268" s="42">
        <v>28</v>
      </c>
      <c r="I268" s="44">
        <v>44835</v>
      </c>
      <c r="J268" s="43" t="s">
        <v>54</v>
      </c>
      <c r="K268" s="46">
        <v>6190</v>
      </c>
      <c r="L268" s="42"/>
      <c r="M268" s="51">
        <f>VLOOKUP(A268,'[1]ناتج ملف Excel'!$A:$AV,46,0)</f>
        <v>119</v>
      </c>
      <c r="N268" s="51">
        <f>VLOOKUP(A268,'[1]ناتج ملف Excel'!$A:$AV,47,0)</f>
        <v>1547.5</v>
      </c>
      <c r="O268" s="42"/>
      <c r="P268" s="47">
        <v>0</v>
      </c>
      <c r="Q268" s="48"/>
      <c r="R268" s="48">
        <v>0</v>
      </c>
      <c r="S268" s="72"/>
      <c r="T268" s="47">
        <v>3080</v>
      </c>
      <c r="U268" s="48">
        <f t="shared" si="40"/>
        <v>347.1875</v>
      </c>
      <c r="V268" s="47">
        <v>500</v>
      </c>
      <c r="W268" s="42">
        <v>0</v>
      </c>
      <c r="X268" s="42">
        <v>0</v>
      </c>
      <c r="Y268" s="42">
        <v>0</v>
      </c>
      <c r="Z268" s="42">
        <v>0</v>
      </c>
      <c r="AA268" s="4">
        <f t="shared" si="42"/>
        <v>5093.6875</v>
      </c>
      <c r="AB268" s="4">
        <f t="shared" si="41"/>
        <v>61124.25</v>
      </c>
      <c r="AC268" s="4">
        <f t="shared" si="43"/>
        <v>141404.25</v>
      </c>
    </row>
    <row r="269" spans="1:29" x14ac:dyDescent="0.2">
      <c r="A269" s="42">
        <v>400250</v>
      </c>
      <c r="B269" s="43">
        <v>3</v>
      </c>
      <c r="C269" s="42" t="s">
        <v>300</v>
      </c>
      <c r="D269" s="43" t="s">
        <v>33</v>
      </c>
      <c r="E269" s="43"/>
      <c r="F269" s="42" t="s">
        <v>81</v>
      </c>
      <c r="G269" s="43" t="s">
        <v>41</v>
      </c>
      <c r="H269" s="42">
        <v>31</v>
      </c>
      <c r="I269" s="44">
        <v>44835</v>
      </c>
      <c r="J269" s="43" t="s">
        <v>54</v>
      </c>
      <c r="K269" s="46">
        <v>9643</v>
      </c>
      <c r="L269" s="42"/>
      <c r="M269" s="51">
        <f>VLOOKUP(A269,'[1]ناتج ملف Excel'!$A:$AV,46,0)</f>
        <v>464.3</v>
      </c>
      <c r="N269" s="51">
        <f>VLOOKUP(A269,'[1]ناتج ملف Excel'!$A:$AV,47,0)</f>
        <v>2410.75</v>
      </c>
      <c r="O269" s="42"/>
      <c r="P269" s="47">
        <v>0</v>
      </c>
      <c r="Q269" s="48"/>
      <c r="R269" s="48">
        <v>0</v>
      </c>
      <c r="S269" s="72"/>
      <c r="T269" s="47">
        <v>3080</v>
      </c>
      <c r="U269" s="48">
        <f t="shared" si="40"/>
        <v>598.96875</v>
      </c>
      <c r="V269" s="47">
        <v>500</v>
      </c>
      <c r="W269" s="42">
        <v>0</v>
      </c>
      <c r="X269" s="42">
        <v>0</v>
      </c>
      <c r="Y269" s="42">
        <v>0</v>
      </c>
      <c r="Z269" s="42">
        <v>0</v>
      </c>
      <c r="AA269" s="4">
        <f t="shared" si="42"/>
        <v>6554.0187500000002</v>
      </c>
      <c r="AB269" s="4">
        <f t="shared" si="41"/>
        <v>78648.225000000006</v>
      </c>
      <c r="AC269" s="4">
        <f t="shared" si="43"/>
        <v>200364.22500000001</v>
      </c>
    </row>
    <row r="270" spans="1:29" x14ac:dyDescent="0.2">
      <c r="A270" s="42">
        <v>400251</v>
      </c>
      <c r="B270" s="43" t="s">
        <v>267</v>
      </c>
      <c r="C270" s="42" t="s">
        <v>300</v>
      </c>
      <c r="D270" s="43" t="s">
        <v>33</v>
      </c>
      <c r="E270" s="43"/>
      <c r="F270" s="42" t="s">
        <v>85</v>
      </c>
      <c r="G270" s="43" t="s">
        <v>41</v>
      </c>
      <c r="H270" s="42">
        <v>26</v>
      </c>
      <c r="I270" s="44">
        <v>44835</v>
      </c>
      <c r="J270" s="43" t="s">
        <v>54</v>
      </c>
      <c r="K270" s="46">
        <v>6189</v>
      </c>
      <c r="L270" s="42"/>
      <c r="M270" s="51">
        <f>VLOOKUP(A270,'[1]ناتج ملف Excel'!$A:$AV,46,0)</f>
        <v>118.9</v>
      </c>
      <c r="N270" s="51">
        <f>VLOOKUP(A270,'[1]ناتج ملف Excel'!$A:$AV,47,0)</f>
        <v>1547.25</v>
      </c>
      <c r="O270" s="42"/>
      <c r="P270" s="47">
        <v>0</v>
      </c>
      <c r="Q270" s="48"/>
      <c r="R270" s="48">
        <v>0</v>
      </c>
      <c r="S270" s="72"/>
      <c r="T270" s="47">
        <v>3080</v>
      </c>
      <c r="U270" s="48">
        <f t="shared" si="40"/>
        <v>347.11458333333331</v>
      </c>
      <c r="V270" s="47">
        <v>500</v>
      </c>
      <c r="W270" s="42">
        <v>0</v>
      </c>
      <c r="X270" s="42">
        <v>0</v>
      </c>
      <c r="Y270" s="42">
        <v>0</v>
      </c>
      <c r="Z270" s="42">
        <v>0</v>
      </c>
      <c r="AA270" s="4">
        <f t="shared" si="42"/>
        <v>5093.2645833333336</v>
      </c>
      <c r="AB270" s="4">
        <f t="shared" si="41"/>
        <v>61119.175000000003</v>
      </c>
      <c r="AC270" s="4">
        <f t="shared" si="43"/>
        <v>141387.17499999999</v>
      </c>
    </row>
    <row r="271" spans="1:29" x14ac:dyDescent="0.2">
      <c r="A271" s="42">
        <v>400252</v>
      </c>
      <c r="B271" s="43">
        <v>3</v>
      </c>
      <c r="C271" s="42" t="s">
        <v>300</v>
      </c>
      <c r="D271" s="43" t="s">
        <v>33</v>
      </c>
      <c r="E271" s="43"/>
      <c r="F271" s="42" t="s">
        <v>82</v>
      </c>
      <c r="G271" s="43" t="s">
        <v>41</v>
      </c>
      <c r="H271" s="42">
        <v>31</v>
      </c>
      <c r="I271" s="44">
        <v>44835</v>
      </c>
      <c r="J271" s="43" t="s">
        <v>54</v>
      </c>
      <c r="K271" s="46">
        <v>9461</v>
      </c>
      <c r="L271" s="42"/>
      <c r="M271" s="51">
        <f>VLOOKUP(A271,'[1]ناتج ملف Excel'!$A:$AV,46,0)</f>
        <v>446.1</v>
      </c>
      <c r="N271" s="51">
        <f>VLOOKUP(A271,'[1]ناتج ملف Excel'!$A:$AV,47,0)</f>
        <v>2365.25</v>
      </c>
      <c r="O271" s="42"/>
      <c r="P271" s="47">
        <v>0</v>
      </c>
      <c r="Q271" s="48"/>
      <c r="R271" s="48">
        <v>0</v>
      </c>
      <c r="S271" s="72"/>
      <c r="T271" s="47">
        <v>3080</v>
      </c>
      <c r="U271" s="48">
        <f t="shared" si="40"/>
        <v>585.69791666666663</v>
      </c>
      <c r="V271" s="47">
        <v>500</v>
      </c>
      <c r="W271" s="42">
        <v>0</v>
      </c>
      <c r="X271" s="42">
        <v>0</v>
      </c>
      <c r="Y271" s="42">
        <v>0</v>
      </c>
      <c r="Z271" s="42">
        <v>0</v>
      </c>
      <c r="AA271" s="4">
        <f t="shared" si="42"/>
        <v>6477.0479166666664</v>
      </c>
      <c r="AB271" s="4">
        <f t="shared" si="41"/>
        <v>77724.574999999997</v>
      </c>
      <c r="AC271" s="4">
        <f t="shared" si="43"/>
        <v>197256.57500000001</v>
      </c>
    </row>
    <row r="272" spans="1:29" x14ac:dyDescent="0.2">
      <c r="A272" s="42">
        <v>400253</v>
      </c>
      <c r="B272" s="43" t="s">
        <v>267</v>
      </c>
      <c r="C272" s="42" t="s">
        <v>300</v>
      </c>
      <c r="D272" s="43" t="s">
        <v>33</v>
      </c>
      <c r="E272" s="43"/>
      <c r="F272" s="42" t="s">
        <v>77</v>
      </c>
      <c r="G272" s="43" t="s">
        <v>41</v>
      </c>
      <c r="H272" s="42">
        <v>37</v>
      </c>
      <c r="I272" s="44">
        <v>44835</v>
      </c>
      <c r="J272" s="43" t="s">
        <v>54</v>
      </c>
      <c r="K272" s="46">
        <v>5847</v>
      </c>
      <c r="L272" s="42"/>
      <c r="M272" s="51">
        <f>VLOOKUP(A272,'[1]ناتج ملف Excel'!$A:$AV,46,0)</f>
        <v>184.7</v>
      </c>
      <c r="N272" s="51">
        <f>VLOOKUP(A272,'[1]ناتج ملف Excel'!$A:$AV,47,0)</f>
        <v>1461.75</v>
      </c>
      <c r="O272" s="42"/>
      <c r="P272" s="47">
        <v>0</v>
      </c>
      <c r="Q272" s="48"/>
      <c r="R272" s="48">
        <v>0</v>
      </c>
      <c r="S272" s="72"/>
      <c r="T272" s="47">
        <v>3080</v>
      </c>
      <c r="U272" s="48">
        <f t="shared" si="40"/>
        <v>343.01041666666669</v>
      </c>
      <c r="V272" s="47">
        <v>400</v>
      </c>
      <c r="W272" s="42">
        <v>0</v>
      </c>
      <c r="X272" s="42">
        <v>0</v>
      </c>
      <c r="Y272" s="42">
        <v>0</v>
      </c>
      <c r="Z272" s="42">
        <v>0</v>
      </c>
      <c r="AA272" s="4">
        <f t="shared" si="42"/>
        <v>5069.4604166666659</v>
      </c>
      <c r="AB272" s="4">
        <f t="shared" si="41"/>
        <v>60833.524999999994</v>
      </c>
      <c r="AC272" s="4">
        <f t="shared" si="43"/>
        <v>135797.52499999999</v>
      </c>
    </row>
    <row r="273" spans="1:29" x14ac:dyDescent="0.2">
      <c r="A273" s="42">
        <v>400255</v>
      </c>
      <c r="B273" s="43">
        <v>3</v>
      </c>
      <c r="C273" s="42" t="s">
        <v>300</v>
      </c>
      <c r="D273" s="43" t="s">
        <v>33</v>
      </c>
      <c r="E273" s="43"/>
      <c r="F273" s="42" t="s">
        <v>86</v>
      </c>
      <c r="G273" s="43" t="s">
        <v>41</v>
      </c>
      <c r="H273" s="42">
        <v>29</v>
      </c>
      <c r="I273" s="44">
        <v>44835</v>
      </c>
      <c r="J273" s="43" t="s">
        <v>54</v>
      </c>
      <c r="K273" s="46">
        <v>9459</v>
      </c>
      <c r="L273" s="42"/>
      <c r="M273" s="51">
        <f>VLOOKUP(A273,'[1]ناتج ملف Excel'!$A:$AV,46,0)</f>
        <v>445.9</v>
      </c>
      <c r="N273" s="51">
        <f>VLOOKUP(A273,'[1]ناتج ملف Excel'!$A:$AV,47,0)</f>
        <v>2364.75</v>
      </c>
      <c r="O273" s="42"/>
      <c r="P273" s="47">
        <v>0</v>
      </c>
      <c r="Q273" s="48"/>
      <c r="R273" s="48">
        <v>0</v>
      </c>
      <c r="S273" s="72"/>
      <c r="T273" s="47">
        <v>3080</v>
      </c>
      <c r="U273" s="48">
        <f t="shared" si="40"/>
        <v>585.55208333333337</v>
      </c>
      <c r="V273" s="47">
        <v>500</v>
      </c>
      <c r="W273" s="42">
        <v>0</v>
      </c>
      <c r="X273" s="42">
        <v>0</v>
      </c>
      <c r="Y273" s="42">
        <v>0</v>
      </c>
      <c r="Z273" s="42">
        <v>0</v>
      </c>
      <c r="AA273" s="4">
        <f t="shared" si="42"/>
        <v>6476.2020833333336</v>
      </c>
      <c r="AB273" s="4">
        <f t="shared" si="41"/>
        <v>77714.425000000003</v>
      </c>
      <c r="AC273" s="4">
        <f t="shared" si="43"/>
        <v>197222.42499999999</v>
      </c>
    </row>
    <row r="274" spans="1:29" x14ac:dyDescent="0.2">
      <c r="A274" s="42">
        <v>400258</v>
      </c>
      <c r="B274" s="43" t="s">
        <v>267</v>
      </c>
      <c r="C274" s="42" t="s">
        <v>277</v>
      </c>
      <c r="D274" s="43" t="s">
        <v>39</v>
      </c>
      <c r="E274" s="43" t="s">
        <v>40</v>
      </c>
      <c r="F274" s="42" t="s">
        <v>241</v>
      </c>
      <c r="G274" s="43" t="s">
        <v>41</v>
      </c>
      <c r="H274" s="42">
        <v>53</v>
      </c>
      <c r="I274" s="44">
        <v>45126</v>
      </c>
      <c r="J274" s="43" t="s">
        <v>54</v>
      </c>
      <c r="K274" s="49">
        <v>15855</v>
      </c>
      <c r="L274" s="42"/>
      <c r="M274" s="51">
        <f>VLOOKUP(A274,'[1]ناتج ملف Excel'!$A:$AV,46,0)</f>
        <v>100</v>
      </c>
      <c r="N274" s="51">
        <f>VLOOKUP(A274,'[1]ناتج ملف Excel'!$A:$AV,47,0)</f>
        <v>3963.75</v>
      </c>
      <c r="O274" s="42"/>
      <c r="P274" s="47">
        <v>0</v>
      </c>
      <c r="Q274" s="48"/>
      <c r="R274" s="48">
        <v>0</v>
      </c>
      <c r="S274" s="72"/>
      <c r="T274" s="47">
        <v>3080</v>
      </c>
      <c r="U274" s="48">
        <f t="shared" si="40"/>
        <v>846.61458333333337</v>
      </c>
      <c r="V274" s="47">
        <v>700</v>
      </c>
      <c r="W274" s="42">
        <v>0</v>
      </c>
      <c r="X274" s="42">
        <v>0</v>
      </c>
      <c r="Y274" s="46">
        <v>3171</v>
      </c>
      <c r="Z274" s="42">
        <v>0</v>
      </c>
      <c r="AA274" s="4">
        <f t="shared" si="42"/>
        <v>7990.3645833333339</v>
      </c>
      <c r="AB274" s="4">
        <f t="shared" si="41"/>
        <v>95884.375</v>
      </c>
      <c r="AC274" s="4">
        <f t="shared" si="43"/>
        <v>294544.375</v>
      </c>
    </row>
    <row r="275" spans="1:29" x14ac:dyDescent="0.2">
      <c r="A275" s="42">
        <v>400259</v>
      </c>
      <c r="B275" s="43" t="s">
        <v>266</v>
      </c>
      <c r="C275" s="42" t="s">
        <v>277</v>
      </c>
      <c r="D275" s="43" t="s">
        <v>39</v>
      </c>
      <c r="E275" s="43" t="s">
        <v>40</v>
      </c>
      <c r="F275" s="42" t="s">
        <v>242</v>
      </c>
      <c r="G275" s="43" t="s">
        <v>41</v>
      </c>
      <c r="H275" s="42">
        <v>47</v>
      </c>
      <c r="I275" s="44">
        <v>45126</v>
      </c>
      <c r="J275" s="43" t="s">
        <v>54</v>
      </c>
      <c r="K275" s="46">
        <v>9200</v>
      </c>
      <c r="L275" s="42"/>
      <c r="M275" s="51">
        <f>VLOOKUP(A275,'[1]ناتج ملف Excel'!$A:$AV,46,0)</f>
        <v>100</v>
      </c>
      <c r="N275" s="51">
        <f>VLOOKUP(A275,'[1]ناتج ملف Excel'!$A:$AV,47,0)</f>
        <v>2300</v>
      </c>
      <c r="O275" s="42"/>
      <c r="P275" s="47">
        <v>0</v>
      </c>
      <c r="Q275" s="48"/>
      <c r="R275" s="48">
        <v>0</v>
      </c>
      <c r="S275" s="72"/>
      <c r="T275" s="47">
        <v>3080</v>
      </c>
      <c r="U275" s="48">
        <f t="shared" si="40"/>
        <v>500</v>
      </c>
      <c r="V275" s="47">
        <v>700</v>
      </c>
      <c r="W275" s="42">
        <v>0</v>
      </c>
      <c r="X275" s="42">
        <v>0</v>
      </c>
      <c r="Y275" s="46">
        <v>1840</v>
      </c>
      <c r="Z275" s="42">
        <v>0</v>
      </c>
      <c r="AA275" s="4">
        <f t="shared" si="42"/>
        <v>5980</v>
      </c>
      <c r="AB275" s="4">
        <f t="shared" si="41"/>
        <v>71760</v>
      </c>
      <c r="AC275" s="4">
        <f t="shared" si="43"/>
        <v>190560</v>
      </c>
    </row>
    <row r="276" spans="1:29" x14ac:dyDescent="0.2">
      <c r="A276" s="42">
        <v>400260</v>
      </c>
      <c r="B276" s="43" t="s">
        <v>267</v>
      </c>
      <c r="C276" s="42" t="s">
        <v>277</v>
      </c>
      <c r="D276" s="43" t="s">
        <v>39</v>
      </c>
      <c r="E276" s="43" t="s">
        <v>40</v>
      </c>
      <c r="F276" s="42" t="s">
        <v>243</v>
      </c>
      <c r="G276" s="43" t="s">
        <v>41</v>
      </c>
      <c r="H276" s="42">
        <v>53</v>
      </c>
      <c r="I276" s="44">
        <v>45126</v>
      </c>
      <c r="J276" s="43" t="s">
        <v>54</v>
      </c>
      <c r="K276" s="49">
        <v>13820</v>
      </c>
      <c r="L276" s="42"/>
      <c r="M276" s="51">
        <f>VLOOKUP(A276,'[1]ناتج ملف Excel'!$A:$AV,46,0)</f>
        <v>100</v>
      </c>
      <c r="N276" s="51">
        <f>VLOOKUP(A276,'[1]ناتج ملف Excel'!$A:$AV,47,0)</f>
        <v>3455</v>
      </c>
      <c r="O276" s="42"/>
      <c r="P276" s="47">
        <v>0</v>
      </c>
      <c r="Q276" s="48"/>
      <c r="R276" s="48">
        <v>0</v>
      </c>
      <c r="S276" s="72"/>
      <c r="T276" s="47">
        <v>3080</v>
      </c>
      <c r="U276" s="48">
        <f t="shared" si="40"/>
        <v>740.625</v>
      </c>
      <c r="V276" s="47">
        <v>700</v>
      </c>
      <c r="W276" s="42">
        <v>0</v>
      </c>
      <c r="X276" s="42">
        <v>0</v>
      </c>
      <c r="Y276" s="46">
        <v>2764</v>
      </c>
      <c r="Z276" s="42">
        <v>0</v>
      </c>
      <c r="AA276" s="4">
        <f t="shared" si="42"/>
        <v>7375.625</v>
      </c>
      <c r="AB276" s="4">
        <f t="shared" si="41"/>
        <v>88507.5</v>
      </c>
      <c r="AC276" s="4">
        <f t="shared" si="43"/>
        <v>262747.5</v>
      </c>
    </row>
    <row r="277" spans="1:29" x14ac:dyDescent="0.2">
      <c r="A277" s="42">
        <v>400261</v>
      </c>
      <c r="B277" s="43">
        <v>7</v>
      </c>
      <c r="C277" s="42" t="s">
        <v>277</v>
      </c>
      <c r="D277" s="43" t="s">
        <v>39</v>
      </c>
      <c r="E277" s="43" t="s">
        <v>40</v>
      </c>
      <c r="F277" s="42" t="s">
        <v>244</v>
      </c>
      <c r="G277" s="43" t="s">
        <v>41</v>
      </c>
      <c r="H277" s="42">
        <v>49</v>
      </c>
      <c r="I277" s="44">
        <v>45126</v>
      </c>
      <c r="J277" s="43" t="s">
        <v>54</v>
      </c>
      <c r="K277" s="49">
        <v>14995</v>
      </c>
      <c r="L277" s="42"/>
      <c r="M277" s="51">
        <f>VLOOKUP(A277,'[1]ناتج ملف Excel'!$A:$AV,46,0)</f>
        <v>599.5</v>
      </c>
      <c r="N277" s="51">
        <f>VLOOKUP(A277,'[1]ناتج ملف Excel'!$A:$AV,47,0)</f>
        <v>3748.75</v>
      </c>
      <c r="O277" s="42"/>
      <c r="P277" s="47">
        <v>0</v>
      </c>
      <c r="Q277" s="48"/>
      <c r="R277" s="48">
        <v>0</v>
      </c>
      <c r="S277" s="72"/>
      <c r="T277" s="47">
        <v>3080</v>
      </c>
      <c r="U277" s="48">
        <f t="shared" si="40"/>
        <v>905.88541666666663</v>
      </c>
      <c r="V277" s="47">
        <v>900</v>
      </c>
      <c r="W277" s="42">
        <v>0</v>
      </c>
      <c r="X277" s="42">
        <v>0</v>
      </c>
      <c r="Y277" s="42">
        <v>0</v>
      </c>
      <c r="Z277" s="42">
        <v>0</v>
      </c>
      <c r="AA277" s="4">
        <f t="shared" si="42"/>
        <v>8334.1354166666661</v>
      </c>
      <c r="AB277" s="4">
        <f t="shared" si="41"/>
        <v>100009.625</v>
      </c>
      <c r="AC277" s="4">
        <f t="shared" si="43"/>
        <v>290749.625</v>
      </c>
    </row>
    <row r="278" spans="1:29" x14ac:dyDescent="0.2">
      <c r="A278" s="42">
        <v>400262</v>
      </c>
      <c r="B278" s="43">
        <v>6</v>
      </c>
      <c r="C278" s="42" t="s">
        <v>277</v>
      </c>
      <c r="D278" s="43" t="s">
        <v>39</v>
      </c>
      <c r="E278" s="43" t="s">
        <v>40</v>
      </c>
      <c r="F278" s="42" t="s">
        <v>245</v>
      </c>
      <c r="G278" s="43" t="s">
        <v>41</v>
      </c>
      <c r="H278" s="42">
        <v>46</v>
      </c>
      <c r="I278" s="44">
        <v>45126</v>
      </c>
      <c r="J278" s="43" t="s">
        <v>54</v>
      </c>
      <c r="K278" s="49">
        <v>17415</v>
      </c>
      <c r="L278" s="42"/>
      <c r="M278" s="51">
        <f>VLOOKUP(A278,'[1]ناتج ملف Excel'!$A:$AV,46,0)</f>
        <v>1041.5</v>
      </c>
      <c r="N278" s="51">
        <f>VLOOKUP(A278,'[1]ناتج ملف Excel'!$A:$AV,47,0)</f>
        <v>4353.75</v>
      </c>
      <c r="O278" s="42"/>
      <c r="P278" s="47">
        <v>0</v>
      </c>
      <c r="Q278" s="48"/>
      <c r="R278" s="48">
        <v>0</v>
      </c>
      <c r="S278" s="72"/>
      <c r="T278" s="47">
        <v>3080</v>
      </c>
      <c r="U278" s="48">
        <f t="shared" si="40"/>
        <v>1124.0104166666667</v>
      </c>
      <c r="V278" s="47">
        <v>700</v>
      </c>
      <c r="W278" s="42">
        <v>750</v>
      </c>
      <c r="X278" s="42">
        <f>(K278*2)/2</f>
        <v>17415</v>
      </c>
      <c r="Y278" s="46">
        <v>3483</v>
      </c>
      <c r="Z278" s="42">
        <v>0</v>
      </c>
      <c r="AA278" s="4">
        <f t="shared" si="42"/>
        <v>9599.2604166666679</v>
      </c>
      <c r="AB278" s="4">
        <f t="shared" si="41"/>
        <v>115191.12500000001</v>
      </c>
      <c r="AC278" s="4">
        <f t="shared" si="43"/>
        <v>550551.125</v>
      </c>
    </row>
    <row r="279" spans="1:29" x14ac:dyDescent="0.2">
      <c r="A279" s="42">
        <v>400263</v>
      </c>
      <c r="B279" s="43">
        <v>7</v>
      </c>
      <c r="C279" s="42" t="s">
        <v>277</v>
      </c>
      <c r="D279" s="43" t="s">
        <v>39</v>
      </c>
      <c r="E279" s="43" t="s">
        <v>40</v>
      </c>
      <c r="F279" s="42" t="s">
        <v>246</v>
      </c>
      <c r="G279" s="43" t="s">
        <v>41</v>
      </c>
      <c r="H279" s="42">
        <v>43</v>
      </c>
      <c r="I279" s="44">
        <v>45126</v>
      </c>
      <c r="J279" s="43" t="s">
        <v>54</v>
      </c>
      <c r="K279" s="49">
        <v>15375</v>
      </c>
      <c r="L279" s="42"/>
      <c r="M279" s="51">
        <f>VLOOKUP(A279,'[1]ناتج ملف Excel'!$A:$AV,46,0)</f>
        <v>837.5</v>
      </c>
      <c r="N279" s="51">
        <f>VLOOKUP(A279,'[1]ناتج ملف Excel'!$A:$AV,47,0)</f>
        <v>3843.75</v>
      </c>
      <c r="O279" s="42"/>
      <c r="P279" s="47">
        <v>0</v>
      </c>
      <c r="Q279" s="48"/>
      <c r="R279" s="48">
        <v>0</v>
      </c>
      <c r="S279" s="72"/>
      <c r="T279" s="47">
        <v>3080</v>
      </c>
      <c r="U279" s="48">
        <f t="shared" si="40"/>
        <v>975.26041666666663</v>
      </c>
      <c r="V279" s="47">
        <v>700</v>
      </c>
      <c r="W279" s="42">
        <v>0</v>
      </c>
      <c r="X279" s="42">
        <f>(K279*2)/2</f>
        <v>15375</v>
      </c>
      <c r="Y279" s="46">
        <v>3075</v>
      </c>
      <c r="Z279" s="45">
        <v>0</v>
      </c>
      <c r="AA279" s="4">
        <f t="shared" si="42"/>
        <v>8736.5104166666661</v>
      </c>
      <c r="AB279" s="4">
        <f t="shared" si="41"/>
        <v>104838.125</v>
      </c>
      <c r="AC279" s="4">
        <f t="shared" si="43"/>
        <v>482238.125</v>
      </c>
    </row>
    <row r="280" spans="1:29" x14ac:dyDescent="0.2">
      <c r="A280" s="42">
        <v>400266</v>
      </c>
      <c r="B280" s="43">
        <v>6</v>
      </c>
      <c r="C280" s="42" t="s">
        <v>277</v>
      </c>
      <c r="D280" s="43" t="s">
        <v>39</v>
      </c>
      <c r="E280" s="43" t="s">
        <v>40</v>
      </c>
      <c r="F280" s="42" t="s">
        <v>247</v>
      </c>
      <c r="G280" s="43" t="s">
        <v>41</v>
      </c>
      <c r="H280" s="42">
        <v>43</v>
      </c>
      <c r="I280" s="44">
        <v>45126</v>
      </c>
      <c r="J280" s="43" t="s">
        <v>54</v>
      </c>
      <c r="K280" s="49">
        <v>13505</v>
      </c>
      <c r="L280" s="42"/>
      <c r="M280" s="51">
        <f>VLOOKUP(A280,'[1]ناتج ملف Excel'!$A:$AV,46,0)</f>
        <v>650.5</v>
      </c>
      <c r="N280" s="51">
        <f>VLOOKUP(A280,'[1]ناتج ملف Excel'!$A:$AV,47,0)</f>
        <v>3376.25</v>
      </c>
      <c r="O280" s="42"/>
      <c r="P280" s="47">
        <v>0</v>
      </c>
      <c r="Q280" s="48"/>
      <c r="R280" s="48">
        <v>0</v>
      </c>
      <c r="S280" s="72"/>
      <c r="T280" s="47">
        <v>3080</v>
      </c>
      <c r="U280" s="48">
        <f t="shared" si="40"/>
        <v>838.90625</v>
      </c>
      <c r="V280" s="47">
        <v>700</v>
      </c>
      <c r="W280" s="42">
        <v>0</v>
      </c>
      <c r="X280" s="42">
        <v>0</v>
      </c>
      <c r="Y280" s="46">
        <v>2701</v>
      </c>
      <c r="Z280" s="46">
        <v>2701</v>
      </c>
      <c r="AA280" s="4">
        <f t="shared" si="42"/>
        <v>7945.65625</v>
      </c>
      <c r="AB280" s="4">
        <f t="shared" si="41"/>
        <v>95347.875</v>
      </c>
      <c r="AC280" s="4">
        <f t="shared" si="43"/>
        <v>265807.875</v>
      </c>
    </row>
    <row r="281" spans="1:29" x14ac:dyDescent="0.2">
      <c r="A281" s="42">
        <v>400267</v>
      </c>
      <c r="B281" s="43">
        <v>7</v>
      </c>
      <c r="C281" s="42" t="s">
        <v>277</v>
      </c>
      <c r="D281" s="43" t="s">
        <v>39</v>
      </c>
      <c r="E281" s="43" t="s">
        <v>40</v>
      </c>
      <c r="F281" s="42" t="s">
        <v>248</v>
      </c>
      <c r="G281" s="43" t="s">
        <v>41</v>
      </c>
      <c r="H281" s="42">
        <v>43</v>
      </c>
      <c r="I281" s="44">
        <v>45126</v>
      </c>
      <c r="J281" s="43" t="s">
        <v>54</v>
      </c>
      <c r="K281" s="49">
        <v>16055</v>
      </c>
      <c r="L281" s="42"/>
      <c r="M281" s="51">
        <f>VLOOKUP(A281,'[1]ناتج ملف Excel'!$A:$AV,46,0)</f>
        <v>705.5</v>
      </c>
      <c r="N281" s="51">
        <f>VLOOKUP(A281,'[1]ناتج ملف Excel'!$A:$AV,47,0)</f>
        <v>4013.75</v>
      </c>
      <c r="O281" s="42"/>
      <c r="P281" s="47">
        <v>0</v>
      </c>
      <c r="Q281" s="48"/>
      <c r="R281" s="48">
        <v>0</v>
      </c>
      <c r="S281" s="72"/>
      <c r="T281" s="47">
        <v>3080</v>
      </c>
      <c r="U281" s="48">
        <f t="shared" si="40"/>
        <v>983.17708333333337</v>
      </c>
      <c r="V281" s="47">
        <v>900</v>
      </c>
      <c r="W281" s="42">
        <v>0</v>
      </c>
      <c r="X281" s="42">
        <f>(K281*2)/2</f>
        <v>16055</v>
      </c>
      <c r="Y281" s="46">
        <v>3211</v>
      </c>
      <c r="Z281" s="42">
        <v>0</v>
      </c>
      <c r="AA281" s="4">
        <f t="shared" si="42"/>
        <v>8782.4270833333339</v>
      </c>
      <c r="AB281" s="4">
        <f t="shared" si="41"/>
        <v>105389.125</v>
      </c>
      <c r="AC281" s="4">
        <f t="shared" si="43"/>
        <v>501509.125</v>
      </c>
    </row>
    <row r="282" spans="1:29" x14ac:dyDescent="0.2">
      <c r="A282" s="42">
        <v>400270</v>
      </c>
      <c r="B282" s="43">
        <v>7</v>
      </c>
      <c r="C282" s="42" t="s">
        <v>277</v>
      </c>
      <c r="D282" s="43" t="s">
        <v>39</v>
      </c>
      <c r="E282" s="43" t="s">
        <v>40</v>
      </c>
      <c r="F282" s="42" t="s">
        <v>249</v>
      </c>
      <c r="G282" s="43" t="s">
        <v>41</v>
      </c>
      <c r="H282" s="42">
        <v>44</v>
      </c>
      <c r="I282" s="44">
        <v>45126</v>
      </c>
      <c r="J282" s="43" t="s">
        <v>54</v>
      </c>
      <c r="K282" s="49">
        <v>16585</v>
      </c>
      <c r="L282" s="42"/>
      <c r="M282" s="51">
        <f>VLOOKUP(A282,'[1]ناتج ملف Excel'!$A:$AV,46,0)</f>
        <v>758.5</v>
      </c>
      <c r="N282" s="51">
        <f>VLOOKUP(A282,'[1]ناتج ملف Excel'!$A:$AV,47,0)</f>
        <v>4146.25</v>
      </c>
      <c r="O282" s="42"/>
      <c r="P282" s="47">
        <v>0</v>
      </c>
      <c r="Q282" s="48"/>
      <c r="R282" s="48">
        <v>0</v>
      </c>
      <c r="S282" s="72"/>
      <c r="T282" s="47">
        <v>3080</v>
      </c>
      <c r="U282" s="48">
        <f t="shared" si="40"/>
        <v>1021.8229166666666</v>
      </c>
      <c r="V282" s="47">
        <v>900</v>
      </c>
      <c r="W282" s="42">
        <v>0</v>
      </c>
      <c r="X282" s="42">
        <f>(K282*2)/2</f>
        <v>16585</v>
      </c>
      <c r="Y282" s="46">
        <v>3317</v>
      </c>
      <c r="Z282" s="42">
        <v>0</v>
      </c>
      <c r="AA282" s="4">
        <f t="shared" si="42"/>
        <v>9006.5729166666679</v>
      </c>
      <c r="AB282" s="4">
        <f t="shared" si="41"/>
        <v>108078.87500000001</v>
      </c>
      <c r="AC282" s="4">
        <f t="shared" si="43"/>
        <v>516918.875</v>
      </c>
    </row>
    <row r="283" spans="1:29" x14ac:dyDescent="0.2">
      <c r="A283" s="42">
        <v>400271</v>
      </c>
      <c r="B283" s="43">
        <v>7</v>
      </c>
      <c r="C283" s="42" t="s">
        <v>277</v>
      </c>
      <c r="D283" s="43" t="s">
        <v>39</v>
      </c>
      <c r="E283" s="43" t="s">
        <v>40</v>
      </c>
      <c r="F283" s="42" t="s">
        <v>250</v>
      </c>
      <c r="G283" s="43" t="s">
        <v>41</v>
      </c>
      <c r="H283" s="42">
        <v>49</v>
      </c>
      <c r="I283" s="44">
        <v>45126</v>
      </c>
      <c r="J283" s="43" t="s">
        <v>54</v>
      </c>
      <c r="K283" s="49">
        <v>13820</v>
      </c>
      <c r="L283" s="42"/>
      <c r="M283" s="51">
        <f>VLOOKUP(A283,'[1]ناتج ملف Excel'!$A:$AV,46,0)</f>
        <v>682</v>
      </c>
      <c r="N283" s="51">
        <f>VLOOKUP(A283,'[1]ناتج ملف Excel'!$A:$AV,47,0)</f>
        <v>3455</v>
      </c>
      <c r="O283" s="42"/>
      <c r="P283" s="47">
        <v>0</v>
      </c>
      <c r="Q283" s="48"/>
      <c r="R283" s="48">
        <v>0</v>
      </c>
      <c r="S283" s="72"/>
      <c r="T283" s="47">
        <v>3080</v>
      </c>
      <c r="U283" s="48">
        <f t="shared" si="40"/>
        <v>861.875</v>
      </c>
      <c r="V283" s="47">
        <v>700</v>
      </c>
      <c r="W283" s="42">
        <v>750</v>
      </c>
      <c r="X283" s="42">
        <f>(K283*2)/2</f>
        <v>13820</v>
      </c>
      <c r="Y283" s="46">
        <v>2764</v>
      </c>
      <c r="Z283" s="42">
        <v>0</v>
      </c>
      <c r="AA283" s="4">
        <f t="shared" si="42"/>
        <v>8078.875</v>
      </c>
      <c r="AB283" s="4">
        <f t="shared" si="41"/>
        <v>96946.5</v>
      </c>
      <c r="AC283" s="4">
        <f t="shared" si="43"/>
        <v>446026.5</v>
      </c>
    </row>
    <row r="284" spans="1:29" x14ac:dyDescent="0.2">
      <c r="A284" s="42">
        <v>400273</v>
      </c>
      <c r="B284" s="43">
        <v>6</v>
      </c>
      <c r="C284" s="42" t="s">
        <v>277</v>
      </c>
      <c r="D284" s="43" t="s">
        <v>39</v>
      </c>
      <c r="E284" s="43" t="s">
        <v>40</v>
      </c>
      <c r="F284" s="42" t="s">
        <v>251</v>
      </c>
      <c r="G284" s="43" t="s">
        <v>41</v>
      </c>
      <c r="H284" s="42">
        <v>46</v>
      </c>
      <c r="I284" s="44">
        <v>45126</v>
      </c>
      <c r="J284" s="43" t="s">
        <v>54</v>
      </c>
      <c r="K284" s="49">
        <v>17995</v>
      </c>
      <c r="L284" s="42"/>
      <c r="M284" s="51">
        <f>VLOOKUP(A284,'[1]ناتج ملف Excel'!$A:$AV,46,0)</f>
        <v>899.5</v>
      </c>
      <c r="N284" s="51">
        <f>VLOOKUP(A284,'[1]ناتج ملف Excel'!$A:$AV,47,0)</f>
        <v>4498.75</v>
      </c>
      <c r="O284" s="42"/>
      <c r="P284" s="47">
        <v>0</v>
      </c>
      <c r="Q284" s="48"/>
      <c r="R284" s="48">
        <v>0</v>
      </c>
      <c r="S284" s="72"/>
      <c r="T284" s="47">
        <v>3080</v>
      </c>
      <c r="U284" s="48">
        <f t="shared" si="40"/>
        <v>1124.6354166666667</v>
      </c>
      <c r="V284" s="47">
        <v>900</v>
      </c>
      <c r="W284" s="42">
        <v>0</v>
      </c>
      <c r="X284" s="42">
        <v>0</v>
      </c>
      <c r="Y284" s="46">
        <v>3599</v>
      </c>
      <c r="Z284" s="42">
        <v>0</v>
      </c>
      <c r="AA284" s="4">
        <f t="shared" si="42"/>
        <v>9602.8854166666679</v>
      </c>
      <c r="AB284" s="4">
        <f t="shared" si="41"/>
        <v>115234.62500000001</v>
      </c>
      <c r="AC284" s="4">
        <f t="shared" si="43"/>
        <v>341974.625</v>
      </c>
    </row>
    <row r="285" spans="1:29" x14ac:dyDescent="0.2">
      <c r="A285" s="42">
        <v>400274</v>
      </c>
      <c r="B285" s="43">
        <v>7</v>
      </c>
      <c r="C285" s="42" t="s">
        <v>277</v>
      </c>
      <c r="D285" s="43" t="s">
        <v>39</v>
      </c>
      <c r="E285" s="43" t="s">
        <v>40</v>
      </c>
      <c r="F285" s="42" t="s">
        <v>252</v>
      </c>
      <c r="G285" s="43" t="s">
        <v>41</v>
      </c>
      <c r="H285" s="42">
        <v>51</v>
      </c>
      <c r="I285" s="44">
        <v>45126</v>
      </c>
      <c r="J285" s="43" t="s">
        <v>54</v>
      </c>
      <c r="K285" s="49">
        <v>18175</v>
      </c>
      <c r="L285" s="42"/>
      <c r="M285" s="51">
        <f>VLOOKUP(A285,'[1]ناتج ملف Excel'!$A:$AV,46,0)</f>
        <v>917.5</v>
      </c>
      <c r="N285" s="51">
        <f>VLOOKUP(A285,'[1]ناتج ملف Excel'!$A:$AV,47,0)</f>
        <v>4543.75</v>
      </c>
      <c r="O285" s="42"/>
      <c r="P285" s="47">
        <v>0</v>
      </c>
      <c r="Q285" s="48"/>
      <c r="R285" s="48">
        <v>0</v>
      </c>
      <c r="S285" s="72"/>
      <c r="T285" s="47">
        <v>3080</v>
      </c>
      <c r="U285" s="48">
        <f t="shared" si="40"/>
        <v>1137.7604166666667</v>
      </c>
      <c r="V285" s="47">
        <v>900</v>
      </c>
      <c r="W285" s="42">
        <v>0</v>
      </c>
      <c r="X285" s="42">
        <v>0</v>
      </c>
      <c r="Y285" s="46">
        <v>3635</v>
      </c>
      <c r="Z285" s="42">
        <v>0</v>
      </c>
      <c r="AA285" s="4">
        <f t="shared" si="42"/>
        <v>9679.0104166666679</v>
      </c>
      <c r="AB285" s="4">
        <f t="shared" si="41"/>
        <v>116148.12500000001</v>
      </c>
      <c r="AC285" s="4">
        <f t="shared" si="43"/>
        <v>345048.125</v>
      </c>
    </row>
    <row r="286" spans="1:29" x14ac:dyDescent="0.2">
      <c r="A286" s="42">
        <v>400275</v>
      </c>
      <c r="B286" s="43">
        <v>6</v>
      </c>
      <c r="C286" s="42" t="s">
        <v>277</v>
      </c>
      <c r="D286" s="43" t="s">
        <v>39</v>
      </c>
      <c r="E286" s="43" t="s">
        <v>40</v>
      </c>
      <c r="F286" s="42" t="s">
        <v>239</v>
      </c>
      <c r="G286" s="43" t="s">
        <v>41</v>
      </c>
      <c r="H286" s="42">
        <v>45</v>
      </c>
      <c r="I286" s="44">
        <v>45126</v>
      </c>
      <c r="J286" s="43" t="s">
        <v>54</v>
      </c>
      <c r="K286" s="49">
        <v>16055</v>
      </c>
      <c r="L286" s="42"/>
      <c r="M286" s="51">
        <f>VLOOKUP(A286,'[1]ناتج ملف Excel'!$A:$AV,46,0)</f>
        <v>705.5</v>
      </c>
      <c r="N286" s="51">
        <f>VLOOKUP(A286,'[1]ناتج ملف Excel'!$A:$AV,47,0)</f>
        <v>4013.75</v>
      </c>
      <c r="O286" s="42"/>
      <c r="P286" s="47">
        <v>0</v>
      </c>
      <c r="Q286" s="48"/>
      <c r="R286" s="48">
        <v>0</v>
      </c>
      <c r="S286" s="72"/>
      <c r="T286" s="47">
        <v>3080</v>
      </c>
      <c r="U286" s="48">
        <f t="shared" si="40"/>
        <v>983.17708333333337</v>
      </c>
      <c r="V286" s="47">
        <v>900</v>
      </c>
      <c r="W286" s="42">
        <v>0</v>
      </c>
      <c r="X286" s="42">
        <v>0</v>
      </c>
      <c r="Y286" s="46">
        <v>3211</v>
      </c>
      <c r="Z286" s="42">
        <v>0</v>
      </c>
      <c r="AA286" s="4">
        <f t="shared" si="42"/>
        <v>8782.4270833333339</v>
      </c>
      <c r="AB286" s="4">
        <f t="shared" si="41"/>
        <v>105389.125</v>
      </c>
      <c r="AC286" s="4">
        <f t="shared" si="43"/>
        <v>308849.125</v>
      </c>
    </row>
    <row r="287" spans="1:29" x14ac:dyDescent="0.2">
      <c r="A287" s="42">
        <v>400276</v>
      </c>
      <c r="B287" s="43">
        <v>7</v>
      </c>
      <c r="C287" s="42" t="s">
        <v>277</v>
      </c>
      <c r="D287" s="43" t="s">
        <v>39</v>
      </c>
      <c r="E287" s="43" t="s">
        <v>40</v>
      </c>
      <c r="F287" s="42" t="s">
        <v>253</v>
      </c>
      <c r="G287" s="43" t="s">
        <v>41</v>
      </c>
      <c r="H287" s="42">
        <v>53</v>
      </c>
      <c r="I287" s="44">
        <v>45126</v>
      </c>
      <c r="J287" s="43" t="s">
        <v>54</v>
      </c>
      <c r="K287" s="49">
        <v>19415</v>
      </c>
      <c r="L287" s="42"/>
      <c r="M287" s="51">
        <f>VLOOKUP(A287,'[1]ناتج ملف Excel'!$A:$AV,46,0)</f>
        <v>1041.5</v>
      </c>
      <c r="N287" s="51">
        <f>VLOOKUP(A287,'[1]ناتج ملف Excel'!$A:$AV,47,0)</f>
        <v>4853.75</v>
      </c>
      <c r="O287" s="42"/>
      <c r="P287" s="47">
        <v>0</v>
      </c>
      <c r="Q287" s="48"/>
      <c r="R287" s="48">
        <v>0</v>
      </c>
      <c r="S287" s="72"/>
      <c r="T287" s="47">
        <v>3080</v>
      </c>
      <c r="U287" s="48">
        <f t="shared" si="40"/>
        <v>1228.1770833333333</v>
      </c>
      <c r="V287" s="47">
        <v>900</v>
      </c>
      <c r="W287" s="42">
        <v>0</v>
      </c>
      <c r="X287" s="42">
        <v>0</v>
      </c>
      <c r="Y287" s="46">
        <v>3883</v>
      </c>
      <c r="Z287" s="42">
        <v>0</v>
      </c>
      <c r="AA287" s="4">
        <f t="shared" si="42"/>
        <v>10203.427083333332</v>
      </c>
      <c r="AB287" s="4">
        <f t="shared" si="41"/>
        <v>122441.12499999999</v>
      </c>
      <c r="AC287" s="4">
        <f t="shared" si="43"/>
        <v>366221.125</v>
      </c>
    </row>
    <row r="288" spans="1:29" x14ac:dyDescent="0.2">
      <c r="A288" s="42">
        <v>400277</v>
      </c>
      <c r="B288" s="43" t="s">
        <v>267</v>
      </c>
      <c r="C288" s="42" t="s">
        <v>277</v>
      </c>
      <c r="D288" s="43" t="s">
        <v>39</v>
      </c>
      <c r="E288" s="43" t="s">
        <v>40</v>
      </c>
      <c r="F288" s="42" t="s">
        <v>254</v>
      </c>
      <c r="G288" s="43" t="s">
        <v>41</v>
      </c>
      <c r="H288" s="42">
        <v>57</v>
      </c>
      <c r="I288" s="44">
        <v>45126</v>
      </c>
      <c r="J288" s="43" t="s">
        <v>54</v>
      </c>
      <c r="K288" s="49">
        <v>18705</v>
      </c>
      <c r="L288" s="42"/>
      <c r="M288" s="51">
        <v>0</v>
      </c>
      <c r="N288" s="51">
        <f>VLOOKUP(A288,'[1]ناتج ملف Excel'!$A:$AV,47,0)</f>
        <v>4676.25</v>
      </c>
      <c r="O288" s="42"/>
      <c r="P288" s="47">
        <v>0</v>
      </c>
      <c r="Q288" s="48"/>
      <c r="R288" s="48">
        <v>0</v>
      </c>
      <c r="S288" s="72"/>
      <c r="T288" s="47">
        <v>3080</v>
      </c>
      <c r="U288" s="48">
        <f t="shared" si="40"/>
        <v>974.21875</v>
      </c>
      <c r="V288" s="47">
        <v>900</v>
      </c>
      <c r="W288" s="42">
        <v>750</v>
      </c>
      <c r="X288" s="42">
        <v>0</v>
      </c>
      <c r="Y288" s="42">
        <v>0</v>
      </c>
      <c r="Z288" s="46">
        <v>3741</v>
      </c>
      <c r="AA288" s="4">
        <f t="shared" si="42"/>
        <v>8730.46875</v>
      </c>
      <c r="AB288" s="4">
        <f t="shared" si="41"/>
        <v>104765.625</v>
      </c>
      <c r="AC288" s="4">
        <f t="shared" si="43"/>
        <v>349025.625</v>
      </c>
    </row>
    <row r="289" spans="1:29" x14ac:dyDescent="0.2">
      <c r="A289" s="42">
        <v>400278</v>
      </c>
      <c r="B289" s="43" t="s">
        <v>267</v>
      </c>
      <c r="C289" s="42" t="s">
        <v>277</v>
      </c>
      <c r="D289" s="43" t="s">
        <v>39</v>
      </c>
      <c r="E289" s="43" t="s">
        <v>40</v>
      </c>
      <c r="F289" s="42" t="s">
        <v>255</v>
      </c>
      <c r="G289" s="43" t="s">
        <v>41</v>
      </c>
      <c r="H289" s="42">
        <v>56</v>
      </c>
      <c r="I289" s="44">
        <v>45126</v>
      </c>
      <c r="J289" s="43" t="s">
        <v>54</v>
      </c>
      <c r="K289" s="49">
        <v>16395</v>
      </c>
      <c r="L289" s="42"/>
      <c r="M289" s="51">
        <f>VLOOKUP(A289,'[1]ناتج ملف Excel'!$A:$AV,46,0)</f>
        <v>100</v>
      </c>
      <c r="N289" s="51">
        <f>VLOOKUP(A289,'[1]ناتج ملف Excel'!$A:$AV,47,0)</f>
        <v>4098.75</v>
      </c>
      <c r="O289" s="42"/>
      <c r="P289" s="47">
        <v>0</v>
      </c>
      <c r="Q289" s="48"/>
      <c r="R289" s="48">
        <v>0</v>
      </c>
      <c r="S289" s="72"/>
      <c r="T289" s="47">
        <v>3080</v>
      </c>
      <c r="U289" s="48">
        <f t="shared" si="40"/>
        <v>874.73958333333337</v>
      </c>
      <c r="V289" s="47">
        <v>700</v>
      </c>
      <c r="W289" s="42">
        <v>0</v>
      </c>
      <c r="X289" s="42">
        <v>0</v>
      </c>
      <c r="Y289" s="42">
        <v>0</v>
      </c>
      <c r="Z289" s="42">
        <v>0</v>
      </c>
      <c r="AA289" s="4">
        <f t="shared" si="42"/>
        <v>8153.4895833333339</v>
      </c>
      <c r="AB289" s="4">
        <f t="shared" si="41"/>
        <v>97841.875</v>
      </c>
      <c r="AC289" s="4">
        <f t="shared" si="43"/>
        <v>302981.875</v>
      </c>
    </row>
    <row r="290" spans="1:29" x14ac:dyDescent="0.2">
      <c r="A290" s="42">
        <v>400279</v>
      </c>
      <c r="B290" s="43" t="s">
        <v>267</v>
      </c>
      <c r="C290" s="42" t="s">
        <v>277</v>
      </c>
      <c r="D290" s="43" t="s">
        <v>39</v>
      </c>
      <c r="E290" s="43" t="s">
        <v>40</v>
      </c>
      <c r="F290" s="42" t="s">
        <v>248</v>
      </c>
      <c r="G290" s="43" t="s">
        <v>41</v>
      </c>
      <c r="H290" s="42">
        <v>23</v>
      </c>
      <c r="I290" s="44">
        <v>45126</v>
      </c>
      <c r="J290" s="43" t="s">
        <v>54</v>
      </c>
      <c r="K290" s="46">
        <v>6009</v>
      </c>
      <c r="L290" s="42"/>
      <c r="M290" s="51">
        <f>VLOOKUP(A290,'[1]ناتج ملف Excel'!$A:$AV,46,0)</f>
        <v>100.9</v>
      </c>
      <c r="N290" s="51">
        <f>VLOOKUP(A290,'[1]ناتج ملف Excel'!$A:$AV,47,0)</f>
        <v>1502.25</v>
      </c>
      <c r="O290" s="42"/>
      <c r="P290" s="47">
        <v>0</v>
      </c>
      <c r="Q290" s="48"/>
      <c r="R290" s="48">
        <v>0</v>
      </c>
      <c r="S290" s="72"/>
      <c r="T290" s="47">
        <v>3080</v>
      </c>
      <c r="U290" s="48">
        <f t="shared" si="40"/>
        <v>333.98958333333331</v>
      </c>
      <c r="V290" s="47">
        <v>500</v>
      </c>
      <c r="W290" s="42">
        <v>0</v>
      </c>
      <c r="X290" s="42">
        <v>0</v>
      </c>
      <c r="Y290" s="50">
        <v>1201.8</v>
      </c>
      <c r="Z290" s="42">
        <v>0</v>
      </c>
      <c r="AA290" s="4">
        <f t="shared" si="42"/>
        <v>5017.1395833333336</v>
      </c>
      <c r="AB290" s="4">
        <f t="shared" si="41"/>
        <v>60205.675000000003</v>
      </c>
      <c r="AC290" s="4">
        <f t="shared" si="43"/>
        <v>138313.67499999999</v>
      </c>
    </row>
    <row r="291" spans="1:29" x14ac:dyDescent="0.2">
      <c r="A291" s="42">
        <v>400280</v>
      </c>
      <c r="B291" s="43">
        <v>4</v>
      </c>
      <c r="C291" s="42" t="s">
        <v>277</v>
      </c>
      <c r="D291" s="43" t="s">
        <v>39</v>
      </c>
      <c r="E291" s="43" t="s">
        <v>40</v>
      </c>
      <c r="F291" s="42" t="s">
        <v>248</v>
      </c>
      <c r="G291" s="43" t="s">
        <v>41</v>
      </c>
      <c r="H291" s="42">
        <v>30</v>
      </c>
      <c r="I291" s="44">
        <v>45126</v>
      </c>
      <c r="J291" s="43" t="s">
        <v>54</v>
      </c>
      <c r="K291" s="49">
        <v>11155</v>
      </c>
      <c r="L291" s="42"/>
      <c r="M291" s="51">
        <f>VLOOKUP(A291,'[1]ناتج ملف Excel'!$A:$AV,46,0)</f>
        <v>415.5</v>
      </c>
      <c r="N291" s="51">
        <f>VLOOKUP(A291,'[1]ناتج ملف Excel'!$A:$AV,47,0)</f>
        <v>2788.75</v>
      </c>
      <c r="O291" s="42"/>
      <c r="P291" s="47">
        <v>0</v>
      </c>
      <c r="Q291" s="48"/>
      <c r="R291" s="48">
        <v>0</v>
      </c>
      <c r="S291" s="72"/>
      <c r="T291" s="47">
        <v>3080</v>
      </c>
      <c r="U291" s="48">
        <f t="shared" si="40"/>
        <v>667.55208333333337</v>
      </c>
      <c r="V291" s="47">
        <v>700</v>
      </c>
      <c r="W291" s="42">
        <v>750</v>
      </c>
      <c r="X291" s="42">
        <f>(K291*2)/2</f>
        <v>11155</v>
      </c>
      <c r="Y291" s="46">
        <v>2231</v>
      </c>
      <c r="Z291" s="42">
        <v>0</v>
      </c>
      <c r="AA291" s="4">
        <f t="shared" si="42"/>
        <v>6951.8020833333339</v>
      </c>
      <c r="AB291" s="4">
        <f t="shared" si="41"/>
        <v>83421.625</v>
      </c>
      <c r="AC291" s="4">
        <f t="shared" si="43"/>
        <v>368541.625</v>
      </c>
    </row>
    <row r="292" spans="1:29" x14ac:dyDescent="0.2">
      <c r="A292" s="42">
        <v>400281</v>
      </c>
      <c r="B292" s="43" t="s">
        <v>266</v>
      </c>
      <c r="C292" s="42" t="s">
        <v>277</v>
      </c>
      <c r="D292" s="43" t="s">
        <v>39</v>
      </c>
      <c r="E292" s="43" t="s">
        <v>40</v>
      </c>
      <c r="F292" s="42" t="s">
        <v>248</v>
      </c>
      <c r="G292" s="43" t="s">
        <v>41</v>
      </c>
      <c r="H292" s="42">
        <v>37</v>
      </c>
      <c r="I292" s="44">
        <v>45126</v>
      </c>
      <c r="J292" s="43" t="s">
        <v>54</v>
      </c>
      <c r="K292" s="46">
        <v>6249</v>
      </c>
      <c r="L292" s="42"/>
      <c r="M292" s="51">
        <f>VLOOKUP(A292,'[1]ناتج ملف Excel'!$A:$AV,46,0)</f>
        <v>124.9</v>
      </c>
      <c r="N292" s="51">
        <f>VLOOKUP(A292,'[1]ناتج ملف Excel'!$A:$AV,47,0)</f>
        <v>1562.25</v>
      </c>
      <c r="O292" s="42"/>
      <c r="P292" s="47">
        <v>0</v>
      </c>
      <c r="Q292" s="48"/>
      <c r="R292" s="48">
        <v>0</v>
      </c>
      <c r="S292" s="72"/>
      <c r="T292" s="47">
        <v>3080</v>
      </c>
      <c r="U292" s="48">
        <f t="shared" si="40"/>
        <v>351.48958333333331</v>
      </c>
      <c r="V292" s="47">
        <v>500</v>
      </c>
      <c r="W292" s="42">
        <v>0</v>
      </c>
      <c r="X292" s="42">
        <v>0</v>
      </c>
      <c r="Y292" s="50">
        <v>1249.8</v>
      </c>
      <c r="Z292" s="42">
        <v>0</v>
      </c>
      <c r="AA292" s="4">
        <f t="shared" si="42"/>
        <v>5118.6395833333336</v>
      </c>
      <c r="AB292" s="4">
        <f t="shared" si="41"/>
        <v>61423.675000000003</v>
      </c>
      <c r="AC292" s="4">
        <f t="shared" si="43"/>
        <v>142411.67499999999</v>
      </c>
    </row>
    <row r="293" spans="1:29" x14ac:dyDescent="0.2">
      <c r="A293" s="42">
        <v>400283</v>
      </c>
      <c r="B293" s="43">
        <v>4</v>
      </c>
      <c r="C293" s="42" t="s">
        <v>277</v>
      </c>
      <c r="D293" s="43" t="s">
        <v>39</v>
      </c>
      <c r="E293" s="43" t="s">
        <v>40</v>
      </c>
      <c r="F293" s="42" t="s">
        <v>248</v>
      </c>
      <c r="G293" s="43" t="s">
        <v>41</v>
      </c>
      <c r="H293" s="42">
        <v>40</v>
      </c>
      <c r="I293" s="44">
        <v>45126</v>
      </c>
      <c r="J293" s="43" t="s">
        <v>54</v>
      </c>
      <c r="K293" s="49">
        <v>13505</v>
      </c>
      <c r="L293" s="42"/>
      <c r="M293" s="51">
        <f>VLOOKUP(A293,'[1]ناتج ملف Excel'!$A:$AV,46,0)</f>
        <v>650.5</v>
      </c>
      <c r="N293" s="51">
        <f>VLOOKUP(A293,'[1]ناتج ملف Excel'!$A:$AV,47,0)</f>
        <v>3376.25</v>
      </c>
      <c r="O293" s="42"/>
      <c r="P293" s="47">
        <v>0</v>
      </c>
      <c r="Q293" s="48"/>
      <c r="R293" s="48">
        <v>0</v>
      </c>
      <c r="S293" s="72"/>
      <c r="T293" s="47">
        <v>3080</v>
      </c>
      <c r="U293" s="48">
        <f t="shared" si="40"/>
        <v>838.90625</v>
      </c>
      <c r="V293" s="47">
        <v>700</v>
      </c>
      <c r="W293" s="42">
        <v>0</v>
      </c>
      <c r="X293" s="42">
        <f>(K293*2)/2</f>
        <v>13505</v>
      </c>
      <c r="Y293" s="46">
        <v>2701</v>
      </c>
      <c r="Z293" s="42">
        <v>0</v>
      </c>
      <c r="AA293" s="4">
        <f t="shared" si="42"/>
        <v>7945.65625</v>
      </c>
      <c r="AB293" s="4">
        <f t="shared" si="41"/>
        <v>95347.875</v>
      </c>
      <c r="AC293" s="4">
        <f t="shared" si="43"/>
        <v>427867.875</v>
      </c>
    </row>
    <row r="294" spans="1:29" x14ac:dyDescent="0.2">
      <c r="A294" s="42">
        <v>400284</v>
      </c>
      <c r="B294" s="43">
        <v>3</v>
      </c>
      <c r="C294" s="42" t="s">
        <v>277</v>
      </c>
      <c r="D294" s="43" t="s">
        <v>39</v>
      </c>
      <c r="E294" s="43" t="s">
        <v>40</v>
      </c>
      <c r="F294" s="42" t="s">
        <v>250</v>
      </c>
      <c r="G294" s="43" t="s">
        <v>41</v>
      </c>
      <c r="H294" s="42">
        <v>49</v>
      </c>
      <c r="I294" s="44">
        <v>45126</v>
      </c>
      <c r="J294" s="43" t="s">
        <v>54</v>
      </c>
      <c r="K294" s="49">
        <v>12575</v>
      </c>
      <c r="L294" s="42"/>
      <c r="M294" s="51">
        <f>VLOOKUP(A294,'[1]ناتج ملف Excel'!$A:$AV,46,0)</f>
        <v>557.5</v>
      </c>
      <c r="N294" s="51">
        <f>VLOOKUP(A294,'[1]ناتج ملف Excel'!$A:$AV,47,0)</f>
        <v>3143.75</v>
      </c>
      <c r="O294" s="42"/>
      <c r="P294" s="47">
        <v>0</v>
      </c>
      <c r="Q294" s="48"/>
      <c r="R294" s="48">
        <v>0</v>
      </c>
      <c r="S294" s="72"/>
      <c r="T294" s="47">
        <v>3080</v>
      </c>
      <c r="U294" s="48">
        <f t="shared" si="40"/>
        <v>771.09375</v>
      </c>
      <c r="V294" s="47">
        <v>700</v>
      </c>
      <c r="W294" s="42">
        <v>0</v>
      </c>
      <c r="X294" s="42">
        <v>0</v>
      </c>
      <c r="Y294" s="46">
        <v>2515</v>
      </c>
      <c r="Z294" s="42">
        <v>0</v>
      </c>
      <c r="AA294" s="4">
        <f t="shared" si="42"/>
        <v>7552.34375</v>
      </c>
      <c r="AB294" s="4">
        <f t="shared" si="41"/>
        <v>90628.125</v>
      </c>
      <c r="AC294" s="4">
        <f t="shared" si="43"/>
        <v>249928.125</v>
      </c>
    </row>
    <row r="295" spans="1:29" x14ac:dyDescent="0.2">
      <c r="A295" s="42">
        <v>400286</v>
      </c>
      <c r="B295" s="43" t="s">
        <v>266</v>
      </c>
      <c r="C295" s="42" t="s">
        <v>277</v>
      </c>
      <c r="D295" s="43" t="s">
        <v>39</v>
      </c>
      <c r="E295" s="43" t="s">
        <v>40</v>
      </c>
      <c r="F295" s="42" t="s">
        <v>248</v>
      </c>
      <c r="G295" s="43" t="s">
        <v>41</v>
      </c>
      <c r="H295" s="42">
        <v>50</v>
      </c>
      <c r="I295" s="44">
        <v>45126</v>
      </c>
      <c r="J295" s="43" t="s">
        <v>54</v>
      </c>
      <c r="K295" s="49">
        <v>14915</v>
      </c>
      <c r="L295" s="42"/>
      <c r="M295" s="51">
        <f>VLOOKUP(A295,'[1]ناتج ملف Excel'!$A:$AV,46,0)</f>
        <v>100</v>
      </c>
      <c r="N295" s="51">
        <f>VLOOKUP(A295,'[1]ناتج ملف Excel'!$A:$AV,47,0)</f>
        <v>3728.75</v>
      </c>
      <c r="O295" s="42"/>
      <c r="P295" s="47">
        <v>0</v>
      </c>
      <c r="Q295" s="48"/>
      <c r="R295" s="48">
        <v>0</v>
      </c>
      <c r="S295" s="72"/>
      <c r="T295" s="47">
        <v>3080</v>
      </c>
      <c r="U295" s="48">
        <f t="shared" si="40"/>
        <v>797.65625</v>
      </c>
      <c r="V295" s="47">
        <v>700</v>
      </c>
      <c r="W295" s="42">
        <v>0</v>
      </c>
      <c r="X295" s="42">
        <v>0</v>
      </c>
      <c r="Y295" s="46">
        <v>2983</v>
      </c>
      <c r="Z295" s="42">
        <v>0</v>
      </c>
      <c r="AA295" s="4">
        <f t="shared" si="42"/>
        <v>7706.40625</v>
      </c>
      <c r="AB295" s="4">
        <f t="shared" si="41"/>
        <v>92476.875</v>
      </c>
      <c r="AC295" s="4">
        <f t="shared" si="43"/>
        <v>279856.875</v>
      </c>
    </row>
    <row r="296" spans="1:29" x14ac:dyDescent="0.2">
      <c r="A296" s="42">
        <v>400287</v>
      </c>
      <c r="B296" s="43" t="s">
        <v>267</v>
      </c>
      <c r="C296" s="42" t="s">
        <v>277</v>
      </c>
      <c r="D296" s="43" t="s">
        <v>39</v>
      </c>
      <c r="E296" s="43" t="s">
        <v>40</v>
      </c>
      <c r="F296" s="42" t="s">
        <v>248</v>
      </c>
      <c r="G296" s="43" t="s">
        <v>41</v>
      </c>
      <c r="H296" s="42">
        <v>51</v>
      </c>
      <c r="I296" s="44">
        <v>45126</v>
      </c>
      <c r="J296" s="43" t="s">
        <v>54</v>
      </c>
      <c r="K296" s="49">
        <v>12575</v>
      </c>
      <c r="L296" s="42"/>
      <c r="M296" s="51">
        <f>VLOOKUP(A296,'[1]ناتج ملف Excel'!$A:$AV,46,0)</f>
        <v>100</v>
      </c>
      <c r="N296" s="51">
        <f>VLOOKUP(A296,'[1]ناتج ملف Excel'!$A:$AV,47,0)</f>
        <v>3143.75</v>
      </c>
      <c r="O296" s="42"/>
      <c r="P296" s="47">
        <v>0</v>
      </c>
      <c r="Q296" s="48"/>
      <c r="R296" s="48">
        <v>0</v>
      </c>
      <c r="S296" s="72"/>
      <c r="T296" s="47">
        <v>3080</v>
      </c>
      <c r="U296" s="48">
        <f t="shared" si="40"/>
        <v>675.78125</v>
      </c>
      <c r="V296" s="47">
        <v>700</v>
      </c>
      <c r="W296" s="42">
        <v>750</v>
      </c>
      <c r="X296" s="42">
        <v>0</v>
      </c>
      <c r="Y296" s="46">
        <v>2515</v>
      </c>
      <c r="Z296" s="42">
        <v>0</v>
      </c>
      <c r="AA296" s="4">
        <f t="shared" si="42"/>
        <v>6999.53125</v>
      </c>
      <c r="AB296" s="4">
        <f t="shared" si="41"/>
        <v>83994.375</v>
      </c>
      <c r="AC296" s="4">
        <f t="shared" si="43"/>
        <v>252294.375</v>
      </c>
    </row>
    <row r="297" spans="1:29" x14ac:dyDescent="0.2">
      <c r="A297" s="42">
        <v>400289</v>
      </c>
      <c r="B297" s="43">
        <v>3</v>
      </c>
      <c r="C297" s="42" t="s">
        <v>277</v>
      </c>
      <c r="D297" s="43" t="s">
        <v>39</v>
      </c>
      <c r="E297" s="43" t="s">
        <v>40</v>
      </c>
      <c r="F297" s="42" t="s">
        <v>248</v>
      </c>
      <c r="G297" s="43" t="s">
        <v>41</v>
      </c>
      <c r="H297" s="42">
        <v>46</v>
      </c>
      <c r="I297" s="44">
        <v>45126</v>
      </c>
      <c r="J297" s="43" t="s">
        <v>54</v>
      </c>
      <c r="K297" s="49">
        <v>14445</v>
      </c>
      <c r="L297" s="42"/>
      <c r="M297" s="51">
        <f>VLOOKUP(A297,'[1]ناتج ملف Excel'!$A:$AV,46,0)</f>
        <v>744.5</v>
      </c>
      <c r="N297" s="51">
        <f>VLOOKUP(A297,'[1]ناتج ملف Excel'!$A:$AV,47,0)</f>
        <v>3611.25</v>
      </c>
      <c r="O297" s="42"/>
      <c r="P297" s="47">
        <v>0</v>
      </c>
      <c r="Q297" s="48"/>
      <c r="R297" s="48">
        <v>0</v>
      </c>
      <c r="S297" s="72"/>
      <c r="T297" s="47">
        <v>3080</v>
      </c>
      <c r="U297" s="48">
        <f t="shared" si="40"/>
        <v>907.44791666666663</v>
      </c>
      <c r="V297" s="47">
        <v>700</v>
      </c>
      <c r="W297" s="42">
        <v>0</v>
      </c>
      <c r="X297" s="42">
        <v>0</v>
      </c>
      <c r="Y297" s="46">
        <v>2889</v>
      </c>
      <c r="Z297" s="42">
        <v>0</v>
      </c>
      <c r="AA297" s="4">
        <f t="shared" si="42"/>
        <v>8343.1979166666661</v>
      </c>
      <c r="AB297" s="4">
        <f t="shared" si="41"/>
        <v>100118.375</v>
      </c>
      <c r="AC297" s="4">
        <f t="shared" si="43"/>
        <v>281858.375</v>
      </c>
    </row>
    <row r="298" spans="1:29" x14ac:dyDescent="0.2">
      <c r="A298" s="42">
        <v>400290</v>
      </c>
      <c r="B298" s="43">
        <v>4</v>
      </c>
      <c r="C298" s="42" t="s">
        <v>277</v>
      </c>
      <c r="D298" s="43" t="s">
        <v>39</v>
      </c>
      <c r="E298" s="43" t="s">
        <v>40</v>
      </c>
      <c r="F298" s="42" t="s">
        <v>248</v>
      </c>
      <c r="G298" s="43" t="s">
        <v>41</v>
      </c>
      <c r="H298" s="42">
        <v>40</v>
      </c>
      <c r="I298" s="44">
        <v>45126</v>
      </c>
      <c r="J298" s="43" t="s">
        <v>54</v>
      </c>
      <c r="K298" s="49">
        <v>15375</v>
      </c>
      <c r="L298" s="42"/>
      <c r="M298" s="51">
        <f>VLOOKUP(A298,'[1]ناتج ملف Excel'!$A:$AV,46,0)</f>
        <v>837.5</v>
      </c>
      <c r="N298" s="51">
        <f>VLOOKUP(A298,'[1]ناتج ملف Excel'!$A:$AV,47,0)</f>
        <v>3843.75</v>
      </c>
      <c r="O298" s="42"/>
      <c r="P298" s="47">
        <v>0</v>
      </c>
      <c r="Q298" s="48"/>
      <c r="R298" s="48">
        <v>0</v>
      </c>
      <c r="S298" s="72"/>
      <c r="T298" s="47">
        <v>3080</v>
      </c>
      <c r="U298" s="48">
        <f t="shared" si="40"/>
        <v>975.26041666666663</v>
      </c>
      <c r="V298" s="47">
        <v>700</v>
      </c>
      <c r="W298" s="42">
        <v>0</v>
      </c>
      <c r="X298" s="42">
        <f>(K298*2)/2</f>
        <v>15375</v>
      </c>
      <c r="Y298" s="46">
        <v>3075</v>
      </c>
      <c r="Z298" s="42">
        <v>0</v>
      </c>
      <c r="AA298" s="4">
        <f t="shared" si="42"/>
        <v>8736.5104166666661</v>
      </c>
      <c r="AB298" s="4">
        <f t="shared" si="41"/>
        <v>104838.125</v>
      </c>
      <c r="AC298" s="4">
        <f t="shared" si="43"/>
        <v>482238.125</v>
      </c>
    </row>
    <row r="299" spans="1:29" x14ac:dyDescent="0.2">
      <c r="A299" s="42">
        <v>400291</v>
      </c>
      <c r="B299" s="43" t="s">
        <v>266</v>
      </c>
      <c r="C299" s="42" t="s">
        <v>277</v>
      </c>
      <c r="D299" s="43" t="s">
        <v>39</v>
      </c>
      <c r="E299" s="43" t="s">
        <v>40</v>
      </c>
      <c r="F299" s="42" t="s">
        <v>248</v>
      </c>
      <c r="G299" s="43" t="s">
        <v>41</v>
      </c>
      <c r="H299" s="42">
        <v>36</v>
      </c>
      <c r="I299" s="44">
        <v>45126</v>
      </c>
      <c r="J299" s="43" t="s">
        <v>54</v>
      </c>
      <c r="K299" s="46">
        <v>9565</v>
      </c>
      <c r="L299" s="42"/>
      <c r="M299" s="51">
        <f>VLOOKUP(A299,'[1]ناتج ملف Excel'!$A:$AV,46,0)</f>
        <v>100</v>
      </c>
      <c r="N299" s="51">
        <f>VLOOKUP(A299,'[1]ناتج ملف Excel'!$A:$AV,47,0)</f>
        <v>2391.25</v>
      </c>
      <c r="O299" s="42"/>
      <c r="P299" s="47">
        <v>0</v>
      </c>
      <c r="Q299" s="48"/>
      <c r="R299" s="48">
        <v>0</v>
      </c>
      <c r="S299" s="72"/>
      <c r="T299" s="47">
        <v>3080</v>
      </c>
      <c r="U299" s="48">
        <f t="shared" si="40"/>
        <v>519.01041666666663</v>
      </c>
      <c r="V299" s="47">
        <v>700</v>
      </c>
      <c r="W299" s="42">
        <v>0</v>
      </c>
      <c r="X299" s="42">
        <v>0</v>
      </c>
      <c r="Y299" s="46">
        <v>1913</v>
      </c>
      <c r="Z299" s="42">
        <v>0</v>
      </c>
      <c r="AA299" s="4">
        <f t="shared" si="42"/>
        <v>6090.2604166666661</v>
      </c>
      <c r="AB299" s="4">
        <f t="shared" si="41"/>
        <v>73083.125</v>
      </c>
      <c r="AC299" s="4">
        <f t="shared" si="43"/>
        <v>196263.125</v>
      </c>
    </row>
    <row r="300" spans="1:29" x14ac:dyDescent="0.2">
      <c r="A300" s="42">
        <v>400293</v>
      </c>
      <c r="B300" s="43" t="s">
        <v>266</v>
      </c>
      <c r="C300" s="42" t="s">
        <v>277</v>
      </c>
      <c r="D300" s="43" t="s">
        <v>39</v>
      </c>
      <c r="E300" s="43" t="s">
        <v>40</v>
      </c>
      <c r="F300" s="42" t="s">
        <v>250</v>
      </c>
      <c r="G300" s="43" t="s">
        <v>41</v>
      </c>
      <c r="H300" s="42">
        <v>56</v>
      </c>
      <c r="I300" s="44">
        <v>45126</v>
      </c>
      <c r="J300" s="43" t="s">
        <v>54</v>
      </c>
      <c r="K300" s="49">
        <v>15855</v>
      </c>
      <c r="L300" s="42"/>
      <c r="M300" s="51">
        <f>VLOOKUP(A300,'[1]ناتج ملف Excel'!$A:$AV,46,0)</f>
        <v>100</v>
      </c>
      <c r="N300" s="51">
        <f>VLOOKUP(A300,'[1]ناتج ملف Excel'!$A:$AV,47,0)</f>
        <v>3963.75</v>
      </c>
      <c r="O300" s="42"/>
      <c r="P300" s="47">
        <v>0</v>
      </c>
      <c r="Q300" s="48"/>
      <c r="R300" s="48">
        <v>0</v>
      </c>
      <c r="S300" s="72"/>
      <c r="T300" s="47">
        <v>3080</v>
      </c>
      <c r="U300" s="48">
        <f t="shared" si="40"/>
        <v>846.61458333333337</v>
      </c>
      <c r="V300" s="47">
        <v>700</v>
      </c>
      <c r="W300" s="42">
        <v>0</v>
      </c>
      <c r="X300" s="42">
        <v>0</v>
      </c>
      <c r="Y300" s="46">
        <v>3171</v>
      </c>
      <c r="Z300" s="42">
        <v>0</v>
      </c>
      <c r="AA300" s="4">
        <f t="shared" si="42"/>
        <v>7990.3645833333339</v>
      </c>
      <c r="AB300" s="4">
        <f t="shared" si="41"/>
        <v>95884.375</v>
      </c>
      <c r="AC300" s="4">
        <f t="shared" si="43"/>
        <v>294544.375</v>
      </c>
    </row>
    <row r="301" spans="1:29" x14ac:dyDescent="0.2">
      <c r="A301" s="42">
        <v>400294</v>
      </c>
      <c r="B301" s="43">
        <v>3</v>
      </c>
      <c r="C301" s="42" t="s">
        <v>277</v>
      </c>
      <c r="D301" s="43" t="s">
        <v>39</v>
      </c>
      <c r="E301" s="43" t="s">
        <v>40</v>
      </c>
      <c r="F301" s="42" t="s">
        <v>250</v>
      </c>
      <c r="G301" s="43" t="s">
        <v>41</v>
      </c>
      <c r="H301" s="42">
        <v>55</v>
      </c>
      <c r="I301" s="44">
        <v>45126</v>
      </c>
      <c r="J301" s="43" t="s">
        <v>54</v>
      </c>
      <c r="K301" s="49">
        <v>17415</v>
      </c>
      <c r="L301" s="42"/>
      <c r="M301" s="51">
        <f>VLOOKUP(A301,'[1]ناتج ملف Excel'!$A:$AV,46,0)</f>
        <v>1041.5</v>
      </c>
      <c r="N301" s="51">
        <f>VLOOKUP(A301,'[1]ناتج ملف Excel'!$A:$AV,47,0)</f>
        <v>4353.75</v>
      </c>
      <c r="O301" s="42"/>
      <c r="P301" s="47">
        <v>0</v>
      </c>
      <c r="Q301" s="48"/>
      <c r="R301" s="48">
        <v>0</v>
      </c>
      <c r="S301" s="72"/>
      <c r="T301" s="47">
        <v>3080</v>
      </c>
      <c r="U301" s="48">
        <f t="shared" si="40"/>
        <v>1124.0104166666667</v>
      </c>
      <c r="V301" s="47">
        <v>700</v>
      </c>
      <c r="W301" s="42">
        <v>0</v>
      </c>
      <c r="X301" s="42">
        <v>0</v>
      </c>
      <c r="Y301" s="46">
        <v>3483</v>
      </c>
      <c r="Z301" s="42">
        <v>0</v>
      </c>
      <c r="AA301" s="4">
        <f t="shared" si="42"/>
        <v>9599.2604166666679</v>
      </c>
      <c r="AB301" s="4">
        <f t="shared" si="41"/>
        <v>115191.12500000001</v>
      </c>
      <c r="AC301" s="4">
        <f t="shared" si="43"/>
        <v>332571.125</v>
      </c>
    </row>
    <row r="302" spans="1:29" x14ac:dyDescent="0.2">
      <c r="A302" s="42">
        <v>400295</v>
      </c>
      <c r="B302" s="43">
        <v>4</v>
      </c>
      <c r="C302" s="42" t="s">
        <v>277</v>
      </c>
      <c r="D302" s="43" t="s">
        <v>39</v>
      </c>
      <c r="E302" s="43" t="s">
        <v>40</v>
      </c>
      <c r="F302" s="42" t="s">
        <v>250</v>
      </c>
      <c r="G302" s="43" t="s">
        <v>41</v>
      </c>
      <c r="H302" s="42">
        <v>57</v>
      </c>
      <c r="I302" s="44">
        <v>45126</v>
      </c>
      <c r="J302" s="43" t="s">
        <v>54</v>
      </c>
      <c r="K302" s="49">
        <v>20275</v>
      </c>
      <c r="L302" s="42"/>
      <c r="M302" s="51">
        <f>VLOOKUP(A302,'[1]ناتج ملف Excel'!$A:$AV,46,0)</f>
        <v>1100</v>
      </c>
      <c r="N302" s="51">
        <f>VLOOKUP(A302,'[1]ناتج ملف Excel'!$A:$AV,47,0)</f>
        <v>5068.75</v>
      </c>
      <c r="O302" s="42"/>
      <c r="P302" s="47">
        <v>0</v>
      </c>
      <c r="Q302" s="48"/>
      <c r="R302" s="48">
        <v>0</v>
      </c>
      <c r="S302" s="72"/>
      <c r="T302" s="47">
        <v>3080</v>
      </c>
      <c r="U302" s="48">
        <f t="shared" si="40"/>
        <v>1285.15625</v>
      </c>
      <c r="V302" s="47">
        <v>900</v>
      </c>
      <c r="W302" s="42">
        <v>750</v>
      </c>
      <c r="X302" s="42">
        <f>(K302*2)/2</f>
        <v>20275</v>
      </c>
      <c r="Y302" s="46">
        <v>4055</v>
      </c>
      <c r="Z302" s="42">
        <v>0</v>
      </c>
      <c r="AA302" s="4">
        <f t="shared" si="42"/>
        <v>10533.90625</v>
      </c>
      <c r="AB302" s="4">
        <f t="shared" si="41"/>
        <v>126406.875</v>
      </c>
      <c r="AC302" s="4">
        <f t="shared" si="43"/>
        <v>632806.875</v>
      </c>
    </row>
    <row r="303" spans="1:29" x14ac:dyDescent="0.2">
      <c r="A303" s="42">
        <v>400296</v>
      </c>
      <c r="B303" s="43" t="s">
        <v>266</v>
      </c>
      <c r="C303" s="42" t="s">
        <v>277</v>
      </c>
      <c r="D303" s="43" t="s">
        <v>39</v>
      </c>
      <c r="E303" s="43" t="s">
        <v>40</v>
      </c>
      <c r="F303" s="42" t="s">
        <v>250</v>
      </c>
      <c r="G303" s="43" t="s">
        <v>41</v>
      </c>
      <c r="H303" s="42">
        <v>53</v>
      </c>
      <c r="I303" s="44">
        <v>45126</v>
      </c>
      <c r="J303" s="43" t="s">
        <v>54</v>
      </c>
      <c r="K303" s="49">
        <v>13405</v>
      </c>
      <c r="L303" s="42"/>
      <c r="M303" s="51">
        <f>VLOOKUP(A303,'[1]ناتج ملف Excel'!$A:$AV,46,0)</f>
        <v>100</v>
      </c>
      <c r="N303" s="51">
        <f>VLOOKUP(A303,'[1]ناتج ملف Excel'!$A:$AV,47,0)</f>
        <v>3351.25</v>
      </c>
      <c r="O303" s="42"/>
      <c r="P303" s="47">
        <v>0</v>
      </c>
      <c r="Q303" s="48"/>
      <c r="R303" s="48">
        <v>0</v>
      </c>
      <c r="S303" s="72"/>
      <c r="T303" s="47">
        <v>3080</v>
      </c>
      <c r="U303" s="48">
        <f t="shared" si="40"/>
        <v>719.01041666666663</v>
      </c>
      <c r="V303" s="47">
        <v>700</v>
      </c>
      <c r="W303" s="42">
        <v>0</v>
      </c>
      <c r="X303" s="42">
        <v>0</v>
      </c>
      <c r="Y303" s="46">
        <v>2681</v>
      </c>
      <c r="Z303" s="42">
        <v>0</v>
      </c>
      <c r="AA303" s="4">
        <f t="shared" si="42"/>
        <v>7250.2604166666661</v>
      </c>
      <c r="AB303" s="4">
        <f t="shared" si="41"/>
        <v>87003.125</v>
      </c>
      <c r="AC303" s="4">
        <f t="shared" si="43"/>
        <v>256263.125</v>
      </c>
    </row>
    <row r="304" spans="1:29" x14ac:dyDescent="0.2">
      <c r="A304" s="42">
        <v>400297</v>
      </c>
      <c r="B304" s="43">
        <v>4</v>
      </c>
      <c r="C304" s="42" t="s">
        <v>277</v>
      </c>
      <c r="D304" s="43" t="s">
        <v>39</v>
      </c>
      <c r="E304" s="43" t="s">
        <v>40</v>
      </c>
      <c r="F304" s="42" t="s">
        <v>250</v>
      </c>
      <c r="G304" s="43" t="s">
        <v>41</v>
      </c>
      <c r="H304" s="42">
        <v>52</v>
      </c>
      <c r="I304" s="44">
        <v>45126</v>
      </c>
      <c r="J304" s="43" t="s">
        <v>54</v>
      </c>
      <c r="K304" s="49">
        <v>15855</v>
      </c>
      <c r="L304" s="42"/>
      <c r="M304" s="51">
        <f>VLOOKUP(A304,'[1]ناتج ملف Excel'!$A:$AV,46,0)</f>
        <v>885.5</v>
      </c>
      <c r="N304" s="51">
        <f>VLOOKUP(A304,'[1]ناتج ملف Excel'!$A:$AV,47,0)</f>
        <v>3963.75</v>
      </c>
      <c r="O304" s="42"/>
      <c r="P304" s="47">
        <v>0</v>
      </c>
      <c r="Q304" s="48"/>
      <c r="R304" s="48">
        <v>0</v>
      </c>
      <c r="S304" s="72"/>
      <c r="T304" s="47">
        <v>3080</v>
      </c>
      <c r="U304" s="48">
        <f t="shared" si="40"/>
        <v>1010.2604166666666</v>
      </c>
      <c r="V304" s="47">
        <v>700</v>
      </c>
      <c r="W304" s="42">
        <v>750</v>
      </c>
      <c r="X304" s="42">
        <f>(K304*2)/2</f>
        <v>15855</v>
      </c>
      <c r="Y304" s="46">
        <v>3171</v>
      </c>
      <c r="Z304" s="42">
        <v>0</v>
      </c>
      <c r="AA304" s="4">
        <f t="shared" si="42"/>
        <v>8939.5104166666661</v>
      </c>
      <c r="AB304" s="4">
        <f t="shared" si="41"/>
        <v>107274.125</v>
      </c>
      <c r="AC304" s="4">
        <f t="shared" si="43"/>
        <v>505194.125</v>
      </c>
    </row>
    <row r="305" spans="1:29" x14ac:dyDescent="0.2">
      <c r="A305" s="42">
        <v>400298</v>
      </c>
      <c r="B305" s="43">
        <v>3</v>
      </c>
      <c r="C305" s="42" t="s">
        <v>277</v>
      </c>
      <c r="D305" s="43" t="s">
        <v>39</v>
      </c>
      <c r="E305" s="43" t="s">
        <v>40</v>
      </c>
      <c r="F305" s="42" t="s">
        <v>250</v>
      </c>
      <c r="G305" s="43" t="s">
        <v>41</v>
      </c>
      <c r="H305" s="42">
        <v>52</v>
      </c>
      <c r="I305" s="44">
        <v>45126</v>
      </c>
      <c r="J305" s="43" t="s">
        <v>54</v>
      </c>
      <c r="K305" s="49">
        <v>17645</v>
      </c>
      <c r="L305" s="42"/>
      <c r="M305" s="51">
        <f>VLOOKUP(A305,'[1]ناتج ملف Excel'!$A:$AV,46,0)</f>
        <v>864.5</v>
      </c>
      <c r="N305" s="51">
        <f>VLOOKUP(A305,'[1]ناتج ملف Excel'!$A:$AV,47,0)</f>
        <v>4411.25</v>
      </c>
      <c r="O305" s="42"/>
      <c r="P305" s="47">
        <v>0</v>
      </c>
      <c r="Q305" s="48"/>
      <c r="R305" s="48">
        <v>0</v>
      </c>
      <c r="S305" s="72"/>
      <c r="T305" s="47">
        <v>3080</v>
      </c>
      <c r="U305" s="48">
        <f t="shared" si="40"/>
        <v>1099.1145833333333</v>
      </c>
      <c r="V305" s="47">
        <v>900</v>
      </c>
      <c r="W305" s="42">
        <v>0</v>
      </c>
      <c r="X305" s="42">
        <v>0</v>
      </c>
      <c r="Y305" s="46">
        <v>3529</v>
      </c>
      <c r="Z305" s="42">
        <v>0</v>
      </c>
      <c r="AA305" s="4">
        <f t="shared" si="42"/>
        <v>9454.8645833333321</v>
      </c>
      <c r="AB305" s="4">
        <f t="shared" si="41"/>
        <v>113458.37499999999</v>
      </c>
      <c r="AC305" s="4">
        <f t="shared" si="43"/>
        <v>335998.375</v>
      </c>
    </row>
    <row r="306" spans="1:29" x14ac:dyDescent="0.2">
      <c r="A306" s="42">
        <v>400299</v>
      </c>
      <c r="B306" s="43">
        <v>4</v>
      </c>
      <c r="C306" s="42" t="s">
        <v>277</v>
      </c>
      <c r="D306" s="43" t="s">
        <v>39</v>
      </c>
      <c r="E306" s="43" t="s">
        <v>40</v>
      </c>
      <c r="F306" s="42" t="s">
        <v>250</v>
      </c>
      <c r="G306" s="43" t="s">
        <v>41</v>
      </c>
      <c r="H306" s="42">
        <v>47</v>
      </c>
      <c r="I306" s="44">
        <v>45126</v>
      </c>
      <c r="J306" s="43" t="s">
        <v>54</v>
      </c>
      <c r="K306" s="49">
        <v>13820</v>
      </c>
      <c r="L306" s="42"/>
      <c r="M306" s="51">
        <f>VLOOKUP(A306,'[1]ناتج ملف Excel'!$A:$AV,46,0)</f>
        <v>682</v>
      </c>
      <c r="N306" s="51">
        <f>VLOOKUP(A306,'[1]ناتج ملف Excel'!$A:$AV,47,0)</f>
        <v>3455</v>
      </c>
      <c r="O306" s="42"/>
      <c r="P306" s="47">
        <v>0</v>
      </c>
      <c r="Q306" s="48"/>
      <c r="R306" s="48">
        <v>0</v>
      </c>
      <c r="S306" s="72"/>
      <c r="T306" s="47">
        <v>3080</v>
      </c>
      <c r="U306" s="48">
        <f t="shared" si="40"/>
        <v>861.875</v>
      </c>
      <c r="V306" s="47">
        <v>700</v>
      </c>
      <c r="W306" s="42">
        <v>750</v>
      </c>
      <c r="X306" s="42">
        <f>(K306*2)/2</f>
        <v>13820</v>
      </c>
      <c r="Y306" s="46">
        <v>2764</v>
      </c>
      <c r="Z306" s="42">
        <v>0</v>
      </c>
      <c r="AA306" s="4">
        <f t="shared" si="42"/>
        <v>8078.875</v>
      </c>
      <c r="AB306" s="4">
        <f t="shared" si="41"/>
        <v>96946.5</v>
      </c>
      <c r="AC306" s="4">
        <f t="shared" si="43"/>
        <v>446026.5</v>
      </c>
    </row>
    <row r="307" spans="1:29" x14ac:dyDescent="0.2">
      <c r="A307" s="42">
        <v>400300</v>
      </c>
      <c r="B307" s="43" t="s">
        <v>266</v>
      </c>
      <c r="C307" s="42" t="s">
        <v>277</v>
      </c>
      <c r="D307" s="43" t="s">
        <v>39</v>
      </c>
      <c r="E307" s="43" t="s">
        <v>40</v>
      </c>
      <c r="F307" s="42" t="s">
        <v>240</v>
      </c>
      <c r="G307" s="43" t="s">
        <v>41</v>
      </c>
      <c r="H307" s="42">
        <v>50</v>
      </c>
      <c r="I307" s="44">
        <v>45126</v>
      </c>
      <c r="J307" s="43" t="s">
        <v>54</v>
      </c>
      <c r="K307" s="49">
        <v>12565</v>
      </c>
      <c r="L307" s="42"/>
      <c r="M307" s="51">
        <f>VLOOKUP(A307,'[1]ناتج ملف Excel'!$A:$AV,46,0)</f>
        <v>100</v>
      </c>
      <c r="N307" s="51">
        <f>VLOOKUP(A307,'[1]ناتج ملف Excel'!$A:$AV,47,0)</f>
        <v>3141.25</v>
      </c>
      <c r="O307" s="42"/>
      <c r="P307" s="47">
        <v>0</v>
      </c>
      <c r="Q307" s="48"/>
      <c r="R307" s="48">
        <v>0</v>
      </c>
      <c r="S307" s="72"/>
      <c r="T307" s="47">
        <v>3080</v>
      </c>
      <c r="U307" s="48">
        <f t="shared" si="40"/>
        <v>675.26041666666663</v>
      </c>
      <c r="V307" s="47">
        <v>700</v>
      </c>
      <c r="W307" s="42">
        <v>0</v>
      </c>
      <c r="X307" s="42">
        <v>0</v>
      </c>
      <c r="Y307" s="46">
        <v>2513</v>
      </c>
      <c r="Z307" s="42">
        <v>0</v>
      </c>
      <c r="AA307" s="4">
        <f t="shared" si="42"/>
        <v>6996.5104166666661</v>
      </c>
      <c r="AB307" s="4">
        <f t="shared" si="41"/>
        <v>83958.125</v>
      </c>
      <c r="AC307" s="4">
        <f t="shared" si="43"/>
        <v>243138.125</v>
      </c>
    </row>
    <row r="308" spans="1:29" x14ac:dyDescent="0.2">
      <c r="A308" s="42">
        <v>400301</v>
      </c>
      <c r="B308" s="43">
        <v>3</v>
      </c>
      <c r="C308" s="42" t="s">
        <v>277</v>
      </c>
      <c r="D308" s="43" t="s">
        <v>39</v>
      </c>
      <c r="E308" s="43" t="s">
        <v>40</v>
      </c>
      <c r="F308" s="42" t="s">
        <v>249</v>
      </c>
      <c r="G308" s="43" t="s">
        <v>41</v>
      </c>
      <c r="H308" s="42">
        <v>52</v>
      </c>
      <c r="I308" s="44">
        <v>45126</v>
      </c>
      <c r="J308" s="43" t="s">
        <v>54</v>
      </c>
      <c r="K308" s="49">
        <v>18705</v>
      </c>
      <c r="L308" s="42"/>
      <c r="M308" s="51">
        <f>VLOOKUP(A308,'[1]ناتج ملف Excel'!$A:$AV,46,0)</f>
        <v>970.5</v>
      </c>
      <c r="N308" s="51">
        <f>VLOOKUP(A308,'[1]ناتج ملف Excel'!$A:$AV,47,0)</f>
        <v>4676.25</v>
      </c>
      <c r="O308" s="42"/>
      <c r="P308" s="47">
        <v>0</v>
      </c>
      <c r="Q308" s="48"/>
      <c r="R308" s="48">
        <v>0</v>
      </c>
      <c r="S308" s="72"/>
      <c r="T308" s="47">
        <v>3080</v>
      </c>
      <c r="U308" s="48">
        <f t="shared" si="40"/>
        <v>1176.40625</v>
      </c>
      <c r="V308" s="47">
        <v>900</v>
      </c>
      <c r="W308" s="42">
        <v>0</v>
      </c>
      <c r="X308" s="42">
        <v>0</v>
      </c>
      <c r="Y308" s="46">
        <v>3741</v>
      </c>
      <c r="Z308" s="42">
        <v>0</v>
      </c>
      <c r="AA308" s="4">
        <f t="shared" si="42"/>
        <v>9903.15625</v>
      </c>
      <c r="AB308" s="4">
        <f t="shared" si="41"/>
        <v>118837.875</v>
      </c>
      <c r="AC308" s="4">
        <f t="shared" si="43"/>
        <v>354097.875</v>
      </c>
    </row>
    <row r="309" spans="1:29" x14ac:dyDescent="0.2">
      <c r="A309" s="42">
        <v>400302</v>
      </c>
      <c r="B309" s="43">
        <v>4</v>
      </c>
      <c r="C309" s="42" t="s">
        <v>277</v>
      </c>
      <c r="D309" s="43" t="s">
        <v>39</v>
      </c>
      <c r="E309" s="43" t="s">
        <v>40</v>
      </c>
      <c r="F309" s="42" t="s">
        <v>249</v>
      </c>
      <c r="G309" s="43" t="s">
        <v>41</v>
      </c>
      <c r="H309" s="42">
        <v>51</v>
      </c>
      <c r="I309" s="44">
        <v>45126</v>
      </c>
      <c r="J309" s="43" t="s">
        <v>54</v>
      </c>
      <c r="K309" s="49">
        <v>17415</v>
      </c>
      <c r="L309" s="42"/>
      <c r="M309" s="51">
        <f>VLOOKUP(A309,'[1]ناتج ملف Excel'!$A:$AV,46,0)</f>
        <v>1041.5</v>
      </c>
      <c r="N309" s="51">
        <f>VLOOKUP(A309,'[1]ناتج ملف Excel'!$A:$AV,47,0)</f>
        <v>4353.75</v>
      </c>
      <c r="O309" s="42"/>
      <c r="P309" s="47">
        <v>0</v>
      </c>
      <c r="Q309" s="48"/>
      <c r="R309" s="48">
        <v>0</v>
      </c>
      <c r="S309" s="72"/>
      <c r="T309" s="47">
        <v>3080</v>
      </c>
      <c r="U309" s="48">
        <f t="shared" si="40"/>
        <v>1124.0104166666667</v>
      </c>
      <c r="V309" s="47">
        <v>700</v>
      </c>
      <c r="W309" s="42">
        <v>0</v>
      </c>
      <c r="X309" s="42">
        <f>(K309*2)/2</f>
        <v>17415</v>
      </c>
      <c r="Y309" s="46">
        <v>3483</v>
      </c>
      <c r="Z309" s="42">
        <v>0</v>
      </c>
      <c r="AA309" s="4">
        <f t="shared" si="42"/>
        <v>9599.2604166666679</v>
      </c>
      <c r="AB309" s="4">
        <f t="shared" si="41"/>
        <v>115191.12500000001</v>
      </c>
      <c r="AC309" s="4">
        <f t="shared" si="43"/>
        <v>541551.125</v>
      </c>
    </row>
    <row r="310" spans="1:29" x14ac:dyDescent="0.2">
      <c r="A310" s="42">
        <v>400303</v>
      </c>
      <c r="B310" s="43">
        <v>4</v>
      </c>
      <c r="C310" s="42" t="s">
        <v>277</v>
      </c>
      <c r="D310" s="43" t="s">
        <v>39</v>
      </c>
      <c r="E310" s="43" t="s">
        <v>40</v>
      </c>
      <c r="F310" s="42" t="s">
        <v>249</v>
      </c>
      <c r="G310" s="43" t="s">
        <v>41</v>
      </c>
      <c r="H310" s="42">
        <v>51</v>
      </c>
      <c r="I310" s="44">
        <v>45126</v>
      </c>
      <c r="J310" s="43" t="s">
        <v>54</v>
      </c>
      <c r="K310" s="49">
        <v>15855</v>
      </c>
      <c r="L310" s="42"/>
      <c r="M310" s="51">
        <f>VLOOKUP(A310,'[1]ناتج ملف Excel'!$A:$AV,46,0)</f>
        <v>885.5</v>
      </c>
      <c r="N310" s="51">
        <f>VLOOKUP(A310,'[1]ناتج ملف Excel'!$A:$AV,47,0)</f>
        <v>3963.75</v>
      </c>
      <c r="O310" s="42"/>
      <c r="P310" s="47">
        <v>0</v>
      </c>
      <c r="Q310" s="48"/>
      <c r="R310" s="48">
        <v>0</v>
      </c>
      <c r="S310" s="72"/>
      <c r="T310" s="47">
        <v>3080</v>
      </c>
      <c r="U310" s="48">
        <f t="shared" si="40"/>
        <v>1010.2604166666666</v>
      </c>
      <c r="V310" s="47">
        <v>700</v>
      </c>
      <c r="W310" s="42">
        <v>750</v>
      </c>
      <c r="X310" s="42">
        <f>(K310*2)/2</f>
        <v>15855</v>
      </c>
      <c r="Y310" s="46">
        <v>3171</v>
      </c>
      <c r="Z310" s="42">
        <v>0</v>
      </c>
      <c r="AA310" s="4">
        <f t="shared" si="42"/>
        <v>8939.5104166666661</v>
      </c>
      <c r="AB310" s="4">
        <f t="shared" si="41"/>
        <v>107274.125</v>
      </c>
      <c r="AC310" s="4">
        <f t="shared" si="43"/>
        <v>505194.125</v>
      </c>
    </row>
    <row r="311" spans="1:29" x14ac:dyDescent="0.2">
      <c r="A311" s="42">
        <v>400304</v>
      </c>
      <c r="B311" s="43">
        <v>4</v>
      </c>
      <c r="C311" s="42" t="s">
        <v>277</v>
      </c>
      <c r="D311" s="43" t="s">
        <v>39</v>
      </c>
      <c r="E311" s="43" t="s">
        <v>40</v>
      </c>
      <c r="F311" s="42" t="s">
        <v>249</v>
      </c>
      <c r="G311" s="43" t="s">
        <v>41</v>
      </c>
      <c r="H311" s="42">
        <v>54</v>
      </c>
      <c r="I311" s="44">
        <v>45126</v>
      </c>
      <c r="J311" s="43" t="s">
        <v>54</v>
      </c>
      <c r="K311" s="49">
        <v>17415</v>
      </c>
      <c r="L311" s="42"/>
      <c r="M311" s="51">
        <f>VLOOKUP(A311,'[1]ناتج ملف Excel'!$A:$AV,46,0)</f>
        <v>1041.5</v>
      </c>
      <c r="N311" s="51">
        <f>VLOOKUP(A311,'[1]ناتج ملف Excel'!$A:$AV,47,0)</f>
        <v>4353.75</v>
      </c>
      <c r="O311" s="42"/>
      <c r="P311" s="47">
        <v>0</v>
      </c>
      <c r="Q311" s="48"/>
      <c r="R311" s="48">
        <v>0</v>
      </c>
      <c r="S311" s="72"/>
      <c r="T311" s="47">
        <v>3080</v>
      </c>
      <c r="U311" s="48">
        <f t="shared" si="40"/>
        <v>1124.0104166666667</v>
      </c>
      <c r="V311" s="47">
        <v>700</v>
      </c>
      <c r="W311" s="42">
        <v>750</v>
      </c>
      <c r="X311" s="42">
        <f>(K311*2)/2</f>
        <v>17415</v>
      </c>
      <c r="Y311" s="46">
        <v>3483</v>
      </c>
      <c r="Z311" s="42">
        <v>0</v>
      </c>
      <c r="AA311" s="4">
        <f t="shared" si="42"/>
        <v>9599.2604166666679</v>
      </c>
      <c r="AB311" s="4">
        <f t="shared" si="41"/>
        <v>115191.12500000001</v>
      </c>
      <c r="AC311" s="4">
        <f t="shared" si="43"/>
        <v>550551.125</v>
      </c>
    </row>
    <row r="312" spans="1:29" x14ac:dyDescent="0.2">
      <c r="A312" s="42">
        <v>400305</v>
      </c>
      <c r="B312" s="43">
        <v>4</v>
      </c>
      <c r="C312" s="42" t="s">
        <v>277</v>
      </c>
      <c r="D312" s="43" t="s">
        <v>39</v>
      </c>
      <c r="E312" s="43" t="s">
        <v>40</v>
      </c>
      <c r="F312" s="42" t="s">
        <v>249</v>
      </c>
      <c r="G312" s="43" t="s">
        <v>41</v>
      </c>
      <c r="H312" s="42">
        <v>53</v>
      </c>
      <c r="I312" s="44">
        <v>45126</v>
      </c>
      <c r="J312" s="43" t="s">
        <v>54</v>
      </c>
      <c r="K312" s="49">
        <v>17415</v>
      </c>
      <c r="L312" s="42"/>
      <c r="M312" s="51">
        <f>VLOOKUP(A312,'[1]ناتج ملف Excel'!$A:$AV,46,0)</f>
        <v>1041.5</v>
      </c>
      <c r="N312" s="51">
        <f>VLOOKUP(A312,'[1]ناتج ملف Excel'!$A:$AV,47,0)</f>
        <v>4353.75</v>
      </c>
      <c r="O312" s="42"/>
      <c r="P312" s="47">
        <v>0</v>
      </c>
      <c r="Q312" s="48"/>
      <c r="R312" s="48">
        <v>0</v>
      </c>
      <c r="S312" s="72"/>
      <c r="T312" s="47">
        <v>3080</v>
      </c>
      <c r="U312" s="48">
        <f t="shared" si="40"/>
        <v>1124.0104166666667</v>
      </c>
      <c r="V312" s="47">
        <v>700</v>
      </c>
      <c r="W312" s="42">
        <v>750</v>
      </c>
      <c r="X312" s="42">
        <f>(K312*2)/2</f>
        <v>17415</v>
      </c>
      <c r="Y312" s="46">
        <v>3483</v>
      </c>
      <c r="Z312" s="42">
        <v>0</v>
      </c>
      <c r="AA312" s="4">
        <f t="shared" si="42"/>
        <v>9599.2604166666679</v>
      </c>
      <c r="AB312" s="4">
        <f t="shared" si="41"/>
        <v>115191.12500000001</v>
      </c>
      <c r="AC312" s="4">
        <f t="shared" si="43"/>
        <v>550551.125</v>
      </c>
    </row>
    <row r="313" spans="1:29" x14ac:dyDescent="0.2">
      <c r="A313" s="42">
        <v>400306</v>
      </c>
      <c r="B313" s="43" t="s">
        <v>266</v>
      </c>
      <c r="C313" s="42" t="s">
        <v>277</v>
      </c>
      <c r="D313" s="43" t="s">
        <v>39</v>
      </c>
      <c r="E313" s="43" t="s">
        <v>40</v>
      </c>
      <c r="F313" s="42" t="s">
        <v>249</v>
      </c>
      <c r="G313" s="43" t="s">
        <v>41</v>
      </c>
      <c r="H313" s="42">
        <v>50</v>
      </c>
      <c r="I313" s="44">
        <v>45126</v>
      </c>
      <c r="J313" s="43" t="s">
        <v>54</v>
      </c>
      <c r="K313" s="49">
        <v>15385</v>
      </c>
      <c r="L313" s="42"/>
      <c r="M313" s="51">
        <f>VLOOKUP(A313,'[1]ناتج ملف Excel'!$A:$AV,46,0)</f>
        <v>100</v>
      </c>
      <c r="N313" s="51">
        <f>VLOOKUP(A313,'[1]ناتج ملف Excel'!$A:$AV,47,0)</f>
        <v>3846.25</v>
      </c>
      <c r="O313" s="42"/>
      <c r="P313" s="47">
        <v>0</v>
      </c>
      <c r="Q313" s="48"/>
      <c r="R313" s="48">
        <v>0</v>
      </c>
      <c r="S313" s="72"/>
      <c r="T313" s="47">
        <v>3080</v>
      </c>
      <c r="U313" s="48">
        <f t="shared" si="40"/>
        <v>822.13541666666663</v>
      </c>
      <c r="V313" s="47">
        <v>700</v>
      </c>
      <c r="W313" s="42">
        <v>0</v>
      </c>
      <c r="X313" s="42">
        <v>0</v>
      </c>
      <c r="Y313" s="46">
        <v>3077</v>
      </c>
      <c r="Z313" s="42">
        <v>0</v>
      </c>
      <c r="AA313" s="4">
        <f t="shared" si="42"/>
        <v>7848.3854166666661</v>
      </c>
      <c r="AB313" s="4">
        <f t="shared" si="41"/>
        <v>94180.625</v>
      </c>
      <c r="AC313" s="4">
        <f t="shared" si="43"/>
        <v>287200.625</v>
      </c>
    </row>
    <row r="314" spans="1:29" x14ac:dyDescent="0.2">
      <c r="A314" s="42">
        <v>400307</v>
      </c>
      <c r="B314" s="43">
        <v>3</v>
      </c>
      <c r="C314" s="42" t="s">
        <v>277</v>
      </c>
      <c r="D314" s="43" t="s">
        <v>39</v>
      </c>
      <c r="E314" s="43" t="s">
        <v>40</v>
      </c>
      <c r="F314" s="42" t="s">
        <v>249</v>
      </c>
      <c r="G314" s="43" t="s">
        <v>41</v>
      </c>
      <c r="H314" s="42">
        <v>54</v>
      </c>
      <c r="I314" s="44">
        <v>45126</v>
      </c>
      <c r="J314" s="43" t="s">
        <v>54</v>
      </c>
      <c r="K314" s="49">
        <v>15855</v>
      </c>
      <c r="L314" s="42"/>
      <c r="M314" s="51">
        <f>VLOOKUP(A314,'[1]ناتج ملف Excel'!$A:$AV,46,0)</f>
        <v>885.5</v>
      </c>
      <c r="N314" s="51">
        <f>VLOOKUP(A314,'[1]ناتج ملف Excel'!$A:$AV,47,0)</f>
        <v>3963.75</v>
      </c>
      <c r="O314" s="42"/>
      <c r="P314" s="47">
        <v>0</v>
      </c>
      <c r="Q314" s="48"/>
      <c r="R314" s="48">
        <v>0</v>
      </c>
      <c r="S314" s="72"/>
      <c r="T314" s="47">
        <v>3080</v>
      </c>
      <c r="U314" s="48">
        <f t="shared" si="40"/>
        <v>1010.2604166666666</v>
      </c>
      <c r="V314" s="47">
        <v>700</v>
      </c>
      <c r="W314" s="42">
        <v>0</v>
      </c>
      <c r="X314" s="42">
        <v>0</v>
      </c>
      <c r="Y314" s="46">
        <v>3171</v>
      </c>
      <c r="Z314" s="42">
        <v>0</v>
      </c>
      <c r="AA314" s="4">
        <f t="shared" si="42"/>
        <v>8939.5104166666661</v>
      </c>
      <c r="AB314" s="4">
        <f t="shared" si="41"/>
        <v>107274.125</v>
      </c>
      <c r="AC314" s="4">
        <f t="shared" si="43"/>
        <v>305934.125</v>
      </c>
    </row>
    <row r="315" spans="1:29" x14ac:dyDescent="0.2">
      <c r="A315" s="42">
        <v>400308</v>
      </c>
      <c r="B315" s="43" t="s">
        <v>267</v>
      </c>
      <c r="C315" s="42" t="s">
        <v>277</v>
      </c>
      <c r="D315" s="43" t="s">
        <v>39</v>
      </c>
      <c r="E315" s="43" t="s">
        <v>40</v>
      </c>
      <c r="F315" s="42" t="s">
        <v>249</v>
      </c>
      <c r="G315" s="43" t="s">
        <v>41</v>
      </c>
      <c r="H315" s="42">
        <v>40</v>
      </c>
      <c r="I315" s="44">
        <v>45126</v>
      </c>
      <c r="J315" s="43" t="s">
        <v>54</v>
      </c>
      <c r="K315" s="49">
        <v>10295</v>
      </c>
      <c r="L315" s="42"/>
      <c r="M315" s="51">
        <f>VLOOKUP(A315,'[1]ناتج ملف Excel'!$A:$AV,46,0)</f>
        <v>100</v>
      </c>
      <c r="N315" s="51">
        <f>VLOOKUP(A315,'[1]ناتج ملف Excel'!$A:$AV,47,0)</f>
        <v>2573.75</v>
      </c>
      <c r="O315" s="42"/>
      <c r="P315" s="47">
        <v>0</v>
      </c>
      <c r="Q315" s="48"/>
      <c r="R315" s="48">
        <v>0</v>
      </c>
      <c r="S315" s="72"/>
      <c r="T315" s="47">
        <v>3080</v>
      </c>
      <c r="U315" s="48">
        <f t="shared" si="40"/>
        <v>557.03125</v>
      </c>
      <c r="V315" s="47">
        <v>700</v>
      </c>
      <c r="W315" s="42">
        <v>0</v>
      </c>
      <c r="X315" s="42">
        <v>0</v>
      </c>
      <c r="Y315" s="46">
        <v>2059</v>
      </c>
      <c r="Z315" s="42">
        <v>0</v>
      </c>
      <c r="AA315" s="4">
        <f t="shared" si="42"/>
        <v>6310.78125</v>
      </c>
      <c r="AB315" s="4">
        <f t="shared" si="41"/>
        <v>75729.375</v>
      </c>
      <c r="AC315" s="4">
        <f t="shared" si="43"/>
        <v>207669.375</v>
      </c>
    </row>
    <row r="316" spans="1:29" x14ac:dyDescent="0.2">
      <c r="A316" s="42">
        <v>400309</v>
      </c>
      <c r="B316" s="43">
        <v>4</v>
      </c>
      <c r="C316" s="42" t="s">
        <v>277</v>
      </c>
      <c r="D316" s="43" t="s">
        <v>39</v>
      </c>
      <c r="E316" s="43" t="s">
        <v>40</v>
      </c>
      <c r="F316" s="42" t="s">
        <v>249</v>
      </c>
      <c r="G316" s="43" t="s">
        <v>41</v>
      </c>
      <c r="H316" s="42">
        <v>48</v>
      </c>
      <c r="I316" s="44">
        <v>45126</v>
      </c>
      <c r="J316" s="43" t="s">
        <v>54</v>
      </c>
      <c r="K316" s="49">
        <v>14915</v>
      </c>
      <c r="L316" s="42"/>
      <c r="M316" s="51">
        <f>VLOOKUP(A316,'[1]ناتج ملف Excel'!$A:$AV,46,0)</f>
        <v>791.5</v>
      </c>
      <c r="N316" s="51">
        <f>VLOOKUP(A316,'[1]ناتج ملف Excel'!$A:$AV,47,0)</f>
        <v>3728.75</v>
      </c>
      <c r="O316" s="42"/>
      <c r="P316" s="47">
        <v>0</v>
      </c>
      <c r="Q316" s="48"/>
      <c r="R316" s="48">
        <v>0</v>
      </c>
      <c r="S316" s="72"/>
      <c r="T316" s="47">
        <v>3080</v>
      </c>
      <c r="U316" s="48">
        <f t="shared" si="40"/>
        <v>941.71875</v>
      </c>
      <c r="V316" s="47">
        <v>700</v>
      </c>
      <c r="W316" s="42">
        <v>750</v>
      </c>
      <c r="X316" s="42">
        <f>(K316*2)/2</f>
        <v>14915</v>
      </c>
      <c r="Y316" s="46">
        <v>2983</v>
      </c>
      <c r="Z316" s="42">
        <v>0</v>
      </c>
      <c r="AA316" s="4">
        <f t="shared" si="42"/>
        <v>8541.96875</v>
      </c>
      <c r="AB316" s="4">
        <f t="shared" si="41"/>
        <v>102503.625</v>
      </c>
      <c r="AC316" s="4">
        <f t="shared" si="43"/>
        <v>477863.625</v>
      </c>
    </row>
    <row r="317" spans="1:29" x14ac:dyDescent="0.2">
      <c r="A317" s="42">
        <v>400310</v>
      </c>
      <c r="B317" s="43">
        <v>3</v>
      </c>
      <c r="C317" s="42" t="s">
        <v>277</v>
      </c>
      <c r="D317" s="43" t="s">
        <v>39</v>
      </c>
      <c r="E317" s="43" t="s">
        <v>40</v>
      </c>
      <c r="F317" s="42" t="s">
        <v>249</v>
      </c>
      <c r="G317" s="43" t="s">
        <v>41</v>
      </c>
      <c r="H317" s="42">
        <v>42</v>
      </c>
      <c r="I317" s="44">
        <v>45126</v>
      </c>
      <c r="J317" s="43" t="s">
        <v>54</v>
      </c>
      <c r="K317" s="49">
        <v>16350</v>
      </c>
      <c r="L317" s="42"/>
      <c r="M317" s="51">
        <f>VLOOKUP(A317,'[1]ناتج ملف Excel'!$A:$AV,46,0)</f>
        <v>735</v>
      </c>
      <c r="N317" s="51">
        <f>VLOOKUP(A317,'[1]ناتج ملف Excel'!$A:$AV,47,0)</f>
        <v>4087.5</v>
      </c>
      <c r="O317" s="42"/>
      <c r="P317" s="47">
        <v>0</v>
      </c>
      <c r="Q317" s="48"/>
      <c r="R317" s="48">
        <v>0</v>
      </c>
      <c r="S317" s="72"/>
      <c r="T317" s="47">
        <v>3080</v>
      </c>
      <c r="U317" s="48">
        <f t="shared" si="40"/>
        <v>1004.6875</v>
      </c>
      <c r="V317" s="47">
        <v>900</v>
      </c>
      <c r="W317" s="42">
        <v>0</v>
      </c>
      <c r="X317" s="42">
        <v>0</v>
      </c>
      <c r="Y317" s="46">
        <v>3270</v>
      </c>
      <c r="Z317" s="42">
        <v>0</v>
      </c>
      <c r="AA317" s="4">
        <f t="shared" si="42"/>
        <v>8907.1875</v>
      </c>
      <c r="AB317" s="4">
        <f t="shared" si="41"/>
        <v>106886.25</v>
      </c>
      <c r="AC317" s="4">
        <f t="shared" si="43"/>
        <v>313886.25</v>
      </c>
    </row>
    <row r="318" spans="1:29" x14ac:dyDescent="0.2">
      <c r="A318" s="42">
        <v>400311</v>
      </c>
      <c r="B318" s="43" t="s">
        <v>266</v>
      </c>
      <c r="C318" s="42" t="s">
        <v>277</v>
      </c>
      <c r="D318" s="43" t="s">
        <v>39</v>
      </c>
      <c r="E318" s="43" t="s">
        <v>40</v>
      </c>
      <c r="F318" s="42" t="s">
        <v>249</v>
      </c>
      <c r="G318" s="43" t="s">
        <v>41</v>
      </c>
      <c r="H318" s="42">
        <v>55</v>
      </c>
      <c r="I318" s="44">
        <v>45126</v>
      </c>
      <c r="J318" s="43" t="s">
        <v>54</v>
      </c>
      <c r="K318" s="49">
        <v>14915</v>
      </c>
      <c r="L318" s="42"/>
      <c r="M318" s="51">
        <f>VLOOKUP(A318,'[1]ناتج ملف Excel'!$A:$AV,46,0)</f>
        <v>100</v>
      </c>
      <c r="N318" s="51">
        <f>VLOOKUP(A318,'[1]ناتج ملف Excel'!$A:$AV,47,0)</f>
        <v>3728.75</v>
      </c>
      <c r="O318" s="42"/>
      <c r="P318" s="47">
        <v>0</v>
      </c>
      <c r="Q318" s="48"/>
      <c r="R318" s="48">
        <v>0</v>
      </c>
      <c r="S318" s="72"/>
      <c r="T318" s="47">
        <v>3080</v>
      </c>
      <c r="U318" s="48">
        <f t="shared" si="40"/>
        <v>797.65625</v>
      </c>
      <c r="V318" s="47">
        <v>700</v>
      </c>
      <c r="W318" s="42">
        <v>0</v>
      </c>
      <c r="X318" s="42">
        <v>0</v>
      </c>
      <c r="Y318" s="46">
        <v>2983</v>
      </c>
      <c r="Z318" s="42">
        <v>0</v>
      </c>
      <c r="AA318" s="4">
        <f t="shared" si="42"/>
        <v>7706.40625</v>
      </c>
      <c r="AB318" s="4">
        <f t="shared" si="41"/>
        <v>92476.875</v>
      </c>
      <c r="AC318" s="4">
        <f t="shared" si="43"/>
        <v>279856.875</v>
      </c>
    </row>
    <row r="319" spans="1:29" x14ac:dyDescent="0.2">
      <c r="A319" s="42">
        <v>400312</v>
      </c>
      <c r="B319" s="43">
        <v>4</v>
      </c>
      <c r="C319" s="42" t="s">
        <v>277</v>
      </c>
      <c r="D319" s="43" t="s">
        <v>39</v>
      </c>
      <c r="E319" s="43" t="s">
        <v>40</v>
      </c>
      <c r="F319" s="42" t="s">
        <v>240</v>
      </c>
      <c r="G319" s="43" t="s">
        <v>41</v>
      </c>
      <c r="H319" s="42">
        <v>46</v>
      </c>
      <c r="I319" s="44">
        <v>45126</v>
      </c>
      <c r="J319" s="43" t="s">
        <v>54</v>
      </c>
      <c r="K319" s="49">
        <v>14915</v>
      </c>
      <c r="L319" s="42"/>
      <c r="M319" s="51">
        <f>VLOOKUP(A319,'[1]ناتج ملف Excel'!$A:$AV,46,0)</f>
        <v>791.5</v>
      </c>
      <c r="N319" s="51">
        <f>VLOOKUP(A319,'[1]ناتج ملف Excel'!$A:$AV,47,0)</f>
        <v>3728.75</v>
      </c>
      <c r="O319" s="42"/>
      <c r="P319" s="47">
        <v>0</v>
      </c>
      <c r="Q319" s="48"/>
      <c r="R319" s="48">
        <v>0</v>
      </c>
      <c r="S319" s="72"/>
      <c r="T319" s="47">
        <v>3080</v>
      </c>
      <c r="U319" s="48">
        <f t="shared" ref="U319:U376" si="44">(L319+M319+N319+O319)*2.5/12</f>
        <v>941.71875</v>
      </c>
      <c r="V319" s="47">
        <v>700</v>
      </c>
      <c r="W319" s="42">
        <v>750</v>
      </c>
      <c r="X319" s="42">
        <f>(K319*2)/2</f>
        <v>14915</v>
      </c>
      <c r="Y319" s="46">
        <v>2983</v>
      </c>
      <c r="Z319" s="42">
        <v>0</v>
      </c>
      <c r="AA319" s="4">
        <f t="shared" si="42"/>
        <v>8541.96875</v>
      </c>
      <c r="AB319" s="4">
        <f t="shared" ref="AB319:AB376" si="45">AA319*12</f>
        <v>102503.625</v>
      </c>
      <c r="AC319" s="4">
        <f t="shared" si="43"/>
        <v>477863.625</v>
      </c>
    </row>
    <row r="320" spans="1:29" x14ac:dyDescent="0.2">
      <c r="A320" s="42">
        <v>400313</v>
      </c>
      <c r="B320" s="43" t="s">
        <v>267</v>
      </c>
      <c r="C320" s="42" t="s">
        <v>277</v>
      </c>
      <c r="D320" s="43" t="s">
        <v>39</v>
      </c>
      <c r="E320" s="43" t="s">
        <v>40</v>
      </c>
      <c r="F320" s="42" t="s">
        <v>240</v>
      </c>
      <c r="G320" s="43" t="s">
        <v>41</v>
      </c>
      <c r="H320" s="42">
        <v>38</v>
      </c>
      <c r="I320" s="44">
        <v>45126</v>
      </c>
      <c r="J320" s="43" t="s">
        <v>54</v>
      </c>
      <c r="K320" s="46">
        <v>7740</v>
      </c>
      <c r="L320" s="42"/>
      <c r="M320" s="51">
        <f>VLOOKUP(A320,'[1]ناتج ملف Excel'!$A:$AV,46,0)</f>
        <v>74</v>
      </c>
      <c r="N320" s="51">
        <f>VLOOKUP(A320,'[1]ناتج ملف Excel'!$A:$AV,47,0)</f>
        <v>1935</v>
      </c>
      <c r="O320" s="42"/>
      <c r="P320" s="47">
        <v>0</v>
      </c>
      <c r="Q320" s="48"/>
      <c r="R320" s="48">
        <v>0</v>
      </c>
      <c r="S320" s="72"/>
      <c r="T320" s="47">
        <v>3080</v>
      </c>
      <c r="U320" s="48">
        <f t="shared" si="44"/>
        <v>418.54166666666669</v>
      </c>
      <c r="V320" s="47">
        <v>700</v>
      </c>
      <c r="W320" s="42">
        <v>750</v>
      </c>
      <c r="X320" s="42">
        <v>0</v>
      </c>
      <c r="Y320" s="46">
        <v>1548</v>
      </c>
      <c r="Z320" s="42">
        <v>0</v>
      </c>
      <c r="AA320" s="4">
        <f t="shared" si="42"/>
        <v>5507.5416666666661</v>
      </c>
      <c r="AB320" s="4">
        <f t="shared" si="45"/>
        <v>66090.5</v>
      </c>
      <c r="AC320" s="4">
        <f t="shared" si="43"/>
        <v>176370.5</v>
      </c>
    </row>
    <row r="321" spans="1:29" x14ac:dyDescent="0.2">
      <c r="A321" s="42">
        <v>400314</v>
      </c>
      <c r="B321" s="43" t="s">
        <v>267</v>
      </c>
      <c r="C321" s="42" t="s">
        <v>277</v>
      </c>
      <c r="D321" s="43" t="s">
        <v>39</v>
      </c>
      <c r="E321" s="43" t="s">
        <v>40</v>
      </c>
      <c r="F321" s="42" t="s">
        <v>240</v>
      </c>
      <c r="G321" s="43" t="s">
        <v>41</v>
      </c>
      <c r="H321" s="42">
        <v>39</v>
      </c>
      <c r="I321" s="44">
        <v>45126</v>
      </c>
      <c r="J321" s="43" t="s">
        <v>54</v>
      </c>
      <c r="K321" s="46">
        <v>8105</v>
      </c>
      <c r="L321" s="42"/>
      <c r="M321" s="51">
        <f>VLOOKUP(A321,'[1]ناتج ملف Excel'!$A:$AV,46,0)</f>
        <v>100</v>
      </c>
      <c r="N321" s="51">
        <f>VLOOKUP(A321,'[1]ناتج ملف Excel'!$A:$AV,47,0)</f>
        <v>2026.25</v>
      </c>
      <c r="O321" s="42"/>
      <c r="P321" s="47">
        <v>0</v>
      </c>
      <c r="Q321" s="48"/>
      <c r="R321" s="48">
        <v>0</v>
      </c>
      <c r="S321" s="72"/>
      <c r="T321" s="47">
        <v>3080</v>
      </c>
      <c r="U321" s="48">
        <f t="shared" si="44"/>
        <v>442.96875</v>
      </c>
      <c r="V321" s="47">
        <v>700</v>
      </c>
      <c r="W321" s="42">
        <v>0</v>
      </c>
      <c r="X321" s="42">
        <v>0</v>
      </c>
      <c r="Y321" s="46">
        <v>1621</v>
      </c>
      <c r="Z321" s="42">
        <v>0</v>
      </c>
      <c r="AA321" s="4">
        <f t="shared" si="42"/>
        <v>5649.21875</v>
      </c>
      <c r="AB321" s="4">
        <f t="shared" si="45"/>
        <v>67790.625</v>
      </c>
      <c r="AC321" s="4">
        <f t="shared" si="43"/>
        <v>173450.625</v>
      </c>
    </row>
    <row r="322" spans="1:29" x14ac:dyDescent="0.2">
      <c r="A322" s="42">
        <v>400315</v>
      </c>
      <c r="B322" s="43" t="s">
        <v>267</v>
      </c>
      <c r="C322" s="42" t="s">
        <v>277</v>
      </c>
      <c r="D322" s="43" t="s">
        <v>39</v>
      </c>
      <c r="E322" s="43" t="s">
        <v>40</v>
      </c>
      <c r="F322" s="42" t="s">
        <v>240</v>
      </c>
      <c r="G322" s="43" t="s">
        <v>41</v>
      </c>
      <c r="H322" s="42">
        <v>37</v>
      </c>
      <c r="I322" s="44">
        <v>45126</v>
      </c>
      <c r="J322" s="43" t="s">
        <v>54</v>
      </c>
      <c r="K322" s="46">
        <v>5569</v>
      </c>
      <c r="L322" s="42"/>
      <c r="M322" s="51">
        <f>VLOOKUP(A322,'[1]ناتج ملف Excel'!$A:$AV,46,0)</f>
        <v>156.9</v>
      </c>
      <c r="N322" s="51">
        <f>VLOOKUP(A322,'[1]ناتج ملف Excel'!$A:$AV,47,0)</f>
        <v>1392.25</v>
      </c>
      <c r="O322" s="42"/>
      <c r="P322" s="47">
        <v>0</v>
      </c>
      <c r="Q322" s="48"/>
      <c r="R322" s="48">
        <v>0</v>
      </c>
      <c r="S322" s="72"/>
      <c r="T322" s="47">
        <v>3080</v>
      </c>
      <c r="U322" s="48">
        <f t="shared" si="44"/>
        <v>322.73958333333331</v>
      </c>
      <c r="V322" s="47">
        <v>400</v>
      </c>
      <c r="W322" s="42">
        <v>0</v>
      </c>
      <c r="X322" s="42">
        <v>0</v>
      </c>
      <c r="Y322" s="50">
        <v>1113.8</v>
      </c>
      <c r="Z322" s="42">
        <v>0</v>
      </c>
      <c r="AA322" s="4">
        <f t="shared" si="42"/>
        <v>4951.8895833333336</v>
      </c>
      <c r="AB322" s="4">
        <f t="shared" si="45"/>
        <v>59422.675000000003</v>
      </c>
      <c r="AC322" s="4">
        <f t="shared" si="43"/>
        <v>131050.675</v>
      </c>
    </row>
    <row r="323" spans="1:29" x14ac:dyDescent="0.2">
      <c r="A323" s="42">
        <v>400318</v>
      </c>
      <c r="B323" s="43">
        <v>4</v>
      </c>
      <c r="C323" s="42" t="s">
        <v>277</v>
      </c>
      <c r="D323" s="43" t="s">
        <v>39</v>
      </c>
      <c r="E323" s="43" t="s">
        <v>40</v>
      </c>
      <c r="F323" s="42" t="s">
        <v>246</v>
      </c>
      <c r="G323" s="43" t="s">
        <v>41</v>
      </c>
      <c r="H323" s="42">
        <v>36</v>
      </c>
      <c r="I323" s="44">
        <v>45126</v>
      </c>
      <c r="J323" s="43" t="s">
        <v>54</v>
      </c>
      <c r="K323" s="49">
        <v>12565</v>
      </c>
      <c r="L323" s="42"/>
      <c r="M323" s="51">
        <f>VLOOKUP(A323,'[1]ناتج ملف Excel'!$A:$AV,46,0)</f>
        <v>556.5</v>
      </c>
      <c r="N323" s="51">
        <f>VLOOKUP(A323,'[1]ناتج ملف Excel'!$A:$AV,47,0)</f>
        <v>3141.25</v>
      </c>
      <c r="O323" s="42"/>
      <c r="P323" s="47">
        <v>0</v>
      </c>
      <c r="Q323" s="48"/>
      <c r="R323" s="48">
        <v>0</v>
      </c>
      <c r="S323" s="72"/>
      <c r="T323" s="47">
        <v>3080</v>
      </c>
      <c r="U323" s="48">
        <f t="shared" si="44"/>
        <v>770.36458333333337</v>
      </c>
      <c r="V323" s="47">
        <v>700</v>
      </c>
      <c r="W323" s="42">
        <v>750</v>
      </c>
      <c r="X323" s="42">
        <f>(K323*2)/2</f>
        <v>12565</v>
      </c>
      <c r="Y323" s="46">
        <v>2513</v>
      </c>
      <c r="Z323" s="42">
        <v>0</v>
      </c>
      <c r="AA323" s="4">
        <f t="shared" si="42"/>
        <v>7548.1145833333339</v>
      </c>
      <c r="AB323" s="4">
        <f t="shared" si="45"/>
        <v>90577.375</v>
      </c>
      <c r="AC323" s="4">
        <f t="shared" si="43"/>
        <v>409537.375</v>
      </c>
    </row>
    <row r="324" spans="1:29" x14ac:dyDescent="0.2">
      <c r="A324" s="42">
        <v>400319</v>
      </c>
      <c r="B324" s="43" t="s">
        <v>267</v>
      </c>
      <c r="C324" s="42" t="s">
        <v>277</v>
      </c>
      <c r="D324" s="43" t="s">
        <v>39</v>
      </c>
      <c r="E324" s="43" t="s">
        <v>40</v>
      </c>
      <c r="F324" s="42" t="s">
        <v>240</v>
      </c>
      <c r="G324" s="43" t="s">
        <v>41</v>
      </c>
      <c r="H324" s="42">
        <v>53</v>
      </c>
      <c r="I324" s="44">
        <v>45126</v>
      </c>
      <c r="J324" s="43" t="s">
        <v>54</v>
      </c>
      <c r="K324" s="49">
        <v>12990</v>
      </c>
      <c r="L324" s="42"/>
      <c r="M324" s="51">
        <f>VLOOKUP(A324,'[1]ناتج ملف Excel'!$A:$AV,46,0)</f>
        <v>100</v>
      </c>
      <c r="N324" s="51">
        <f>VLOOKUP(A324,'[1]ناتج ملف Excel'!$A:$AV,47,0)</f>
        <v>3247.5</v>
      </c>
      <c r="O324" s="42"/>
      <c r="P324" s="47">
        <v>0</v>
      </c>
      <c r="Q324" s="48"/>
      <c r="R324" s="48">
        <v>0</v>
      </c>
      <c r="S324" s="72"/>
      <c r="T324" s="47">
        <v>3080</v>
      </c>
      <c r="U324" s="48">
        <f t="shared" si="44"/>
        <v>697.39583333333337</v>
      </c>
      <c r="V324" s="47">
        <v>700</v>
      </c>
      <c r="W324" s="42">
        <v>750</v>
      </c>
      <c r="X324" s="42">
        <v>0</v>
      </c>
      <c r="Y324" s="46">
        <v>2598</v>
      </c>
      <c r="Z324" s="42">
        <v>0</v>
      </c>
      <c r="AA324" s="4">
        <f t="shared" si="42"/>
        <v>7124.8958333333339</v>
      </c>
      <c r="AB324" s="4">
        <f t="shared" si="45"/>
        <v>85498.75</v>
      </c>
      <c r="AC324" s="4">
        <f t="shared" si="43"/>
        <v>258778.75</v>
      </c>
    </row>
    <row r="325" spans="1:29" x14ac:dyDescent="0.2">
      <c r="A325" s="42">
        <v>400320</v>
      </c>
      <c r="B325" s="43">
        <v>3</v>
      </c>
      <c r="C325" s="42" t="s">
        <v>277</v>
      </c>
      <c r="D325" s="43" t="s">
        <v>39</v>
      </c>
      <c r="E325" s="43" t="s">
        <v>40</v>
      </c>
      <c r="F325" s="42" t="s">
        <v>246</v>
      </c>
      <c r="G325" s="43" t="s">
        <v>41</v>
      </c>
      <c r="H325" s="42">
        <v>53</v>
      </c>
      <c r="I325" s="44">
        <v>45126</v>
      </c>
      <c r="J325" s="43" t="s">
        <v>54</v>
      </c>
      <c r="K325" s="49">
        <v>17415</v>
      </c>
      <c r="L325" s="42"/>
      <c r="M325" s="51">
        <f>VLOOKUP(A325,'[1]ناتج ملف Excel'!$A:$AV,46,0)</f>
        <v>1041.5</v>
      </c>
      <c r="N325" s="51">
        <f>VLOOKUP(A325,'[1]ناتج ملف Excel'!$A:$AV,47,0)</f>
        <v>4353.75</v>
      </c>
      <c r="O325" s="42"/>
      <c r="P325" s="47">
        <v>0</v>
      </c>
      <c r="Q325" s="48"/>
      <c r="R325" s="48">
        <v>0</v>
      </c>
      <c r="S325" s="72"/>
      <c r="T325" s="47">
        <v>3080</v>
      </c>
      <c r="U325" s="48">
        <f t="shared" si="44"/>
        <v>1124.0104166666667</v>
      </c>
      <c r="V325" s="47">
        <v>700</v>
      </c>
      <c r="W325" s="42">
        <v>0</v>
      </c>
      <c r="X325" s="42">
        <v>0</v>
      </c>
      <c r="Y325" s="46">
        <v>3483</v>
      </c>
      <c r="Z325" s="42">
        <v>0</v>
      </c>
      <c r="AA325" s="4">
        <f t="shared" si="42"/>
        <v>9599.2604166666679</v>
      </c>
      <c r="AB325" s="4">
        <f t="shared" si="45"/>
        <v>115191.12500000001</v>
      </c>
      <c r="AC325" s="4">
        <f t="shared" si="43"/>
        <v>332571.125</v>
      </c>
    </row>
    <row r="326" spans="1:29" x14ac:dyDescent="0.2">
      <c r="A326" s="42">
        <v>400321</v>
      </c>
      <c r="B326" s="43">
        <v>4</v>
      </c>
      <c r="C326" s="42" t="s">
        <v>277</v>
      </c>
      <c r="D326" s="43" t="s">
        <v>39</v>
      </c>
      <c r="E326" s="43" t="s">
        <v>40</v>
      </c>
      <c r="F326" s="42" t="s">
        <v>246</v>
      </c>
      <c r="G326" s="43" t="s">
        <v>41</v>
      </c>
      <c r="H326" s="42">
        <v>50</v>
      </c>
      <c r="I326" s="44">
        <v>45126</v>
      </c>
      <c r="J326" s="43" t="s">
        <v>54</v>
      </c>
      <c r="K326" s="49">
        <v>15855</v>
      </c>
      <c r="L326" s="42"/>
      <c r="M326" s="51">
        <f>VLOOKUP(A326,'[1]ناتج ملف Excel'!$A:$AV,46,0)</f>
        <v>885.5</v>
      </c>
      <c r="N326" s="51">
        <f>VLOOKUP(A326,'[1]ناتج ملف Excel'!$A:$AV,47,0)</f>
        <v>3963.75</v>
      </c>
      <c r="O326" s="42"/>
      <c r="P326" s="47">
        <v>0</v>
      </c>
      <c r="Q326" s="48"/>
      <c r="R326" s="48">
        <v>0</v>
      </c>
      <c r="S326" s="72"/>
      <c r="T326" s="47">
        <v>3080</v>
      </c>
      <c r="U326" s="48">
        <f t="shared" si="44"/>
        <v>1010.2604166666666</v>
      </c>
      <c r="V326" s="47">
        <v>700</v>
      </c>
      <c r="W326" s="42">
        <v>750</v>
      </c>
      <c r="X326" s="42">
        <f>(K326*2)/2</f>
        <v>15855</v>
      </c>
      <c r="Y326" s="46">
        <v>3171</v>
      </c>
      <c r="Z326" s="42">
        <v>0</v>
      </c>
      <c r="AA326" s="4">
        <f t="shared" si="42"/>
        <v>8939.5104166666661</v>
      </c>
      <c r="AB326" s="4">
        <f t="shared" si="45"/>
        <v>107274.125</v>
      </c>
      <c r="AC326" s="4">
        <f t="shared" si="43"/>
        <v>505194.125</v>
      </c>
    </row>
    <row r="327" spans="1:29" x14ac:dyDescent="0.2">
      <c r="A327" s="42">
        <v>400322</v>
      </c>
      <c r="B327" s="43" t="s">
        <v>267</v>
      </c>
      <c r="C327" s="42" t="s">
        <v>277</v>
      </c>
      <c r="D327" s="43" t="s">
        <v>39</v>
      </c>
      <c r="E327" s="43" t="s">
        <v>40</v>
      </c>
      <c r="F327" s="42" t="s">
        <v>246</v>
      </c>
      <c r="G327" s="43" t="s">
        <v>41</v>
      </c>
      <c r="H327" s="42">
        <v>44</v>
      </c>
      <c r="I327" s="44">
        <v>45126</v>
      </c>
      <c r="J327" s="43" t="s">
        <v>54</v>
      </c>
      <c r="K327" s="49">
        <v>12575</v>
      </c>
      <c r="L327" s="42"/>
      <c r="M327" s="51">
        <f>VLOOKUP(A327,'[1]ناتج ملف Excel'!$A:$AV,46,0)</f>
        <v>100</v>
      </c>
      <c r="N327" s="51">
        <f>VLOOKUP(A327,'[1]ناتج ملف Excel'!$A:$AV,47,0)</f>
        <v>3143.75</v>
      </c>
      <c r="O327" s="42"/>
      <c r="P327" s="47">
        <v>0</v>
      </c>
      <c r="Q327" s="48"/>
      <c r="R327" s="48">
        <v>0</v>
      </c>
      <c r="S327" s="72"/>
      <c r="T327" s="47">
        <v>3080</v>
      </c>
      <c r="U327" s="48">
        <f t="shared" si="44"/>
        <v>675.78125</v>
      </c>
      <c r="V327" s="47">
        <v>700</v>
      </c>
      <c r="W327" s="42">
        <v>750</v>
      </c>
      <c r="X327" s="42">
        <v>0</v>
      </c>
      <c r="Y327" s="46">
        <v>2515</v>
      </c>
      <c r="Z327" s="42">
        <v>0</v>
      </c>
      <c r="AA327" s="4">
        <f t="shared" si="42"/>
        <v>6999.53125</v>
      </c>
      <c r="AB327" s="4">
        <f t="shared" si="45"/>
        <v>83994.375</v>
      </c>
      <c r="AC327" s="4">
        <f t="shared" si="43"/>
        <v>252294.375</v>
      </c>
    </row>
    <row r="328" spans="1:29" x14ac:dyDescent="0.2">
      <c r="A328" s="42">
        <v>400325</v>
      </c>
      <c r="B328" s="43" t="s">
        <v>267</v>
      </c>
      <c r="C328" s="42" t="s">
        <v>277</v>
      </c>
      <c r="D328" s="43" t="s">
        <v>39</v>
      </c>
      <c r="E328" s="43" t="s">
        <v>40</v>
      </c>
      <c r="F328" s="42" t="s">
        <v>246</v>
      </c>
      <c r="G328" s="43" t="s">
        <v>41</v>
      </c>
      <c r="H328" s="42">
        <v>40</v>
      </c>
      <c r="I328" s="44">
        <v>45126</v>
      </c>
      <c r="J328" s="43" t="s">
        <v>54</v>
      </c>
      <c r="K328" s="46">
        <v>9930</v>
      </c>
      <c r="L328" s="42"/>
      <c r="M328" s="51">
        <f>VLOOKUP(A328,'[1]ناتج ملف Excel'!$A:$AV,46,0)</f>
        <v>100</v>
      </c>
      <c r="N328" s="51">
        <f>VLOOKUP(A328,'[1]ناتج ملف Excel'!$A:$AV,47,0)</f>
        <v>2482.5</v>
      </c>
      <c r="O328" s="42"/>
      <c r="P328" s="47">
        <v>0</v>
      </c>
      <c r="Q328" s="48"/>
      <c r="R328" s="48">
        <v>0</v>
      </c>
      <c r="S328" s="72"/>
      <c r="T328" s="47">
        <v>3080</v>
      </c>
      <c r="U328" s="48">
        <f t="shared" si="44"/>
        <v>538.02083333333337</v>
      </c>
      <c r="V328" s="47">
        <v>700</v>
      </c>
      <c r="W328" s="42">
        <v>0</v>
      </c>
      <c r="X328" s="42">
        <v>0</v>
      </c>
      <c r="Y328" s="46">
        <v>1986</v>
      </c>
      <c r="Z328" s="42">
        <v>0</v>
      </c>
      <c r="AA328" s="4">
        <f t="shared" ref="AA328:AA385" si="46">U328+T328+N328+M328+O328</f>
        <v>6200.5208333333339</v>
      </c>
      <c r="AB328" s="4">
        <f t="shared" si="45"/>
        <v>74406.25</v>
      </c>
      <c r="AC328" s="4">
        <f t="shared" ref="AC328:AC385" si="47">AB328+((K328+V328+W328+X328)*12)</f>
        <v>201966.25</v>
      </c>
    </row>
    <row r="329" spans="1:29" x14ac:dyDescent="0.2">
      <c r="A329" s="42">
        <v>400328</v>
      </c>
      <c r="B329" s="43" t="s">
        <v>267</v>
      </c>
      <c r="C329" s="42" t="s">
        <v>277</v>
      </c>
      <c r="D329" s="43" t="s">
        <v>39</v>
      </c>
      <c r="E329" s="43" t="s">
        <v>40</v>
      </c>
      <c r="F329" s="42" t="s">
        <v>247</v>
      </c>
      <c r="G329" s="43" t="s">
        <v>41</v>
      </c>
      <c r="H329" s="42">
        <v>38</v>
      </c>
      <c r="I329" s="44">
        <v>45126</v>
      </c>
      <c r="J329" s="43" t="s">
        <v>54</v>
      </c>
      <c r="K329" s="46">
        <v>9565</v>
      </c>
      <c r="L329" s="42"/>
      <c r="M329" s="51">
        <f>VLOOKUP(A329,'[1]ناتج ملف Excel'!$A:$AV,46,0)</f>
        <v>100</v>
      </c>
      <c r="N329" s="51">
        <f>VLOOKUP(A329,'[1]ناتج ملف Excel'!$A:$AV,47,0)</f>
        <v>2391.25</v>
      </c>
      <c r="O329" s="42"/>
      <c r="P329" s="47">
        <v>0</v>
      </c>
      <c r="Q329" s="48"/>
      <c r="R329" s="48">
        <v>0</v>
      </c>
      <c r="S329" s="72"/>
      <c r="T329" s="47">
        <v>3080</v>
      </c>
      <c r="U329" s="48">
        <f t="shared" si="44"/>
        <v>519.01041666666663</v>
      </c>
      <c r="V329" s="47">
        <v>700</v>
      </c>
      <c r="W329" s="42">
        <v>0</v>
      </c>
      <c r="X329" s="42">
        <v>0</v>
      </c>
      <c r="Y329" s="46">
        <v>1913</v>
      </c>
      <c r="Z329" s="46">
        <v>1913</v>
      </c>
      <c r="AA329" s="4">
        <f t="shared" si="46"/>
        <v>6090.2604166666661</v>
      </c>
      <c r="AB329" s="4">
        <f t="shared" si="45"/>
        <v>73083.125</v>
      </c>
      <c r="AC329" s="4">
        <f t="shared" si="47"/>
        <v>196263.125</v>
      </c>
    </row>
    <row r="330" spans="1:29" x14ac:dyDescent="0.2">
      <c r="A330" s="42">
        <v>400330</v>
      </c>
      <c r="B330" s="43" t="s">
        <v>267</v>
      </c>
      <c r="C330" s="42" t="s">
        <v>277</v>
      </c>
      <c r="D330" s="43" t="s">
        <v>39</v>
      </c>
      <c r="E330" s="43" t="s">
        <v>40</v>
      </c>
      <c r="F330" s="42" t="s">
        <v>247</v>
      </c>
      <c r="G330" s="43" t="s">
        <v>41</v>
      </c>
      <c r="H330" s="42">
        <v>39</v>
      </c>
      <c r="I330" s="44">
        <v>45126</v>
      </c>
      <c r="J330" s="43" t="s">
        <v>54</v>
      </c>
      <c r="K330" s="46">
        <v>7285</v>
      </c>
      <c r="L330" s="42"/>
      <c r="M330" s="51">
        <f>VLOOKUP(A330,'[1]ناتج ملف Excel'!$A:$AV,46,0)</f>
        <v>28.5</v>
      </c>
      <c r="N330" s="51">
        <f>VLOOKUP(A330,'[1]ناتج ملف Excel'!$A:$AV,47,0)</f>
        <v>1821.25</v>
      </c>
      <c r="O330" s="42"/>
      <c r="P330" s="47">
        <v>0</v>
      </c>
      <c r="Q330" s="48"/>
      <c r="R330" s="48">
        <v>0</v>
      </c>
      <c r="S330" s="72"/>
      <c r="T330" s="47">
        <v>3080</v>
      </c>
      <c r="U330" s="48">
        <f t="shared" si="44"/>
        <v>385.36458333333331</v>
      </c>
      <c r="V330" s="47">
        <v>700</v>
      </c>
      <c r="W330" s="42">
        <v>0</v>
      </c>
      <c r="X330" s="42">
        <v>0</v>
      </c>
      <c r="Y330" s="46">
        <v>1457</v>
      </c>
      <c r="Z330" s="46">
        <v>1457</v>
      </c>
      <c r="AA330" s="4">
        <f t="shared" si="46"/>
        <v>5315.1145833333339</v>
      </c>
      <c r="AB330" s="4">
        <f t="shared" si="45"/>
        <v>63781.375000000007</v>
      </c>
      <c r="AC330" s="4">
        <f t="shared" si="47"/>
        <v>159601.375</v>
      </c>
    </row>
    <row r="331" spans="1:29" x14ac:dyDescent="0.2">
      <c r="A331" s="42">
        <v>400331</v>
      </c>
      <c r="B331" s="43">
        <v>4</v>
      </c>
      <c r="C331" s="42" t="s">
        <v>277</v>
      </c>
      <c r="D331" s="43" t="s">
        <v>39</v>
      </c>
      <c r="E331" s="43" t="s">
        <v>40</v>
      </c>
      <c r="F331" s="42" t="s">
        <v>247</v>
      </c>
      <c r="G331" s="43" t="s">
        <v>41</v>
      </c>
      <c r="H331" s="42">
        <v>30</v>
      </c>
      <c r="I331" s="44">
        <v>45126</v>
      </c>
      <c r="J331" s="43" t="s">
        <v>54</v>
      </c>
      <c r="K331" s="46">
        <v>9184</v>
      </c>
      <c r="L331" s="42"/>
      <c r="M331" s="51">
        <f>VLOOKUP(A331,'[1]ناتج ملف Excel'!$A:$AV,46,0)</f>
        <v>418.4</v>
      </c>
      <c r="N331" s="51">
        <f>VLOOKUP(A331,'[1]ناتج ملف Excel'!$A:$AV,47,0)</f>
        <v>2296</v>
      </c>
      <c r="O331" s="42"/>
      <c r="P331" s="47">
        <v>0</v>
      </c>
      <c r="Q331" s="48"/>
      <c r="R331" s="48">
        <v>0</v>
      </c>
      <c r="S331" s="72"/>
      <c r="T331" s="47">
        <v>3080</v>
      </c>
      <c r="U331" s="48">
        <f t="shared" si="44"/>
        <v>565.5</v>
      </c>
      <c r="V331" s="47">
        <v>500</v>
      </c>
      <c r="W331" s="42">
        <v>0</v>
      </c>
      <c r="X331" s="42">
        <v>0</v>
      </c>
      <c r="Y331" s="50">
        <v>1836.8</v>
      </c>
      <c r="Z331" s="50">
        <v>1836.8</v>
      </c>
      <c r="AA331" s="4">
        <f t="shared" si="46"/>
        <v>6359.9</v>
      </c>
      <c r="AB331" s="4">
        <f t="shared" si="45"/>
        <v>76318.799999999988</v>
      </c>
      <c r="AC331" s="4">
        <f t="shared" si="47"/>
        <v>192526.8</v>
      </c>
    </row>
    <row r="332" spans="1:29" x14ac:dyDescent="0.2">
      <c r="A332" s="42">
        <v>400332</v>
      </c>
      <c r="B332" s="43">
        <v>4</v>
      </c>
      <c r="C332" s="42" t="s">
        <v>277</v>
      </c>
      <c r="D332" s="43" t="s">
        <v>39</v>
      </c>
      <c r="E332" s="43" t="s">
        <v>40</v>
      </c>
      <c r="F332" s="42" t="s">
        <v>256</v>
      </c>
      <c r="G332" s="43" t="s">
        <v>41</v>
      </c>
      <c r="H332" s="42">
        <v>47</v>
      </c>
      <c r="I332" s="44">
        <v>45126</v>
      </c>
      <c r="J332" s="43" t="s">
        <v>54</v>
      </c>
      <c r="K332" s="49">
        <v>17415</v>
      </c>
      <c r="L332" s="42"/>
      <c r="M332" s="51">
        <f>VLOOKUP(A332,'[1]ناتج ملف Excel'!$A:$AV,46,0)</f>
        <v>1041.5</v>
      </c>
      <c r="N332" s="51">
        <f>VLOOKUP(A332,'[1]ناتج ملف Excel'!$A:$AV,47,0)</f>
        <v>4353.75</v>
      </c>
      <c r="O332" s="42"/>
      <c r="P332" s="47">
        <v>0</v>
      </c>
      <c r="Q332" s="48"/>
      <c r="R332" s="48">
        <v>0</v>
      </c>
      <c r="S332" s="72"/>
      <c r="T332" s="47">
        <v>3080</v>
      </c>
      <c r="U332" s="48">
        <f t="shared" si="44"/>
        <v>1124.0104166666667</v>
      </c>
      <c r="V332" s="47">
        <v>700</v>
      </c>
      <c r="W332" s="42">
        <v>0</v>
      </c>
      <c r="X332" s="42">
        <f>(K332*2)/2</f>
        <v>17415</v>
      </c>
      <c r="Y332" s="46">
        <v>3483</v>
      </c>
      <c r="Z332" s="46">
        <v>3483</v>
      </c>
      <c r="AA332" s="4">
        <f t="shared" si="46"/>
        <v>9599.2604166666679</v>
      </c>
      <c r="AB332" s="4">
        <f t="shared" si="45"/>
        <v>115191.12500000001</v>
      </c>
      <c r="AC332" s="4">
        <f t="shared" si="47"/>
        <v>541551.125</v>
      </c>
    </row>
    <row r="333" spans="1:29" x14ac:dyDescent="0.2">
      <c r="A333" s="42">
        <v>400333</v>
      </c>
      <c r="B333" s="43" t="s">
        <v>267</v>
      </c>
      <c r="C333" s="42" t="s">
        <v>277</v>
      </c>
      <c r="D333" s="43" t="s">
        <v>39</v>
      </c>
      <c r="E333" s="43" t="s">
        <v>40</v>
      </c>
      <c r="F333" s="42" t="s">
        <v>256</v>
      </c>
      <c r="G333" s="43" t="s">
        <v>41</v>
      </c>
      <c r="H333" s="42">
        <v>30</v>
      </c>
      <c r="I333" s="44">
        <v>45126</v>
      </c>
      <c r="J333" s="43" t="s">
        <v>54</v>
      </c>
      <c r="K333" s="46">
        <v>6009</v>
      </c>
      <c r="L333" s="42"/>
      <c r="M333" s="51">
        <f>VLOOKUP(A333,'[1]ناتج ملف Excel'!$A:$AV,46,0)</f>
        <v>100.9</v>
      </c>
      <c r="N333" s="51">
        <f>VLOOKUP(A333,'[1]ناتج ملف Excel'!$A:$AV,47,0)</f>
        <v>1502.25</v>
      </c>
      <c r="O333" s="42"/>
      <c r="P333" s="47">
        <v>0</v>
      </c>
      <c r="Q333" s="48"/>
      <c r="R333" s="48">
        <v>0</v>
      </c>
      <c r="S333" s="72"/>
      <c r="T333" s="47">
        <v>3080</v>
      </c>
      <c r="U333" s="48">
        <f t="shared" si="44"/>
        <v>333.98958333333331</v>
      </c>
      <c r="V333" s="47">
        <v>500</v>
      </c>
      <c r="W333" s="42">
        <v>0</v>
      </c>
      <c r="X333" s="42">
        <v>0</v>
      </c>
      <c r="Y333" s="50">
        <v>1201.8</v>
      </c>
      <c r="Z333" s="50">
        <v>1201.8</v>
      </c>
      <c r="AA333" s="4">
        <f t="shared" si="46"/>
        <v>5017.1395833333336</v>
      </c>
      <c r="AB333" s="4">
        <f t="shared" si="45"/>
        <v>60205.675000000003</v>
      </c>
      <c r="AC333" s="4">
        <f t="shared" si="47"/>
        <v>138313.67499999999</v>
      </c>
    </row>
    <row r="334" spans="1:29" x14ac:dyDescent="0.2">
      <c r="A334" s="42">
        <v>400334</v>
      </c>
      <c r="B334" s="43" t="s">
        <v>267</v>
      </c>
      <c r="C334" s="42" t="s">
        <v>277</v>
      </c>
      <c r="D334" s="43" t="s">
        <v>39</v>
      </c>
      <c r="E334" s="43" t="s">
        <v>40</v>
      </c>
      <c r="F334" s="42" t="s">
        <v>256</v>
      </c>
      <c r="G334" s="43" t="s">
        <v>41</v>
      </c>
      <c r="H334" s="42">
        <v>27</v>
      </c>
      <c r="I334" s="44">
        <v>45126</v>
      </c>
      <c r="J334" s="43" t="s">
        <v>54</v>
      </c>
      <c r="K334" s="46">
        <v>5950</v>
      </c>
      <c r="L334" s="42"/>
      <c r="M334" s="51">
        <f>VLOOKUP(A334,'[1]ناتج ملف Excel'!$A:$AV,46,0)</f>
        <v>95</v>
      </c>
      <c r="N334" s="51">
        <f>VLOOKUP(A334,'[1]ناتج ملف Excel'!$A:$AV,47,0)</f>
        <v>1487.5</v>
      </c>
      <c r="O334" s="42"/>
      <c r="P334" s="47">
        <v>0</v>
      </c>
      <c r="Q334" s="48"/>
      <c r="R334" s="48">
        <v>0</v>
      </c>
      <c r="S334" s="72"/>
      <c r="T334" s="47">
        <v>3080</v>
      </c>
      <c r="U334" s="48">
        <f t="shared" si="44"/>
        <v>329.6875</v>
      </c>
      <c r="V334" s="47">
        <v>500</v>
      </c>
      <c r="W334" s="42">
        <v>0</v>
      </c>
      <c r="X334" s="42">
        <v>0</v>
      </c>
      <c r="Y334" s="46">
        <v>1190</v>
      </c>
      <c r="Z334" s="46">
        <v>1190</v>
      </c>
      <c r="AA334" s="4">
        <f t="shared" si="46"/>
        <v>4992.1875</v>
      </c>
      <c r="AB334" s="4">
        <f t="shared" si="45"/>
        <v>59906.25</v>
      </c>
      <c r="AC334" s="4">
        <f t="shared" si="47"/>
        <v>137306.25</v>
      </c>
    </row>
    <row r="335" spans="1:29" x14ac:dyDescent="0.2">
      <c r="A335" s="42">
        <v>400335</v>
      </c>
      <c r="B335" s="43" t="s">
        <v>267</v>
      </c>
      <c r="C335" s="42" t="s">
        <v>277</v>
      </c>
      <c r="D335" s="43" t="s">
        <v>39</v>
      </c>
      <c r="E335" s="43" t="s">
        <v>40</v>
      </c>
      <c r="F335" s="42" t="s">
        <v>256</v>
      </c>
      <c r="G335" s="43" t="s">
        <v>41</v>
      </c>
      <c r="H335" s="42">
        <v>37</v>
      </c>
      <c r="I335" s="44">
        <v>45126</v>
      </c>
      <c r="J335" s="43" t="s">
        <v>54</v>
      </c>
      <c r="K335" s="46">
        <v>5950</v>
      </c>
      <c r="L335" s="42"/>
      <c r="M335" s="51">
        <f>VLOOKUP(A335,'[1]ناتج ملف Excel'!$A:$AV,46,0)</f>
        <v>95</v>
      </c>
      <c r="N335" s="51">
        <f>VLOOKUP(A335,'[1]ناتج ملف Excel'!$A:$AV,47,0)</f>
        <v>1487.5</v>
      </c>
      <c r="O335" s="42"/>
      <c r="P335" s="47">
        <v>0</v>
      </c>
      <c r="Q335" s="48"/>
      <c r="R335" s="48">
        <v>0</v>
      </c>
      <c r="S335" s="72"/>
      <c r="T335" s="47">
        <v>3080</v>
      </c>
      <c r="U335" s="48">
        <f t="shared" si="44"/>
        <v>329.6875</v>
      </c>
      <c r="V335" s="47">
        <v>500</v>
      </c>
      <c r="W335" s="42">
        <v>0</v>
      </c>
      <c r="X335" s="42">
        <v>0</v>
      </c>
      <c r="Y335" s="46">
        <v>1190</v>
      </c>
      <c r="Z335" s="46">
        <v>1190</v>
      </c>
      <c r="AA335" s="4">
        <f t="shared" si="46"/>
        <v>4992.1875</v>
      </c>
      <c r="AB335" s="4">
        <f t="shared" si="45"/>
        <v>59906.25</v>
      </c>
      <c r="AC335" s="4">
        <f t="shared" si="47"/>
        <v>137306.25</v>
      </c>
    </row>
    <row r="336" spans="1:29" x14ac:dyDescent="0.2">
      <c r="A336" s="42">
        <v>400336</v>
      </c>
      <c r="B336" s="43" t="s">
        <v>267</v>
      </c>
      <c r="C336" s="42" t="s">
        <v>277</v>
      </c>
      <c r="D336" s="43" t="s">
        <v>39</v>
      </c>
      <c r="E336" s="43" t="s">
        <v>40</v>
      </c>
      <c r="F336" s="42" t="s">
        <v>256</v>
      </c>
      <c r="G336" s="43" t="s">
        <v>41</v>
      </c>
      <c r="H336" s="42">
        <v>26</v>
      </c>
      <c r="I336" s="44">
        <v>45126</v>
      </c>
      <c r="J336" s="43" t="s">
        <v>54</v>
      </c>
      <c r="K336" s="46">
        <v>5950</v>
      </c>
      <c r="L336" s="42"/>
      <c r="M336" s="51">
        <f>VLOOKUP(A336,'[1]ناتج ملف Excel'!$A:$AV,46,0)</f>
        <v>95</v>
      </c>
      <c r="N336" s="51">
        <f>VLOOKUP(A336,'[1]ناتج ملف Excel'!$A:$AV,47,0)</f>
        <v>1487.5</v>
      </c>
      <c r="O336" s="42"/>
      <c r="P336" s="47">
        <v>0</v>
      </c>
      <c r="Q336" s="48"/>
      <c r="R336" s="48">
        <v>0</v>
      </c>
      <c r="S336" s="72"/>
      <c r="T336" s="47">
        <v>3080</v>
      </c>
      <c r="U336" s="48">
        <f t="shared" si="44"/>
        <v>329.6875</v>
      </c>
      <c r="V336" s="47">
        <v>500</v>
      </c>
      <c r="W336" s="42">
        <v>0</v>
      </c>
      <c r="X336" s="42">
        <v>0</v>
      </c>
      <c r="Y336" s="46">
        <v>1190</v>
      </c>
      <c r="Z336" s="46">
        <v>1190</v>
      </c>
      <c r="AA336" s="4">
        <f t="shared" si="46"/>
        <v>4992.1875</v>
      </c>
      <c r="AB336" s="4">
        <f t="shared" si="45"/>
        <v>59906.25</v>
      </c>
      <c r="AC336" s="4">
        <f t="shared" si="47"/>
        <v>137306.25</v>
      </c>
    </row>
    <row r="337" spans="1:29" x14ac:dyDescent="0.2">
      <c r="A337" s="42">
        <v>400337</v>
      </c>
      <c r="B337" s="43">
        <v>4</v>
      </c>
      <c r="C337" s="42" t="s">
        <v>277</v>
      </c>
      <c r="D337" s="43" t="s">
        <v>39</v>
      </c>
      <c r="E337" s="43" t="s">
        <v>40</v>
      </c>
      <c r="F337" s="42" t="s">
        <v>256</v>
      </c>
      <c r="G337" s="43" t="s">
        <v>41</v>
      </c>
      <c r="H337" s="42">
        <v>29</v>
      </c>
      <c r="I337" s="44">
        <v>45126</v>
      </c>
      <c r="J337" s="43" t="s">
        <v>54</v>
      </c>
      <c r="K337" s="46">
        <v>9096</v>
      </c>
      <c r="L337" s="42"/>
      <c r="M337" s="51">
        <f>VLOOKUP(A337,'[1]ناتج ملف Excel'!$A:$AV,46,0)</f>
        <v>409.6</v>
      </c>
      <c r="N337" s="51">
        <f>VLOOKUP(A337,'[1]ناتج ملف Excel'!$A:$AV,47,0)</f>
        <v>2274</v>
      </c>
      <c r="O337" s="42"/>
      <c r="P337" s="47">
        <v>0</v>
      </c>
      <c r="Q337" s="48"/>
      <c r="R337" s="48">
        <v>0</v>
      </c>
      <c r="S337" s="72"/>
      <c r="T337" s="47">
        <v>3080</v>
      </c>
      <c r="U337" s="48">
        <f t="shared" si="44"/>
        <v>559.08333333333337</v>
      </c>
      <c r="V337" s="47">
        <v>500</v>
      </c>
      <c r="W337" s="42">
        <v>0</v>
      </c>
      <c r="X337" s="42">
        <v>0</v>
      </c>
      <c r="Y337" s="50">
        <v>1819.2</v>
      </c>
      <c r="Z337" s="50">
        <v>1819.2</v>
      </c>
      <c r="AA337" s="4">
        <f t="shared" si="46"/>
        <v>6322.6833333333343</v>
      </c>
      <c r="AB337" s="4">
        <f t="shared" si="45"/>
        <v>75872.200000000012</v>
      </c>
      <c r="AC337" s="4">
        <f t="shared" si="47"/>
        <v>191024.2</v>
      </c>
    </row>
    <row r="338" spans="1:29" x14ac:dyDescent="0.2">
      <c r="A338" s="42">
        <v>400338</v>
      </c>
      <c r="B338" s="43">
        <v>4</v>
      </c>
      <c r="C338" s="42" t="s">
        <v>277</v>
      </c>
      <c r="D338" s="43" t="s">
        <v>39</v>
      </c>
      <c r="E338" s="43" t="s">
        <v>40</v>
      </c>
      <c r="F338" s="42" t="s">
        <v>256</v>
      </c>
      <c r="G338" s="43" t="s">
        <v>41</v>
      </c>
      <c r="H338" s="42">
        <v>33</v>
      </c>
      <c r="I338" s="44">
        <v>45126</v>
      </c>
      <c r="J338" s="43" t="s">
        <v>54</v>
      </c>
      <c r="K338" s="46">
        <v>9274</v>
      </c>
      <c r="L338" s="42"/>
      <c r="M338" s="51">
        <f>VLOOKUP(A338,'[1]ناتج ملف Excel'!$A:$AV,46,0)</f>
        <v>427.4</v>
      </c>
      <c r="N338" s="51">
        <f>VLOOKUP(A338,'[1]ناتج ملف Excel'!$A:$AV,47,0)</f>
        <v>2318.5</v>
      </c>
      <c r="O338" s="42"/>
      <c r="P338" s="47">
        <v>0</v>
      </c>
      <c r="Q338" s="48"/>
      <c r="R338" s="48">
        <v>0</v>
      </c>
      <c r="S338" s="72"/>
      <c r="T338" s="47">
        <v>3080</v>
      </c>
      <c r="U338" s="48">
        <f t="shared" si="44"/>
        <v>572.0625</v>
      </c>
      <c r="V338" s="47">
        <v>500</v>
      </c>
      <c r="W338" s="42">
        <v>0</v>
      </c>
      <c r="X338" s="42">
        <v>0</v>
      </c>
      <c r="Y338" s="50">
        <v>1854.8</v>
      </c>
      <c r="Z338" s="50">
        <v>1854.8</v>
      </c>
      <c r="AA338" s="4">
        <f t="shared" si="46"/>
        <v>6397.9624999999996</v>
      </c>
      <c r="AB338" s="4">
        <f t="shared" si="45"/>
        <v>76775.549999999988</v>
      </c>
      <c r="AC338" s="4">
        <f t="shared" si="47"/>
        <v>194063.55</v>
      </c>
    </row>
    <row r="339" spans="1:29" x14ac:dyDescent="0.2">
      <c r="A339" s="42">
        <v>400339</v>
      </c>
      <c r="B339" s="43">
        <v>4</v>
      </c>
      <c r="C339" s="42" t="s">
        <v>277</v>
      </c>
      <c r="D339" s="43" t="s">
        <v>39</v>
      </c>
      <c r="E339" s="43" t="s">
        <v>40</v>
      </c>
      <c r="F339" s="42" t="s">
        <v>256</v>
      </c>
      <c r="G339" s="43" t="s">
        <v>41</v>
      </c>
      <c r="H339" s="42">
        <v>29</v>
      </c>
      <c r="I339" s="44">
        <v>45126</v>
      </c>
      <c r="J339" s="43" t="s">
        <v>54</v>
      </c>
      <c r="K339" s="46">
        <v>9184</v>
      </c>
      <c r="L339" s="42"/>
      <c r="M339" s="51">
        <f>VLOOKUP(A339,'[1]ناتج ملف Excel'!$A:$AV,46,0)</f>
        <v>418.4</v>
      </c>
      <c r="N339" s="51">
        <f>VLOOKUP(A339,'[1]ناتج ملف Excel'!$A:$AV,47,0)</f>
        <v>2296</v>
      </c>
      <c r="O339" s="42"/>
      <c r="P339" s="47">
        <v>0</v>
      </c>
      <c r="Q339" s="48"/>
      <c r="R339" s="48">
        <v>0</v>
      </c>
      <c r="S339" s="72"/>
      <c r="T339" s="47">
        <v>3080</v>
      </c>
      <c r="U339" s="48">
        <f t="shared" si="44"/>
        <v>565.5</v>
      </c>
      <c r="V339" s="47">
        <v>500</v>
      </c>
      <c r="W339" s="42">
        <v>0</v>
      </c>
      <c r="X339" s="42">
        <v>0</v>
      </c>
      <c r="Y339" s="50">
        <v>1836.8</v>
      </c>
      <c r="Z339" s="50">
        <v>1836.8</v>
      </c>
      <c r="AA339" s="4">
        <f t="shared" si="46"/>
        <v>6359.9</v>
      </c>
      <c r="AB339" s="4">
        <f t="shared" si="45"/>
        <v>76318.799999999988</v>
      </c>
      <c r="AC339" s="4">
        <f t="shared" si="47"/>
        <v>192526.8</v>
      </c>
    </row>
    <row r="340" spans="1:29" x14ac:dyDescent="0.2">
      <c r="A340" s="42">
        <v>400340</v>
      </c>
      <c r="B340" s="43">
        <v>4</v>
      </c>
      <c r="C340" s="42" t="s">
        <v>277</v>
      </c>
      <c r="D340" s="43" t="s">
        <v>39</v>
      </c>
      <c r="E340" s="43" t="s">
        <v>40</v>
      </c>
      <c r="F340" s="42" t="s">
        <v>256</v>
      </c>
      <c r="G340" s="43" t="s">
        <v>41</v>
      </c>
      <c r="H340" s="42">
        <v>28</v>
      </c>
      <c r="I340" s="44">
        <v>45126</v>
      </c>
      <c r="J340" s="43" t="s">
        <v>54</v>
      </c>
      <c r="K340" s="46">
        <v>9274</v>
      </c>
      <c r="L340" s="42"/>
      <c r="M340" s="51">
        <f>VLOOKUP(A340,'[1]ناتج ملف Excel'!$A:$AV,46,0)</f>
        <v>427.4</v>
      </c>
      <c r="N340" s="51">
        <f>VLOOKUP(A340,'[1]ناتج ملف Excel'!$A:$AV,47,0)</f>
        <v>2318.5</v>
      </c>
      <c r="O340" s="42"/>
      <c r="P340" s="47">
        <v>0</v>
      </c>
      <c r="Q340" s="48"/>
      <c r="R340" s="48">
        <v>0</v>
      </c>
      <c r="S340" s="72"/>
      <c r="T340" s="47">
        <v>3080</v>
      </c>
      <c r="U340" s="48">
        <f t="shared" si="44"/>
        <v>572.0625</v>
      </c>
      <c r="V340" s="47">
        <v>500</v>
      </c>
      <c r="W340" s="42">
        <v>0</v>
      </c>
      <c r="X340" s="42">
        <v>0</v>
      </c>
      <c r="Y340" s="50">
        <v>1854.8</v>
      </c>
      <c r="Z340" s="50">
        <v>1854.8</v>
      </c>
      <c r="AA340" s="4">
        <f t="shared" si="46"/>
        <v>6397.9624999999996</v>
      </c>
      <c r="AB340" s="4">
        <f t="shared" si="45"/>
        <v>76775.549999999988</v>
      </c>
      <c r="AC340" s="4">
        <f t="shared" si="47"/>
        <v>194063.55</v>
      </c>
    </row>
    <row r="341" spans="1:29" x14ac:dyDescent="0.2">
      <c r="A341" s="42">
        <v>400343</v>
      </c>
      <c r="B341" s="43" t="s">
        <v>267</v>
      </c>
      <c r="C341" s="42" t="s">
        <v>277</v>
      </c>
      <c r="D341" s="43" t="s">
        <v>39</v>
      </c>
      <c r="E341" s="43" t="s">
        <v>40</v>
      </c>
      <c r="F341" s="42" t="s">
        <v>257</v>
      </c>
      <c r="G341" s="43" t="s">
        <v>41</v>
      </c>
      <c r="H341" s="42">
        <v>48</v>
      </c>
      <c r="I341" s="44">
        <v>45126</v>
      </c>
      <c r="J341" s="43" t="s">
        <v>54</v>
      </c>
      <c r="K341" s="49">
        <v>13975</v>
      </c>
      <c r="L341" s="42"/>
      <c r="M341" s="51">
        <f>VLOOKUP(A341,'[1]ناتج ملف Excel'!$A:$AV,46,0)</f>
        <v>100</v>
      </c>
      <c r="N341" s="51">
        <f>VLOOKUP(A341,'[1]ناتج ملف Excel'!$A:$AV,47,0)</f>
        <v>3493.75</v>
      </c>
      <c r="O341" s="42"/>
      <c r="P341" s="47">
        <v>0</v>
      </c>
      <c r="Q341" s="48"/>
      <c r="R341" s="48">
        <v>0</v>
      </c>
      <c r="S341" s="72"/>
      <c r="T341" s="47">
        <v>3080</v>
      </c>
      <c r="U341" s="48">
        <f t="shared" si="44"/>
        <v>748.69791666666663</v>
      </c>
      <c r="V341" s="47">
        <v>700</v>
      </c>
      <c r="W341" s="42">
        <v>0</v>
      </c>
      <c r="X341" s="42">
        <v>0</v>
      </c>
      <c r="Y341" s="46">
        <v>2795</v>
      </c>
      <c r="Z341" s="46">
        <v>2795</v>
      </c>
      <c r="AA341" s="4">
        <f t="shared" si="46"/>
        <v>7422.4479166666661</v>
      </c>
      <c r="AB341" s="4">
        <f t="shared" si="45"/>
        <v>89069.375</v>
      </c>
      <c r="AC341" s="4">
        <f t="shared" si="47"/>
        <v>265169.375</v>
      </c>
    </row>
    <row r="342" spans="1:29" x14ac:dyDescent="0.2">
      <c r="A342" s="42">
        <v>400344</v>
      </c>
      <c r="B342" s="43">
        <v>4</v>
      </c>
      <c r="C342" s="42" t="s">
        <v>277</v>
      </c>
      <c r="D342" s="43" t="s">
        <v>39</v>
      </c>
      <c r="E342" s="43" t="s">
        <v>40</v>
      </c>
      <c r="F342" s="42" t="s">
        <v>257</v>
      </c>
      <c r="G342" s="43" t="s">
        <v>41</v>
      </c>
      <c r="H342" s="42">
        <v>50</v>
      </c>
      <c r="I342" s="44">
        <v>45126</v>
      </c>
      <c r="J342" s="43" t="s">
        <v>54</v>
      </c>
      <c r="K342" s="49">
        <v>18705</v>
      </c>
      <c r="L342" s="42"/>
      <c r="M342" s="51">
        <f>VLOOKUP(A342,'[1]ناتج ملف Excel'!$A:$AV,46,0)</f>
        <v>970.5</v>
      </c>
      <c r="N342" s="51">
        <f>VLOOKUP(A342,'[1]ناتج ملف Excel'!$A:$AV,47,0)</f>
        <v>4676.25</v>
      </c>
      <c r="O342" s="42"/>
      <c r="P342" s="47">
        <v>0</v>
      </c>
      <c r="Q342" s="48"/>
      <c r="R342" s="48">
        <v>0</v>
      </c>
      <c r="S342" s="72"/>
      <c r="T342" s="47">
        <v>3080</v>
      </c>
      <c r="U342" s="48">
        <f t="shared" si="44"/>
        <v>1176.40625</v>
      </c>
      <c r="V342" s="47">
        <v>900</v>
      </c>
      <c r="W342" s="42">
        <v>750</v>
      </c>
      <c r="X342" s="42">
        <f>(K342*2)/2</f>
        <v>18705</v>
      </c>
      <c r="Y342" s="46">
        <v>3741</v>
      </c>
      <c r="Z342" s="46">
        <v>3741</v>
      </c>
      <c r="AA342" s="4">
        <f t="shared" si="46"/>
        <v>9903.15625</v>
      </c>
      <c r="AB342" s="4">
        <f t="shared" si="45"/>
        <v>118837.875</v>
      </c>
      <c r="AC342" s="4">
        <f t="shared" si="47"/>
        <v>587557.875</v>
      </c>
    </row>
    <row r="343" spans="1:29" x14ac:dyDescent="0.2">
      <c r="A343" s="42">
        <v>400345</v>
      </c>
      <c r="B343" s="43" t="s">
        <v>267</v>
      </c>
      <c r="C343" s="42" t="s">
        <v>277</v>
      </c>
      <c r="D343" s="43" t="s">
        <v>39</v>
      </c>
      <c r="E343" s="43" t="s">
        <v>40</v>
      </c>
      <c r="F343" s="42" t="s">
        <v>257</v>
      </c>
      <c r="G343" s="43" t="s">
        <v>41</v>
      </c>
      <c r="H343" s="42">
        <v>47</v>
      </c>
      <c r="I343" s="44">
        <v>45126</v>
      </c>
      <c r="J343" s="43" t="s">
        <v>54</v>
      </c>
      <c r="K343" s="49">
        <v>11025</v>
      </c>
      <c r="L343" s="42"/>
      <c r="M343" s="51">
        <f>VLOOKUP(A343,'[1]ناتج ملف Excel'!$A:$AV,46,0)</f>
        <v>100</v>
      </c>
      <c r="N343" s="51">
        <f>VLOOKUP(A343,'[1]ناتج ملف Excel'!$A:$AV,47,0)</f>
        <v>2756.25</v>
      </c>
      <c r="O343" s="42"/>
      <c r="P343" s="47">
        <v>0</v>
      </c>
      <c r="Q343" s="48"/>
      <c r="R343" s="48">
        <v>0</v>
      </c>
      <c r="S343" s="72"/>
      <c r="T343" s="47">
        <v>3080</v>
      </c>
      <c r="U343" s="48">
        <f t="shared" si="44"/>
        <v>595.05208333333337</v>
      </c>
      <c r="V343" s="47">
        <v>700</v>
      </c>
      <c r="W343" s="42">
        <v>750</v>
      </c>
      <c r="X343" s="42">
        <v>0</v>
      </c>
      <c r="Y343" s="46">
        <v>2205</v>
      </c>
      <c r="Z343" s="46">
        <v>2205</v>
      </c>
      <c r="AA343" s="4">
        <f t="shared" si="46"/>
        <v>6531.3020833333339</v>
      </c>
      <c r="AB343" s="4">
        <f t="shared" si="45"/>
        <v>78375.625</v>
      </c>
      <c r="AC343" s="4">
        <f t="shared" si="47"/>
        <v>228075.625</v>
      </c>
    </row>
    <row r="344" spans="1:29" x14ac:dyDescent="0.2">
      <c r="A344" s="42">
        <v>400346</v>
      </c>
      <c r="B344" s="43">
        <v>3</v>
      </c>
      <c r="C344" s="42" t="s">
        <v>277</v>
      </c>
      <c r="D344" s="43" t="s">
        <v>39</v>
      </c>
      <c r="E344" s="43" t="s">
        <v>40</v>
      </c>
      <c r="F344" s="42" t="s">
        <v>257</v>
      </c>
      <c r="G344" s="43" t="s">
        <v>41</v>
      </c>
      <c r="H344" s="42">
        <v>52</v>
      </c>
      <c r="I344" s="44">
        <v>45126</v>
      </c>
      <c r="J344" s="43" t="s">
        <v>54</v>
      </c>
      <c r="K344" s="49">
        <v>17645</v>
      </c>
      <c r="L344" s="42"/>
      <c r="M344" s="51">
        <f>VLOOKUP(A344,'[1]ناتج ملف Excel'!$A:$AV,46,0)</f>
        <v>864.5</v>
      </c>
      <c r="N344" s="51">
        <f>VLOOKUP(A344,'[1]ناتج ملف Excel'!$A:$AV,47,0)</f>
        <v>4411.25</v>
      </c>
      <c r="O344" s="42"/>
      <c r="P344" s="47">
        <v>0</v>
      </c>
      <c r="Q344" s="48"/>
      <c r="R344" s="48">
        <v>0</v>
      </c>
      <c r="S344" s="72"/>
      <c r="T344" s="47">
        <v>3080</v>
      </c>
      <c r="U344" s="48">
        <f t="shared" si="44"/>
        <v>1099.1145833333333</v>
      </c>
      <c r="V344" s="47">
        <v>900</v>
      </c>
      <c r="W344" s="42">
        <v>0</v>
      </c>
      <c r="X344" s="42">
        <v>0</v>
      </c>
      <c r="Y344" s="46">
        <v>3529</v>
      </c>
      <c r="Z344" s="46">
        <v>3529</v>
      </c>
      <c r="AA344" s="4">
        <f t="shared" si="46"/>
        <v>9454.8645833333321</v>
      </c>
      <c r="AB344" s="4">
        <f t="shared" si="45"/>
        <v>113458.37499999999</v>
      </c>
      <c r="AC344" s="4">
        <f t="shared" si="47"/>
        <v>335998.375</v>
      </c>
    </row>
    <row r="345" spans="1:29" x14ac:dyDescent="0.2">
      <c r="A345" s="42">
        <v>400347</v>
      </c>
      <c r="B345" s="43" t="s">
        <v>267</v>
      </c>
      <c r="C345" s="42" t="s">
        <v>277</v>
      </c>
      <c r="D345" s="43" t="s">
        <v>39</v>
      </c>
      <c r="E345" s="43" t="s">
        <v>40</v>
      </c>
      <c r="F345" s="42" t="s">
        <v>257</v>
      </c>
      <c r="G345" s="43" t="s">
        <v>41</v>
      </c>
      <c r="H345" s="42">
        <v>44</v>
      </c>
      <c r="I345" s="44">
        <v>45126</v>
      </c>
      <c r="J345" s="43" t="s">
        <v>54</v>
      </c>
      <c r="K345" s="49">
        <v>13505</v>
      </c>
      <c r="L345" s="42"/>
      <c r="M345" s="51">
        <f>VLOOKUP(A345,'[1]ناتج ملف Excel'!$A:$AV,46,0)</f>
        <v>100</v>
      </c>
      <c r="N345" s="51">
        <f>VLOOKUP(A345,'[1]ناتج ملف Excel'!$A:$AV,47,0)</f>
        <v>3376.25</v>
      </c>
      <c r="O345" s="42"/>
      <c r="P345" s="47">
        <v>0</v>
      </c>
      <c r="Q345" s="48"/>
      <c r="R345" s="48">
        <v>0</v>
      </c>
      <c r="S345" s="72"/>
      <c r="T345" s="47">
        <v>3080</v>
      </c>
      <c r="U345" s="48">
        <f t="shared" si="44"/>
        <v>724.21875</v>
      </c>
      <c r="V345" s="47">
        <v>700</v>
      </c>
      <c r="W345" s="42">
        <v>0</v>
      </c>
      <c r="X345" s="42">
        <v>0</v>
      </c>
      <c r="Y345" s="46">
        <v>2701</v>
      </c>
      <c r="Z345" s="46">
        <v>2701</v>
      </c>
      <c r="AA345" s="4">
        <f t="shared" si="46"/>
        <v>7280.46875</v>
      </c>
      <c r="AB345" s="4">
        <f t="shared" si="45"/>
        <v>87365.625</v>
      </c>
      <c r="AC345" s="4">
        <f t="shared" si="47"/>
        <v>257825.625</v>
      </c>
    </row>
    <row r="346" spans="1:29" x14ac:dyDescent="0.2">
      <c r="A346" s="42">
        <v>400348</v>
      </c>
      <c r="B346" s="43">
        <v>4</v>
      </c>
      <c r="C346" s="42" t="s">
        <v>277</v>
      </c>
      <c r="D346" s="43" t="s">
        <v>39</v>
      </c>
      <c r="E346" s="43" t="s">
        <v>40</v>
      </c>
      <c r="F346" s="42" t="s">
        <v>257</v>
      </c>
      <c r="G346" s="43" t="s">
        <v>41</v>
      </c>
      <c r="H346" s="42">
        <v>44</v>
      </c>
      <c r="I346" s="44">
        <v>45126</v>
      </c>
      <c r="J346" s="43" t="s">
        <v>54</v>
      </c>
      <c r="K346" s="49">
        <v>14915</v>
      </c>
      <c r="L346" s="42"/>
      <c r="M346" s="51">
        <f>VLOOKUP(A346,'[1]ناتج ملف Excel'!$A:$AV,46,0)</f>
        <v>791.5</v>
      </c>
      <c r="N346" s="51">
        <f>VLOOKUP(A346,'[1]ناتج ملف Excel'!$A:$AV,47,0)</f>
        <v>3728.75</v>
      </c>
      <c r="O346" s="42"/>
      <c r="P346" s="47">
        <v>0</v>
      </c>
      <c r="Q346" s="48"/>
      <c r="R346" s="48">
        <v>0</v>
      </c>
      <c r="S346" s="72"/>
      <c r="T346" s="47">
        <v>3080</v>
      </c>
      <c r="U346" s="48">
        <f t="shared" si="44"/>
        <v>941.71875</v>
      </c>
      <c r="V346" s="47">
        <v>700</v>
      </c>
      <c r="W346" s="42">
        <v>750</v>
      </c>
      <c r="X346" s="42">
        <f>(K346*2)/2</f>
        <v>14915</v>
      </c>
      <c r="Y346" s="46">
        <v>2983</v>
      </c>
      <c r="Z346" s="46">
        <v>2983</v>
      </c>
      <c r="AA346" s="4">
        <f t="shared" si="46"/>
        <v>8541.96875</v>
      </c>
      <c r="AB346" s="4">
        <f t="shared" si="45"/>
        <v>102503.625</v>
      </c>
      <c r="AC346" s="4">
        <f t="shared" si="47"/>
        <v>477863.625</v>
      </c>
    </row>
    <row r="347" spans="1:29" x14ac:dyDescent="0.2">
      <c r="A347" s="42">
        <v>400349</v>
      </c>
      <c r="B347" s="43" t="s">
        <v>267</v>
      </c>
      <c r="C347" s="42" t="s">
        <v>277</v>
      </c>
      <c r="D347" s="43" t="s">
        <v>39</v>
      </c>
      <c r="E347" s="43" t="s">
        <v>40</v>
      </c>
      <c r="F347" s="42" t="s">
        <v>257</v>
      </c>
      <c r="G347" s="43" t="s">
        <v>41</v>
      </c>
      <c r="H347" s="42">
        <v>42</v>
      </c>
      <c r="I347" s="44">
        <v>45126</v>
      </c>
      <c r="J347" s="43" t="s">
        <v>54</v>
      </c>
      <c r="K347" s="49">
        <v>11330</v>
      </c>
      <c r="L347" s="42"/>
      <c r="M347" s="51">
        <f>VLOOKUP(A347,'[1]ناتج ملف Excel'!$A:$AV,46,0)</f>
        <v>100</v>
      </c>
      <c r="N347" s="51">
        <f>VLOOKUP(A347,'[1]ناتج ملف Excel'!$A:$AV,47,0)</f>
        <v>2832.5</v>
      </c>
      <c r="O347" s="42"/>
      <c r="P347" s="47">
        <v>0</v>
      </c>
      <c r="Q347" s="48"/>
      <c r="R347" s="48">
        <v>0</v>
      </c>
      <c r="S347" s="72"/>
      <c r="T347" s="47">
        <v>3080</v>
      </c>
      <c r="U347" s="48">
        <f t="shared" si="44"/>
        <v>610.9375</v>
      </c>
      <c r="V347" s="47">
        <v>700</v>
      </c>
      <c r="W347" s="42">
        <v>750</v>
      </c>
      <c r="X347" s="42">
        <v>0</v>
      </c>
      <c r="Y347" s="46">
        <v>2266</v>
      </c>
      <c r="Z347" s="46">
        <v>2266</v>
      </c>
      <c r="AA347" s="4">
        <f t="shared" si="46"/>
        <v>6623.4375</v>
      </c>
      <c r="AB347" s="4">
        <f t="shared" si="45"/>
        <v>79481.25</v>
      </c>
      <c r="AC347" s="4">
        <f t="shared" si="47"/>
        <v>232841.25</v>
      </c>
    </row>
    <row r="348" spans="1:29" x14ac:dyDescent="0.2">
      <c r="A348" s="42">
        <v>400350</v>
      </c>
      <c r="B348" s="43" t="s">
        <v>266</v>
      </c>
      <c r="C348" s="42" t="s">
        <v>277</v>
      </c>
      <c r="D348" s="43" t="s">
        <v>39</v>
      </c>
      <c r="E348" s="43" t="s">
        <v>40</v>
      </c>
      <c r="F348" s="42" t="s">
        <v>257</v>
      </c>
      <c r="G348" s="43" t="s">
        <v>41</v>
      </c>
      <c r="H348" s="42">
        <v>43</v>
      </c>
      <c r="I348" s="44">
        <v>45126</v>
      </c>
      <c r="J348" s="43" t="s">
        <v>54</v>
      </c>
      <c r="K348" s="49">
        <v>13505</v>
      </c>
      <c r="L348" s="42"/>
      <c r="M348" s="51">
        <f>VLOOKUP(A348,'[1]ناتج ملف Excel'!$A:$AV,46,0)</f>
        <v>100</v>
      </c>
      <c r="N348" s="51">
        <f>VLOOKUP(A348,'[1]ناتج ملف Excel'!$A:$AV,47,0)</f>
        <v>3376.25</v>
      </c>
      <c r="O348" s="42"/>
      <c r="P348" s="47">
        <v>0</v>
      </c>
      <c r="Q348" s="48"/>
      <c r="R348" s="48">
        <v>0</v>
      </c>
      <c r="S348" s="72"/>
      <c r="T348" s="47">
        <v>3080</v>
      </c>
      <c r="U348" s="48">
        <f t="shared" si="44"/>
        <v>724.21875</v>
      </c>
      <c r="V348" s="47">
        <v>700</v>
      </c>
      <c r="W348" s="42">
        <v>0</v>
      </c>
      <c r="X348" s="42">
        <v>0</v>
      </c>
      <c r="Y348" s="46">
        <v>2701</v>
      </c>
      <c r="Z348" s="46">
        <v>2701</v>
      </c>
      <c r="AA348" s="4">
        <f t="shared" si="46"/>
        <v>7280.46875</v>
      </c>
      <c r="AB348" s="4">
        <f t="shared" si="45"/>
        <v>87365.625</v>
      </c>
      <c r="AC348" s="4">
        <f t="shared" si="47"/>
        <v>257825.625</v>
      </c>
    </row>
    <row r="349" spans="1:29" x14ac:dyDescent="0.2">
      <c r="A349" s="42">
        <v>400351</v>
      </c>
      <c r="B349" s="43">
        <v>4</v>
      </c>
      <c r="C349" s="42" t="s">
        <v>277</v>
      </c>
      <c r="D349" s="43" t="s">
        <v>39</v>
      </c>
      <c r="E349" s="43" t="s">
        <v>40</v>
      </c>
      <c r="F349" s="42" t="s">
        <v>257</v>
      </c>
      <c r="G349" s="43" t="s">
        <v>41</v>
      </c>
      <c r="H349" s="42">
        <v>46</v>
      </c>
      <c r="I349" s="44">
        <v>45126</v>
      </c>
      <c r="J349" s="43" t="s">
        <v>54</v>
      </c>
      <c r="K349" s="49">
        <v>13975</v>
      </c>
      <c r="L349" s="42"/>
      <c r="M349" s="51">
        <f>VLOOKUP(A349,'[1]ناتج ملف Excel'!$A:$AV,46,0)</f>
        <v>697.5</v>
      </c>
      <c r="N349" s="51">
        <f>VLOOKUP(A349,'[1]ناتج ملف Excel'!$A:$AV,47,0)</f>
        <v>3493.75</v>
      </c>
      <c r="O349" s="42"/>
      <c r="P349" s="47">
        <v>0</v>
      </c>
      <c r="Q349" s="48"/>
      <c r="R349" s="48">
        <v>0</v>
      </c>
      <c r="S349" s="72"/>
      <c r="T349" s="47">
        <v>3080</v>
      </c>
      <c r="U349" s="48">
        <f t="shared" si="44"/>
        <v>873.17708333333337</v>
      </c>
      <c r="V349" s="47">
        <v>700</v>
      </c>
      <c r="W349" s="42">
        <v>750</v>
      </c>
      <c r="X349" s="42">
        <f>(K349*2)/2</f>
        <v>13975</v>
      </c>
      <c r="Y349" s="46">
        <v>2795</v>
      </c>
      <c r="Z349" s="46">
        <v>2795</v>
      </c>
      <c r="AA349" s="4">
        <f t="shared" si="46"/>
        <v>8144.4270833333339</v>
      </c>
      <c r="AB349" s="4">
        <f t="shared" si="45"/>
        <v>97733.125</v>
      </c>
      <c r="AC349" s="4">
        <f t="shared" si="47"/>
        <v>450533.125</v>
      </c>
    </row>
    <row r="350" spans="1:29" x14ac:dyDescent="0.2">
      <c r="A350" s="42">
        <v>400352</v>
      </c>
      <c r="B350" s="43">
        <v>4</v>
      </c>
      <c r="C350" s="42" t="s">
        <v>277</v>
      </c>
      <c r="D350" s="43" t="s">
        <v>39</v>
      </c>
      <c r="E350" s="43" t="s">
        <v>40</v>
      </c>
      <c r="F350" s="42" t="s">
        <v>257</v>
      </c>
      <c r="G350" s="43" t="s">
        <v>41</v>
      </c>
      <c r="H350" s="42">
        <v>43</v>
      </c>
      <c r="I350" s="44">
        <v>45126</v>
      </c>
      <c r="J350" s="43" t="s">
        <v>54</v>
      </c>
      <c r="K350" s="49">
        <v>13975</v>
      </c>
      <c r="L350" s="42"/>
      <c r="M350" s="51">
        <f>VLOOKUP(A350,'[1]ناتج ملف Excel'!$A:$AV,46,0)</f>
        <v>697.5</v>
      </c>
      <c r="N350" s="51">
        <f>VLOOKUP(A350,'[1]ناتج ملف Excel'!$A:$AV,47,0)</f>
        <v>3493.75</v>
      </c>
      <c r="O350" s="42"/>
      <c r="P350" s="47">
        <v>0</v>
      </c>
      <c r="Q350" s="48"/>
      <c r="R350" s="48">
        <v>0</v>
      </c>
      <c r="S350" s="72"/>
      <c r="T350" s="47">
        <v>3080</v>
      </c>
      <c r="U350" s="48">
        <f t="shared" si="44"/>
        <v>873.17708333333337</v>
      </c>
      <c r="V350" s="47">
        <v>700</v>
      </c>
      <c r="W350" s="42">
        <v>750</v>
      </c>
      <c r="X350" s="42">
        <v>0</v>
      </c>
      <c r="Y350" s="46">
        <v>2795</v>
      </c>
      <c r="Z350" s="46">
        <v>2795</v>
      </c>
      <c r="AA350" s="4">
        <f t="shared" si="46"/>
        <v>8144.4270833333339</v>
      </c>
      <c r="AB350" s="4">
        <f t="shared" si="45"/>
        <v>97733.125</v>
      </c>
      <c r="AC350" s="4">
        <f t="shared" si="47"/>
        <v>282833.125</v>
      </c>
    </row>
    <row r="351" spans="1:29" x14ac:dyDescent="0.2">
      <c r="A351" s="42">
        <v>400353</v>
      </c>
      <c r="B351" s="43">
        <v>4</v>
      </c>
      <c r="C351" s="42" t="s">
        <v>277</v>
      </c>
      <c r="D351" s="43" t="s">
        <v>39</v>
      </c>
      <c r="E351" s="43" t="s">
        <v>40</v>
      </c>
      <c r="F351" s="42" t="s">
        <v>257</v>
      </c>
      <c r="G351" s="43" t="s">
        <v>41</v>
      </c>
      <c r="H351" s="42">
        <v>43</v>
      </c>
      <c r="I351" s="44">
        <v>45126</v>
      </c>
      <c r="J351" s="43" t="s">
        <v>54</v>
      </c>
      <c r="K351" s="49">
        <v>14865</v>
      </c>
      <c r="L351" s="42"/>
      <c r="M351" s="51">
        <f>VLOOKUP(A351,'[1]ناتج ملف Excel'!$A:$AV,46,0)</f>
        <v>786.5</v>
      </c>
      <c r="N351" s="51">
        <f>VLOOKUP(A351,'[1]ناتج ملف Excel'!$A:$AV,47,0)</f>
        <v>3716.25</v>
      </c>
      <c r="O351" s="42"/>
      <c r="P351" s="47">
        <v>0</v>
      </c>
      <c r="Q351" s="48"/>
      <c r="R351" s="48">
        <v>0</v>
      </c>
      <c r="S351" s="72"/>
      <c r="T351" s="47">
        <v>3080</v>
      </c>
      <c r="U351" s="48">
        <f t="shared" si="44"/>
        <v>938.07291666666663</v>
      </c>
      <c r="V351" s="47">
        <v>700</v>
      </c>
      <c r="W351" s="42">
        <v>0</v>
      </c>
      <c r="X351" s="42">
        <f>(K351*2)/2</f>
        <v>14865</v>
      </c>
      <c r="Y351" s="46">
        <v>2973</v>
      </c>
      <c r="Z351" s="46">
        <v>2973</v>
      </c>
      <c r="AA351" s="4">
        <f t="shared" si="46"/>
        <v>8520.8229166666661</v>
      </c>
      <c r="AB351" s="4">
        <f t="shared" si="45"/>
        <v>102249.875</v>
      </c>
      <c r="AC351" s="4">
        <f t="shared" si="47"/>
        <v>467409.875</v>
      </c>
    </row>
    <row r="352" spans="1:29" x14ac:dyDescent="0.2">
      <c r="A352" s="42">
        <v>400354</v>
      </c>
      <c r="B352" s="43" t="s">
        <v>267</v>
      </c>
      <c r="C352" s="42" t="s">
        <v>277</v>
      </c>
      <c r="D352" s="43" t="s">
        <v>39</v>
      </c>
      <c r="E352" s="43" t="s">
        <v>40</v>
      </c>
      <c r="F352" s="42" t="s">
        <v>257</v>
      </c>
      <c r="G352" s="43" t="s">
        <v>41</v>
      </c>
      <c r="H352" s="42">
        <v>41</v>
      </c>
      <c r="I352" s="44">
        <v>45126</v>
      </c>
      <c r="J352" s="43" t="s">
        <v>54</v>
      </c>
      <c r="K352" s="49">
        <v>11330</v>
      </c>
      <c r="L352" s="42"/>
      <c r="M352" s="51">
        <f>VLOOKUP(A352,'[1]ناتج ملف Excel'!$A:$AV,46,0)</f>
        <v>100</v>
      </c>
      <c r="N352" s="51">
        <f>VLOOKUP(A352,'[1]ناتج ملف Excel'!$A:$AV,47,0)</f>
        <v>2832.5</v>
      </c>
      <c r="O352" s="42"/>
      <c r="P352" s="47">
        <v>0</v>
      </c>
      <c r="Q352" s="48"/>
      <c r="R352" s="48">
        <v>0</v>
      </c>
      <c r="S352" s="72"/>
      <c r="T352" s="47">
        <v>3080</v>
      </c>
      <c r="U352" s="48">
        <f t="shared" si="44"/>
        <v>610.9375</v>
      </c>
      <c r="V352" s="47">
        <v>700</v>
      </c>
      <c r="W352" s="42">
        <v>0</v>
      </c>
      <c r="X352" s="42">
        <v>0</v>
      </c>
      <c r="Y352" s="46">
        <v>2266</v>
      </c>
      <c r="Z352" s="46">
        <v>2266</v>
      </c>
      <c r="AA352" s="4">
        <f t="shared" si="46"/>
        <v>6623.4375</v>
      </c>
      <c r="AB352" s="4">
        <f t="shared" si="45"/>
        <v>79481.25</v>
      </c>
      <c r="AC352" s="4">
        <f t="shared" si="47"/>
        <v>223841.25</v>
      </c>
    </row>
    <row r="353" spans="1:29" x14ac:dyDescent="0.2">
      <c r="A353" s="42">
        <v>400355</v>
      </c>
      <c r="B353" s="43" t="s">
        <v>267</v>
      </c>
      <c r="C353" s="42" t="s">
        <v>277</v>
      </c>
      <c r="D353" s="43" t="s">
        <v>39</v>
      </c>
      <c r="E353" s="43" t="s">
        <v>40</v>
      </c>
      <c r="F353" s="42" t="s">
        <v>257</v>
      </c>
      <c r="G353" s="43" t="s">
        <v>41</v>
      </c>
      <c r="H353" s="42">
        <v>44</v>
      </c>
      <c r="I353" s="44">
        <v>45126</v>
      </c>
      <c r="J353" s="43" t="s">
        <v>54</v>
      </c>
      <c r="K353" s="49">
        <v>11390</v>
      </c>
      <c r="L353" s="42"/>
      <c r="M353" s="51">
        <f>VLOOKUP(A353,'[1]ناتج ملف Excel'!$A:$AV,46,0)</f>
        <v>100</v>
      </c>
      <c r="N353" s="51">
        <f>VLOOKUP(A353,'[1]ناتج ملف Excel'!$A:$AV,47,0)</f>
        <v>2847.5</v>
      </c>
      <c r="O353" s="42"/>
      <c r="P353" s="47">
        <v>0</v>
      </c>
      <c r="Q353" s="48"/>
      <c r="R353" s="48">
        <v>0</v>
      </c>
      <c r="S353" s="72"/>
      <c r="T353" s="47">
        <v>3080</v>
      </c>
      <c r="U353" s="48">
        <f t="shared" si="44"/>
        <v>614.0625</v>
      </c>
      <c r="V353" s="47">
        <v>700</v>
      </c>
      <c r="W353" s="42">
        <v>750</v>
      </c>
      <c r="X353" s="42">
        <v>0</v>
      </c>
      <c r="Y353" s="46">
        <v>2278</v>
      </c>
      <c r="Z353" s="46">
        <v>2278</v>
      </c>
      <c r="AA353" s="4">
        <f t="shared" si="46"/>
        <v>6641.5625</v>
      </c>
      <c r="AB353" s="4">
        <f t="shared" si="45"/>
        <v>79698.75</v>
      </c>
      <c r="AC353" s="4">
        <f t="shared" si="47"/>
        <v>233778.75</v>
      </c>
    </row>
    <row r="354" spans="1:29" x14ac:dyDescent="0.2">
      <c r="A354" s="42">
        <v>400356</v>
      </c>
      <c r="B354" s="43" t="s">
        <v>267</v>
      </c>
      <c r="C354" s="42" t="s">
        <v>277</v>
      </c>
      <c r="D354" s="43" t="s">
        <v>39</v>
      </c>
      <c r="E354" s="43" t="s">
        <v>40</v>
      </c>
      <c r="F354" s="42" t="s">
        <v>257</v>
      </c>
      <c r="G354" s="43" t="s">
        <v>41</v>
      </c>
      <c r="H354" s="42">
        <v>34</v>
      </c>
      <c r="I354" s="44">
        <v>45126</v>
      </c>
      <c r="J354" s="43" t="s">
        <v>54</v>
      </c>
      <c r="K354" s="46">
        <v>9200</v>
      </c>
      <c r="L354" s="42"/>
      <c r="M354" s="51">
        <f>VLOOKUP(A354,'[1]ناتج ملف Excel'!$A:$AV,46,0)</f>
        <v>100</v>
      </c>
      <c r="N354" s="51">
        <f>VLOOKUP(A354,'[1]ناتج ملف Excel'!$A:$AV,47,0)</f>
        <v>2300</v>
      </c>
      <c r="O354" s="42"/>
      <c r="P354" s="47">
        <v>0</v>
      </c>
      <c r="Q354" s="48"/>
      <c r="R354" s="48">
        <v>0</v>
      </c>
      <c r="S354" s="72"/>
      <c r="T354" s="47">
        <v>3080</v>
      </c>
      <c r="U354" s="48">
        <f t="shared" si="44"/>
        <v>500</v>
      </c>
      <c r="V354" s="47">
        <v>700</v>
      </c>
      <c r="W354" s="42">
        <v>0</v>
      </c>
      <c r="X354" s="42">
        <v>0</v>
      </c>
      <c r="Y354" s="46">
        <v>1840</v>
      </c>
      <c r="Z354" s="46">
        <v>1840</v>
      </c>
      <c r="AA354" s="4">
        <f t="shared" si="46"/>
        <v>5980</v>
      </c>
      <c r="AB354" s="4">
        <f t="shared" si="45"/>
        <v>71760</v>
      </c>
      <c r="AC354" s="4">
        <f t="shared" si="47"/>
        <v>190560</v>
      </c>
    </row>
    <row r="355" spans="1:29" x14ac:dyDescent="0.2">
      <c r="A355" s="42">
        <v>400357</v>
      </c>
      <c r="B355" s="43">
        <v>4</v>
      </c>
      <c r="C355" s="42" t="s">
        <v>277</v>
      </c>
      <c r="D355" s="43" t="s">
        <v>39</v>
      </c>
      <c r="E355" s="43" t="s">
        <v>40</v>
      </c>
      <c r="F355" s="42" t="s">
        <v>257</v>
      </c>
      <c r="G355" s="43" t="s">
        <v>41</v>
      </c>
      <c r="H355" s="42">
        <v>43</v>
      </c>
      <c r="I355" s="44">
        <v>45126</v>
      </c>
      <c r="J355" s="43" t="s">
        <v>54</v>
      </c>
      <c r="K355" s="49">
        <v>13505</v>
      </c>
      <c r="L355" s="42"/>
      <c r="M355" s="51">
        <f>VLOOKUP(A355,'[1]ناتج ملف Excel'!$A:$AV,46,0)</f>
        <v>650.5</v>
      </c>
      <c r="N355" s="51">
        <f>VLOOKUP(A355,'[1]ناتج ملف Excel'!$A:$AV,47,0)</f>
        <v>3376.25</v>
      </c>
      <c r="O355" s="42"/>
      <c r="P355" s="47">
        <v>0</v>
      </c>
      <c r="Q355" s="48"/>
      <c r="R355" s="48">
        <v>0</v>
      </c>
      <c r="S355" s="72"/>
      <c r="T355" s="47">
        <v>3080</v>
      </c>
      <c r="U355" s="48">
        <f t="shared" si="44"/>
        <v>838.90625</v>
      </c>
      <c r="V355" s="47">
        <v>700</v>
      </c>
      <c r="W355" s="42">
        <v>750</v>
      </c>
      <c r="X355" s="42">
        <f>(K355*2)/2</f>
        <v>13505</v>
      </c>
      <c r="Y355" s="46">
        <v>2701</v>
      </c>
      <c r="Z355" s="46">
        <v>2701</v>
      </c>
      <c r="AA355" s="4">
        <f t="shared" si="46"/>
        <v>7945.65625</v>
      </c>
      <c r="AB355" s="4">
        <f t="shared" si="45"/>
        <v>95347.875</v>
      </c>
      <c r="AC355" s="4">
        <f t="shared" si="47"/>
        <v>436867.875</v>
      </c>
    </row>
    <row r="356" spans="1:29" x14ac:dyDescent="0.2">
      <c r="A356" s="42">
        <v>400358</v>
      </c>
      <c r="B356" s="43">
        <v>4</v>
      </c>
      <c r="C356" s="42" t="s">
        <v>277</v>
      </c>
      <c r="D356" s="43" t="s">
        <v>39</v>
      </c>
      <c r="E356" s="43" t="s">
        <v>40</v>
      </c>
      <c r="F356" s="42" t="s">
        <v>257</v>
      </c>
      <c r="G356" s="43" t="s">
        <v>41</v>
      </c>
      <c r="H356" s="42">
        <v>38</v>
      </c>
      <c r="I356" s="44">
        <v>45126</v>
      </c>
      <c r="J356" s="43" t="s">
        <v>54</v>
      </c>
      <c r="K356" s="49">
        <v>13505</v>
      </c>
      <c r="L356" s="42"/>
      <c r="M356" s="51">
        <f>VLOOKUP(A356,'[1]ناتج ملف Excel'!$A:$AV,46,0)</f>
        <v>650.5</v>
      </c>
      <c r="N356" s="51">
        <f>VLOOKUP(A356,'[1]ناتج ملف Excel'!$A:$AV,47,0)</f>
        <v>3376.25</v>
      </c>
      <c r="O356" s="42"/>
      <c r="P356" s="47">
        <v>0</v>
      </c>
      <c r="Q356" s="48"/>
      <c r="R356" s="48">
        <v>0</v>
      </c>
      <c r="S356" s="72"/>
      <c r="T356" s="47">
        <v>3080</v>
      </c>
      <c r="U356" s="48">
        <f t="shared" si="44"/>
        <v>838.90625</v>
      </c>
      <c r="V356" s="47">
        <v>700</v>
      </c>
      <c r="W356" s="42">
        <v>0</v>
      </c>
      <c r="X356" s="42">
        <f>(K356*2)/2</f>
        <v>13505</v>
      </c>
      <c r="Y356" s="46">
        <v>2701</v>
      </c>
      <c r="Z356" s="46">
        <v>2701</v>
      </c>
      <c r="AA356" s="4">
        <f t="shared" si="46"/>
        <v>7945.65625</v>
      </c>
      <c r="AB356" s="4">
        <f t="shared" si="45"/>
        <v>95347.875</v>
      </c>
      <c r="AC356" s="4">
        <f t="shared" si="47"/>
        <v>427867.875</v>
      </c>
    </row>
    <row r="357" spans="1:29" x14ac:dyDescent="0.2">
      <c r="A357" s="42">
        <v>400359</v>
      </c>
      <c r="B357" s="43" t="s">
        <v>267</v>
      </c>
      <c r="C357" s="42" t="s">
        <v>277</v>
      </c>
      <c r="D357" s="43" t="s">
        <v>39</v>
      </c>
      <c r="E357" s="43" t="s">
        <v>40</v>
      </c>
      <c r="F357" s="42" t="s">
        <v>257</v>
      </c>
      <c r="G357" s="43" t="s">
        <v>41</v>
      </c>
      <c r="H357" s="42">
        <v>35</v>
      </c>
      <c r="I357" s="44">
        <v>45126</v>
      </c>
      <c r="J357" s="43" t="s">
        <v>54</v>
      </c>
      <c r="K357" s="46">
        <v>9565</v>
      </c>
      <c r="L357" s="42"/>
      <c r="M357" s="51">
        <f>VLOOKUP(A357,'[1]ناتج ملف Excel'!$A:$AV,46,0)</f>
        <v>100</v>
      </c>
      <c r="N357" s="51">
        <f>VLOOKUP(A357,'[1]ناتج ملف Excel'!$A:$AV,47,0)</f>
        <v>2391.25</v>
      </c>
      <c r="O357" s="42"/>
      <c r="P357" s="47">
        <v>0</v>
      </c>
      <c r="Q357" s="48"/>
      <c r="R357" s="48">
        <v>0</v>
      </c>
      <c r="S357" s="72"/>
      <c r="T357" s="47">
        <v>3080</v>
      </c>
      <c r="U357" s="48">
        <f t="shared" si="44"/>
        <v>519.01041666666663</v>
      </c>
      <c r="V357" s="47">
        <v>700</v>
      </c>
      <c r="W357" s="42">
        <v>0</v>
      </c>
      <c r="X357" s="42">
        <v>0</v>
      </c>
      <c r="Y357" s="46">
        <v>1913</v>
      </c>
      <c r="Z357" s="46">
        <v>1913</v>
      </c>
      <c r="AA357" s="4">
        <f t="shared" si="46"/>
        <v>6090.2604166666661</v>
      </c>
      <c r="AB357" s="4">
        <f t="shared" si="45"/>
        <v>73083.125</v>
      </c>
      <c r="AC357" s="4">
        <f t="shared" si="47"/>
        <v>196263.125</v>
      </c>
    </row>
    <row r="358" spans="1:29" x14ac:dyDescent="0.2">
      <c r="A358" s="42">
        <v>400362</v>
      </c>
      <c r="B358" s="43" t="s">
        <v>266</v>
      </c>
      <c r="C358" s="42" t="s">
        <v>277</v>
      </c>
      <c r="D358" s="43" t="s">
        <v>39</v>
      </c>
      <c r="E358" s="43" t="s">
        <v>40</v>
      </c>
      <c r="F358" s="42" t="s">
        <v>245</v>
      </c>
      <c r="G358" s="43" t="s">
        <v>41</v>
      </c>
      <c r="H358" s="42">
        <v>41</v>
      </c>
      <c r="I358" s="44">
        <v>45126</v>
      </c>
      <c r="J358" s="43" t="s">
        <v>54</v>
      </c>
      <c r="K358" s="49">
        <v>13505</v>
      </c>
      <c r="L358" s="42"/>
      <c r="M358" s="51">
        <f>VLOOKUP(A358,'[1]ناتج ملف Excel'!$A:$AV,46,0)</f>
        <v>100</v>
      </c>
      <c r="N358" s="51">
        <f>VLOOKUP(A358,'[1]ناتج ملف Excel'!$A:$AV,47,0)</f>
        <v>3376.25</v>
      </c>
      <c r="O358" s="42"/>
      <c r="P358" s="47">
        <v>0</v>
      </c>
      <c r="Q358" s="48"/>
      <c r="R358" s="48">
        <v>0</v>
      </c>
      <c r="S358" s="72"/>
      <c r="T358" s="47">
        <v>3080</v>
      </c>
      <c r="U358" s="48">
        <f t="shared" si="44"/>
        <v>724.21875</v>
      </c>
      <c r="V358" s="47">
        <v>700</v>
      </c>
      <c r="W358" s="42">
        <v>0</v>
      </c>
      <c r="X358" s="42">
        <v>0</v>
      </c>
      <c r="Y358" s="46">
        <v>2701</v>
      </c>
      <c r="Z358" s="42">
        <v>0</v>
      </c>
      <c r="AA358" s="4">
        <f t="shared" si="46"/>
        <v>7280.46875</v>
      </c>
      <c r="AB358" s="4">
        <f t="shared" si="45"/>
        <v>87365.625</v>
      </c>
      <c r="AC358" s="4">
        <f t="shared" si="47"/>
        <v>257825.625</v>
      </c>
    </row>
    <row r="359" spans="1:29" x14ac:dyDescent="0.2">
      <c r="A359" s="42">
        <v>400363</v>
      </c>
      <c r="B359" s="43">
        <v>4</v>
      </c>
      <c r="C359" s="42" t="s">
        <v>277</v>
      </c>
      <c r="D359" s="43" t="s">
        <v>39</v>
      </c>
      <c r="E359" s="43" t="s">
        <v>40</v>
      </c>
      <c r="F359" s="42" t="s">
        <v>245</v>
      </c>
      <c r="G359" s="43" t="s">
        <v>41</v>
      </c>
      <c r="H359" s="42">
        <v>43</v>
      </c>
      <c r="I359" s="44">
        <v>45126</v>
      </c>
      <c r="J359" s="43" t="s">
        <v>54</v>
      </c>
      <c r="K359" s="49">
        <v>17115</v>
      </c>
      <c r="L359" s="42"/>
      <c r="M359" s="51">
        <f>VLOOKUP(A359,'[1]ناتج ملف Excel'!$A:$AV,46,0)</f>
        <v>811.5</v>
      </c>
      <c r="N359" s="51">
        <f>VLOOKUP(A359,'[1]ناتج ملف Excel'!$A:$AV,47,0)</f>
        <v>4278.75</v>
      </c>
      <c r="O359" s="42"/>
      <c r="P359" s="47">
        <v>0</v>
      </c>
      <c r="Q359" s="48"/>
      <c r="R359" s="48">
        <v>0</v>
      </c>
      <c r="S359" s="72"/>
      <c r="T359" s="47">
        <v>3080</v>
      </c>
      <c r="U359" s="48">
        <f t="shared" si="44"/>
        <v>1060.46875</v>
      </c>
      <c r="V359" s="47">
        <v>900</v>
      </c>
      <c r="W359" s="42">
        <v>750</v>
      </c>
      <c r="X359" s="42">
        <f>(K359*2)/2</f>
        <v>17115</v>
      </c>
      <c r="Y359" s="46">
        <v>3423</v>
      </c>
      <c r="Z359" s="42">
        <v>0</v>
      </c>
      <c r="AA359" s="4">
        <f t="shared" si="46"/>
        <v>9230.71875</v>
      </c>
      <c r="AB359" s="4">
        <f t="shared" si="45"/>
        <v>110768.625</v>
      </c>
      <c r="AC359" s="4">
        <f t="shared" si="47"/>
        <v>541328.625</v>
      </c>
    </row>
    <row r="360" spans="1:29" x14ac:dyDescent="0.2">
      <c r="A360" s="42">
        <v>400364</v>
      </c>
      <c r="B360" s="43" t="s">
        <v>266</v>
      </c>
      <c r="C360" s="42" t="s">
        <v>277</v>
      </c>
      <c r="D360" s="43" t="s">
        <v>39</v>
      </c>
      <c r="E360" s="43" t="s">
        <v>40</v>
      </c>
      <c r="F360" s="42" t="s">
        <v>245</v>
      </c>
      <c r="G360" s="43" t="s">
        <v>41</v>
      </c>
      <c r="H360" s="42">
        <v>38</v>
      </c>
      <c r="I360" s="44">
        <v>45126</v>
      </c>
      <c r="J360" s="43" t="s">
        <v>54</v>
      </c>
      <c r="K360" s="46">
        <v>4724</v>
      </c>
      <c r="L360" s="42"/>
      <c r="M360" s="51">
        <f>VLOOKUP(A360,'[1]ناتج ملف Excel'!$A:$AV,46,0)</f>
        <v>72.400000000000006</v>
      </c>
      <c r="N360" s="51">
        <f>VLOOKUP(A360,'[1]ناتج ملف Excel'!$A:$AV,47,0)</f>
        <v>1181</v>
      </c>
      <c r="O360" s="42"/>
      <c r="P360" s="47">
        <v>0</v>
      </c>
      <c r="Q360" s="48"/>
      <c r="R360" s="48">
        <v>0</v>
      </c>
      <c r="S360" s="72"/>
      <c r="T360" s="47">
        <v>3080</v>
      </c>
      <c r="U360" s="48">
        <f t="shared" si="44"/>
        <v>261.125</v>
      </c>
      <c r="V360" s="47">
        <v>400</v>
      </c>
      <c r="W360" s="42">
        <v>0</v>
      </c>
      <c r="X360" s="42">
        <v>0</v>
      </c>
      <c r="Y360" s="50">
        <v>944.8</v>
      </c>
      <c r="Z360" s="42">
        <v>0</v>
      </c>
      <c r="AA360" s="4">
        <f t="shared" si="46"/>
        <v>4594.5249999999996</v>
      </c>
      <c r="AB360" s="4">
        <f t="shared" si="45"/>
        <v>55134.299999999996</v>
      </c>
      <c r="AC360" s="4">
        <f t="shared" si="47"/>
        <v>116622.29999999999</v>
      </c>
    </row>
    <row r="361" spans="1:29" x14ac:dyDescent="0.2">
      <c r="A361" s="42">
        <v>400365</v>
      </c>
      <c r="B361" s="43" t="s">
        <v>266</v>
      </c>
      <c r="C361" s="42" t="s">
        <v>277</v>
      </c>
      <c r="D361" s="43" t="s">
        <v>39</v>
      </c>
      <c r="E361" s="43" t="s">
        <v>40</v>
      </c>
      <c r="F361" s="42" t="s">
        <v>244</v>
      </c>
      <c r="G361" s="43" t="s">
        <v>41</v>
      </c>
      <c r="H361" s="42">
        <v>44</v>
      </c>
      <c r="I361" s="44">
        <v>45126</v>
      </c>
      <c r="J361" s="43" t="s">
        <v>54</v>
      </c>
      <c r="K361" s="49">
        <v>15375</v>
      </c>
      <c r="L361" s="42"/>
      <c r="M361" s="51">
        <f>VLOOKUP(A361,'[1]ناتج ملف Excel'!$A:$AV,46,0)</f>
        <v>100</v>
      </c>
      <c r="N361" s="51">
        <f>VLOOKUP(A361,'[1]ناتج ملف Excel'!$A:$AV,47,0)</f>
        <v>3843.75</v>
      </c>
      <c r="O361" s="42"/>
      <c r="P361" s="47">
        <v>0</v>
      </c>
      <c r="Q361" s="48"/>
      <c r="R361" s="48">
        <v>0</v>
      </c>
      <c r="S361" s="72"/>
      <c r="T361" s="47">
        <v>3080</v>
      </c>
      <c r="U361" s="48">
        <f t="shared" si="44"/>
        <v>821.61458333333337</v>
      </c>
      <c r="V361" s="47">
        <v>700</v>
      </c>
      <c r="W361" s="42">
        <v>0</v>
      </c>
      <c r="X361" s="42">
        <v>0</v>
      </c>
      <c r="Y361" s="42">
        <v>0</v>
      </c>
      <c r="Z361" s="42">
        <v>0</v>
      </c>
      <c r="AA361" s="4">
        <f t="shared" si="46"/>
        <v>7845.3645833333339</v>
      </c>
      <c r="AB361" s="4">
        <f t="shared" si="45"/>
        <v>94144.375</v>
      </c>
      <c r="AC361" s="4">
        <f t="shared" si="47"/>
        <v>287044.375</v>
      </c>
    </row>
    <row r="362" spans="1:29" x14ac:dyDescent="0.2">
      <c r="A362" s="42">
        <v>400367</v>
      </c>
      <c r="B362" s="43">
        <v>4</v>
      </c>
      <c r="C362" s="42" t="s">
        <v>277</v>
      </c>
      <c r="D362" s="43" t="s">
        <v>39</v>
      </c>
      <c r="E362" s="43" t="s">
        <v>40</v>
      </c>
      <c r="F362" s="42" t="s">
        <v>243</v>
      </c>
      <c r="G362" s="43" t="s">
        <v>41</v>
      </c>
      <c r="H362" s="42">
        <v>50</v>
      </c>
      <c r="I362" s="44">
        <v>45126</v>
      </c>
      <c r="J362" s="43" t="s">
        <v>54</v>
      </c>
      <c r="K362" s="49">
        <v>18705</v>
      </c>
      <c r="L362" s="42"/>
      <c r="M362" s="51">
        <f>VLOOKUP(A362,'[1]ناتج ملف Excel'!$A:$AV,46,0)</f>
        <v>970.5</v>
      </c>
      <c r="N362" s="51">
        <f>VLOOKUP(A362,'[1]ناتج ملف Excel'!$A:$AV,47,0)</f>
        <v>4676.25</v>
      </c>
      <c r="O362" s="42"/>
      <c r="P362" s="47">
        <v>0</v>
      </c>
      <c r="Q362" s="48"/>
      <c r="R362" s="48">
        <v>0</v>
      </c>
      <c r="S362" s="72"/>
      <c r="T362" s="47">
        <v>3080</v>
      </c>
      <c r="U362" s="48">
        <f t="shared" si="44"/>
        <v>1176.40625</v>
      </c>
      <c r="V362" s="47">
        <v>900</v>
      </c>
      <c r="W362" s="42">
        <v>750</v>
      </c>
      <c r="X362" s="42">
        <f>(K362*2)/2</f>
        <v>18705</v>
      </c>
      <c r="Y362" s="46">
        <v>3741</v>
      </c>
      <c r="Z362" s="42">
        <v>0</v>
      </c>
      <c r="AA362" s="4">
        <f t="shared" si="46"/>
        <v>9903.15625</v>
      </c>
      <c r="AB362" s="4">
        <f t="shared" si="45"/>
        <v>118837.875</v>
      </c>
      <c r="AC362" s="4">
        <f t="shared" si="47"/>
        <v>587557.875</v>
      </c>
    </row>
    <row r="363" spans="1:29" x14ac:dyDescent="0.2">
      <c r="A363" s="42">
        <v>400369</v>
      </c>
      <c r="B363" s="43" t="s">
        <v>266</v>
      </c>
      <c r="C363" s="42" t="s">
        <v>277</v>
      </c>
      <c r="D363" s="43" t="s">
        <v>39</v>
      </c>
      <c r="E363" s="43" t="s">
        <v>40</v>
      </c>
      <c r="F363" s="42" t="s">
        <v>243</v>
      </c>
      <c r="G363" s="43" t="s">
        <v>41</v>
      </c>
      <c r="H363" s="42">
        <v>49</v>
      </c>
      <c r="I363" s="44">
        <v>45126</v>
      </c>
      <c r="J363" s="43" t="s">
        <v>54</v>
      </c>
      <c r="K363" s="49">
        <v>11330</v>
      </c>
      <c r="L363" s="42"/>
      <c r="M363" s="51">
        <f>VLOOKUP(A363,'[1]ناتج ملف Excel'!$A:$AV,46,0)</f>
        <v>100</v>
      </c>
      <c r="N363" s="51">
        <f>VLOOKUP(A363,'[1]ناتج ملف Excel'!$A:$AV,47,0)</f>
        <v>2832.5</v>
      </c>
      <c r="O363" s="42"/>
      <c r="P363" s="47">
        <v>0</v>
      </c>
      <c r="Q363" s="48"/>
      <c r="R363" s="48">
        <v>0</v>
      </c>
      <c r="S363" s="72"/>
      <c r="T363" s="47">
        <v>3080</v>
      </c>
      <c r="U363" s="48">
        <f t="shared" si="44"/>
        <v>610.9375</v>
      </c>
      <c r="V363" s="47">
        <v>700</v>
      </c>
      <c r="W363" s="42">
        <v>0</v>
      </c>
      <c r="X363" s="42">
        <v>0</v>
      </c>
      <c r="Y363" s="46">
        <v>2266</v>
      </c>
      <c r="Z363" s="42">
        <v>0</v>
      </c>
      <c r="AA363" s="4">
        <f t="shared" si="46"/>
        <v>6623.4375</v>
      </c>
      <c r="AB363" s="4">
        <f t="shared" si="45"/>
        <v>79481.25</v>
      </c>
      <c r="AC363" s="4">
        <f t="shared" si="47"/>
        <v>223841.25</v>
      </c>
    </row>
    <row r="364" spans="1:29" x14ac:dyDescent="0.2">
      <c r="A364" s="42">
        <v>400370</v>
      </c>
      <c r="B364" s="43" t="s">
        <v>266</v>
      </c>
      <c r="C364" s="42" t="s">
        <v>277</v>
      </c>
      <c r="D364" s="43" t="s">
        <v>39</v>
      </c>
      <c r="E364" s="43" t="s">
        <v>40</v>
      </c>
      <c r="F364" s="42" t="s">
        <v>242</v>
      </c>
      <c r="G364" s="43" t="s">
        <v>41</v>
      </c>
      <c r="H364" s="42">
        <v>37</v>
      </c>
      <c r="I364" s="44">
        <v>45126</v>
      </c>
      <c r="J364" s="43" t="s">
        <v>54</v>
      </c>
      <c r="K364" s="46">
        <v>8440</v>
      </c>
      <c r="L364" s="42"/>
      <c r="M364" s="51">
        <f>VLOOKUP(A364,'[1]ناتج ملف Excel'!$A:$AV,46,0)</f>
        <v>300</v>
      </c>
      <c r="N364" s="51">
        <f>VLOOKUP(A364,'[1]ناتج ملف Excel'!$A:$AV,47,0)</f>
        <v>2110</v>
      </c>
      <c r="O364" s="42"/>
      <c r="P364" s="47">
        <v>0</v>
      </c>
      <c r="Q364" s="48"/>
      <c r="R364" s="48">
        <v>0</v>
      </c>
      <c r="S364" s="72"/>
      <c r="T364" s="47">
        <v>3080</v>
      </c>
      <c r="U364" s="48">
        <f t="shared" si="44"/>
        <v>502.08333333333331</v>
      </c>
      <c r="V364" s="47">
        <v>500</v>
      </c>
      <c r="W364" s="42">
        <v>0</v>
      </c>
      <c r="X364" s="42">
        <v>0</v>
      </c>
      <c r="Y364" s="46">
        <v>1688</v>
      </c>
      <c r="Z364" s="42">
        <v>0</v>
      </c>
      <c r="AA364" s="4">
        <f t="shared" si="46"/>
        <v>5992.0833333333339</v>
      </c>
      <c r="AB364" s="4">
        <f t="shared" si="45"/>
        <v>71905</v>
      </c>
      <c r="AC364" s="4">
        <f t="shared" si="47"/>
        <v>179185</v>
      </c>
    </row>
    <row r="365" spans="1:29" x14ac:dyDescent="0.2">
      <c r="A365" s="42">
        <v>400371</v>
      </c>
      <c r="B365" s="43" t="s">
        <v>266</v>
      </c>
      <c r="C365" s="42" t="s">
        <v>277</v>
      </c>
      <c r="D365" s="43" t="s">
        <v>39</v>
      </c>
      <c r="E365" s="43" t="s">
        <v>40</v>
      </c>
      <c r="F365" s="42" t="s">
        <v>243</v>
      </c>
      <c r="G365" s="43" t="s">
        <v>41</v>
      </c>
      <c r="H365" s="42">
        <v>35</v>
      </c>
      <c r="I365" s="44">
        <v>45126</v>
      </c>
      <c r="J365" s="43" t="s">
        <v>54</v>
      </c>
      <c r="K365" s="46">
        <v>8521</v>
      </c>
      <c r="L365" s="42"/>
      <c r="M365" s="51">
        <f>VLOOKUP(A365,'[1]ناتج ملف Excel'!$A:$AV,46,0)</f>
        <v>300</v>
      </c>
      <c r="N365" s="51">
        <f>VLOOKUP(A365,'[1]ناتج ملف Excel'!$A:$AV,47,0)</f>
        <v>2130.25</v>
      </c>
      <c r="O365" s="42"/>
      <c r="P365" s="47">
        <v>0</v>
      </c>
      <c r="Q365" s="48"/>
      <c r="R365" s="48">
        <v>0</v>
      </c>
      <c r="S365" s="72"/>
      <c r="T365" s="47">
        <v>3080</v>
      </c>
      <c r="U365" s="48">
        <f t="shared" si="44"/>
        <v>506.30208333333331</v>
      </c>
      <c r="V365" s="47">
        <v>500</v>
      </c>
      <c r="W365" s="42">
        <v>0</v>
      </c>
      <c r="X365" s="42">
        <v>0</v>
      </c>
      <c r="Y365" s="50">
        <v>1704.2</v>
      </c>
      <c r="Z365" s="42">
        <v>0</v>
      </c>
      <c r="AA365" s="4">
        <f t="shared" si="46"/>
        <v>6016.5520833333339</v>
      </c>
      <c r="AB365" s="4">
        <f t="shared" si="45"/>
        <v>72198.625</v>
      </c>
      <c r="AC365" s="4">
        <f t="shared" si="47"/>
        <v>180450.625</v>
      </c>
    </row>
    <row r="366" spans="1:29" x14ac:dyDescent="0.2">
      <c r="A366" s="42">
        <v>400372</v>
      </c>
      <c r="B366" s="43" t="s">
        <v>266</v>
      </c>
      <c r="C366" s="42" t="s">
        <v>277</v>
      </c>
      <c r="D366" s="43" t="s">
        <v>39</v>
      </c>
      <c r="E366" s="43" t="s">
        <v>40</v>
      </c>
      <c r="F366" s="42" t="s">
        <v>242</v>
      </c>
      <c r="G366" s="43" t="s">
        <v>41</v>
      </c>
      <c r="H366" s="42">
        <v>42</v>
      </c>
      <c r="I366" s="44">
        <v>45126</v>
      </c>
      <c r="J366" s="43" t="s">
        <v>54</v>
      </c>
      <c r="K366" s="46">
        <v>9930</v>
      </c>
      <c r="L366" s="42"/>
      <c r="M366" s="51">
        <f>VLOOKUP(A366,'[1]ناتج ملف Excel'!$A:$AV,46,0)</f>
        <v>100</v>
      </c>
      <c r="N366" s="51">
        <f>VLOOKUP(A366,'[1]ناتج ملف Excel'!$A:$AV,47,0)</f>
        <v>2482.5</v>
      </c>
      <c r="O366" s="42"/>
      <c r="P366" s="47">
        <v>0</v>
      </c>
      <c r="Q366" s="48"/>
      <c r="R366" s="48">
        <v>0</v>
      </c>
      <c r="S366" s="72"/>
      <c r="T366" s="47">
        <v>3080</v>
      </c>
      <c r="U366" s="48">
        <f t="shared" si="44"/>
        <v>538.02083333333337</v>
      </c>
      <c r="V366" s="47">
        <v>700</v>
      </c>
      <c r="W366" s="42">
        <v>0</v>
      </c>
      <c r="X366" s="42">
        <v>0</v>
      </c>
      <c r="Y366" s="46">
        <v>1986</v>
      </c>
      <c r="Z366" s="42">
        <v>0</v>
      </c>
      <c r="AA366" s="4">
        <f t="shared" si="46"/>
        <v>6200.5208333333339</v>
      </c>
      <c r="AB366" s="4">
        <f t="shared" si="45"/>
        <v>74406.25</v>
      </c>
      <c r="AC366" s="4">
        <f t="shared" si="47"/>
        <v>201966.25</v>
      </c>
    </row>
    <row r="367" spans="1:29" x14ac:dyDescent="0.2">
      <c r="A367" s="42">
        <v>400373</v>
      </c>
      <c r="B367" s="43" t="s">
        <v>266</v>
      </c>
      <c r="C367" s="42" t="s">
        <v>277</v>
      </c>
      <c r="D367" s="43" t="s">
        <v>39</v>
      </c>
      <c r="E367" s="43" t="s">
        <v>40</v>
      </c>
      <c r="F367" s="42" t="s">
        <v>242</v>
      </c>
      <c r="G367" s="43" t="s">
        <v>41</v>
      </c>
      <c r="H367" s="42">
        <v>45</v>
      </c>
      <c r="I367" s="44">
        <v>45126</v>
      </c>
      <c r="J367" s="43" t="s">
        <v>54</v>
      </c>
      <c r="K367" s="49">
        <v>10500</v>
      </c>
      <c r="L367" s="42"/>
      <c r="M367" s="51">
        <f>VLOOKUP(A367,'[1]ناتج ملف Excel'!$A:$AV,46,0)</f>
        <v>100</v>
      </c>
      <c r="N367" s="51">
        <f>VLOOKUP(A367,'[1]ناتج ملف Excel'!$A:$AV,47,0)</f>
        <v>2625</v>
      </c>
      <c r="O367" s="42"/>
      <c r="P367" s="47">
        <v>0</v>
      </c>
      <c r="Q367" s="48"/>
      <c r="R367" s="48">
        <v>0</v>
      </c>
      <c r="S367" s="72"/>
      <c r="T367" s="47">
        <v>3080</v>
      </c>
      <c r="U367" s="48">
        <f t="shared" si="44"/>
        <v>567.70833333333337</v>
      </c>
      <c r="V367" s="47">
        <v>700</v>
      </c>
      <c r="W367" s="42">
        <v>0</v>
      </c>
      <c r="X367" s="42">
        <v>0</v>
      </c>
      <c r="Y367" s="46">
        <v>2100</v>
      </c>
      <c r="Z367" s="42">
        <v>0</v>
      </c>
      <c r="AA367" s="4">
        <f t="shared" si="46"/>
        <v>6372.7083333333339</v>
      </c>
      <c r="AB367" s="4">
        <f t="shared" si="45"/>
        <v>76472.5</v>
      </c>
      <c r="AC367" s="4">
        <f t="shared" si="47"/>
        <v>210872.5</v>
      </c>
    </row>
    <row r="368" spans="1:29" x14ac:dyDescent="0.2">
      <c r="A368" s="42">
        <v>400374</v>
      </c>
      <c r="B368" s="43" t="s">
        <v>267</v>
      </c>
      <c r="C368" s="42" t="s">
        <v>277</v>
      </c>
      <c r="D368" s="43" t="s">
        <v>39</v>
      </c>
      <c r="E368" s="43" t="s">
        <v>40</v>
      </c>
      <c r="F368" s="42" t="s">
        <v>240</v>
      </c>
      <c r="G368" s="43" t="s">
        <v>41</v>
      </c>
      <c r="H368" s="42">
        <v>30</v>
      </c>
      <c r="I368" s="44">
        <v>45126</v>
      </c>
      <c r="J368" s="43" t="s">
        <v>54</v>
      </c>
      <c r="K368" s="46">
        <v>5777</v>
      </c>
      <c r="L368" s="42"/>
      <c r="M368" s="51">
        <f>VLOOKUP(A368,'[1]ناتج ملف Excel'!$A:$AV,46,0)</f>
        <v>77.7</v>
      </c>
      <c r="N368" s="51">
        <f>VLOOKUP(A368,'[1]ناتج ملف Excel'!$A:$AV,47,0)</f>
        <v>1444.25</v>
      </c>
      <c r="O368" s="42"/>
      <c r="P368" s="47">
        <v>0</v>
      </c>
      <c r="Q368" s="48"/>
      <c r="R368" s="48">
        <v>0</v>
      </c>
      <c r="S368" s="72"/>
      <c r="T368" s="47">
        <v>3080</v>
      </c>
      <c r="U368" s="48">
        <f t="shared" si="44"/>
        <v>317.07291666666669</v>
      </c>
      <c r="V368" s="47">
        <v>500</v>
      </c>
      <c r="W368" s="42">
        <v>0</v>
      </c>
      <c r="X368" s="42">
        <v>0</v>
      </c>
      <c r="Y368" s="50">
        <v>1155.4000000000001</v>
      </c>
      <c r="Z368" s="42">
        <v>0</v>
      </c>
      <c r="AA368" s="4">
        <f t="shared" si="46"/>
        <v>4919.0229166666659</v>
      </c>
      <c r="AB368" s="4">
        <f t="shared" si="45"/>
        <v>59028.274999999994</v>
      </c>
      <c r="AC368" s="4">
        <f t="shared" si="47"/>
        <v>134352.27499999999</v>
      </c>
    </row>
    <row r="369" spans="1:29" x14ac:dyDescent="0.2">
      <c r="A369" s="42">
        <v>400375</v>
      </c>
      <c r="B369" s="43">
        <v>6</v>
      </c>
      <c r="C369" s="42" t="s">
        <v>277</v>
      </c>
      <c r="D369" s="43" t="s">
        <v>39</v>
      </c>
      <c r="E369" s="43" t="s">
        <v>40</v>
      </c>
      <c r="F369" s="42" t="s">
        <v>258</v>
      </c>
      <c r="G369" s="43" t="s">
        <v>41</v>
      </c>
      <c r="H369" s="42">
        <v>55</v>
      </c>
      <c r="I369" s="44">
        <v>45126</v>
      </c>
      <c r="J369" s="43" t="s">
        <v>54</v>
      </c>
      <c r="K369" s="49">
        <v>18705</v>
      </c>
      <c r="L369" s="42"/>
      <c r="M369" s="51">
        <f>VLOOKUP(A369,'[1]ناتج ملف Excel'!$A:$AV,46,0)</f>
        <v>970.5</v>
      </c>
      <c r="N369" s="51">
        <f>VLOOKUP(A369,'[1]ناتج ملف Excel'!$A:$AV,47,0)</f>
        <v>4676.25</v>
      </c>
      <c r="O369" s="42"/>
      <c r="P369" s="47">
        <v>0</v>
      </c>
      <c r="Q369" s="48"/>
      <c r="R369" s="48">
        <v>0</v>
      </c>
      <c r="S369" s="72"/>
      <c r="T369" s="47">
        <v>3080</v>
      </c>
      <c r="U369" s="48">
        <f t="shared" si="44"/>
        <v>1176.40625</v>
      </c>
      <c r="V369" s="47">
        <v>900</v>
      </c>
      <c r="W369" s="42">
        <v>0</v>
      </c>
      <c r="X369" s="42">
        <v>0</v>
      </c>
      <c r="Y369" s="42">
        <v>0</v>
      </c>
      <c r="Z369" s="46">
        <v>3741</v>
      </c>
      <c r="AA369" s="4">
        <f t="shared" si="46"/>
        <v>9903.15625</v>
      </c>
      <c r="AB369" s="4">
        <f t="shared" si="45"/>
        <v>118837.875</v>
      </c>
      <c r="AC369" s="4">
        <f t="shared" si="47"/>
        <v>354097.875</v>
      </c>
    </row>
    <row r="370" spans="1:29" x14ac:dyDescent="0.2">
      <c r="A370" s="42">
        <v>400376</v>
      </c>
      <c r="B370" s="43" t="s">
        <v>267</v>
      </c>
      <c r="C370" s="42" t="s">
        <v>277</v>
      </c>
      <c r="D370" s="43" t="s">
        <v>39</v>
      </c>
      <c r="E370" s="43" t="s">
        <v>40</v>
      </c>
      <c r="F370" s="42" t="s">
        <v>258</v>
      </c>
      <c r="G370" s="43" t="s">
        <v>41</v>
      </c>
      <c r="H370" s="42">
        <v>46</v>
      </c>
      <c r="I370" s="44">
        <v>45126</v>
      </c>
      <c r="J370" s="43" t="s">
        <v>54</v>
      </c>
      <c r="K370" s="49">
        <v>10915</v>
      </c>
      <c r="L370" s="42"/>
      <c r="M370" s="51">
        <f>VLOOKUP(A370,'[1]ناتج ملف Excel'!$A:$AV,46,0)</f>
        <v>100</v>
      </c>
      <c r="N370" s="51">
        <f>VLOOKUP(A370,'[1]ناتج ملف Excel'!$A:$AV,47,0)</f>
        <v>2728.75</v>
      </c>
      <c r="O370" s="42"/>
      <c r="P370" s="47">
        <v>0</v>
      </c>
      <c r="Q370" s="48"/>
      <c r="R370" s="48">
        <v>0</v>
      </c>
      <c r="S370" s="72"/>
      <c r="T370" s="47">
        <v>3080</v>
      </c>
      <c r="U370" s="48">
        <f t="shared" si="44"/>
        <v>589.32291666666663</v>
      </c>
      <c r="V370" s="47">
        <v>700</v>
      </c>
      <c r="W370" s="42">
        <v>750</v>
      </c>
      <c r="X370" s="42">
        <v>0</v>
      </c>
      <c r="Y370" s="42">
        <v>0</v>
      </c>
      <c r="Z370" s="46">
        <v>2183</v>
      </c>
      <c r="AA370" s="4">
        <f t="shared" si="46"/>
        <v>6498.0729166666661</v>
      </c>
      <c r="AB370" s="4">
        <f t="shared" si="45"/>
        <v>77976.875</v>
      </c>
      <c r="AC370" s="4">
        <f t="shared" si="47"/>
        <v>226356.875</v>
      </c>
    </row>
    <row r="371" spans="1:29" x14ac:dyDescent="0.2">
      <c r="A371" s="42">
        <v>400378</v>
      </c>
      <c r="B371" s="43">
        <v>7</v>
      </c>
      <c r="C371" s="42" t="s">
        <v>277</v>
      </c>
      <c r="D371" s="43" t="s">
        <v>39</v>
      </c>
      <c r="E371" s="43" t="s">
        <v>40</v>
      </c>
      <c r="F371" s="42" t="s">
        <v>259</v>
      </c>
      <c r="G371" s="43" t="s">
        <v>41</v>
      </c>
      <c r="H371" s="42">
        <v>40</v>
      </c>
      <c r="I371" s="44">
        <v>45126</v>
      </c>
      <c r="J371" s="43" t="s">
        <v>54</v>
      </c>
      <c r="K371" s="49">
        <v>12575</v>
      </c>
      <c r="L371" s="42"/>
      <c r="M371" s="51">
        <f>VLOOKUP(A371,'[1]ناتج ملف Excel'!$A:$AV,46,0)</f>
        <v>557.5</v>
      </c>
      <c r="N371" s="51">
        <f>VLOOKUP(A371,'[1]ناتج ملف Excel'!$A:$AV,47,0)</f>
        <v>3143.75</v>
      </c>
      <c r="O371" s="42"/>
      <c r="P371" s="47">
        <v>0</v>
      </c>
      <c r="Q371" s="48"/>
      <c r="R371" s="48">
        <v>0</v>
      </c>
      <c r="S371" s="72"/>
      <c r="T371" s="47">
        <v>3080</v>
      </c>
      <c r="U371" s="48">
        <f t="shared" si="44"/>
        <v>771.09375</v>
      </c>
      <c r="V371" s="47">
        <v>700</v>
      </c>
      <c r="W371" s="42">
        <v>0</v>
      </c>
      <c r="X371" s="42">
        <v>0</v>
      </c>
      <c r="Y371" s="42">
        <v>0</v>
      </c>
      <c r="Z371" s="42">
        <v>0</v>
      </c>
      <c r="AA371" s="4">
        <f t="shared" si="46"/>
        <v>7552.34375</v>
      </c>
      <c r="AB371" s="4">
        <f t="shared" si="45"/>
        <v>90628.125</v>
      </c>
      <c r="AC371" s="4">
        <f t="shared" si="47"/>
        <v>249928.125</v>
      </c>
    </row>
    <row r="372" spans="1:29" x14ac:dyDescent="0.2">
      <c r="A372" s="42">
        <v>400381</v>
      </c>
      <c r="B372" s="43">
        <v>4</v>
      </c>
      <c r="C372" s="42" t="s">
        <v>277</v>
      </c>
      <c r="D372" s="43" t="s">
        <v>39</v>
      </c>
      <c r="E372" s="43" t="s">
        <v>40</v>
      </c>
      <c r="F372" s="42" t="s">
        <v>254</v>
      </c>
      <c r="G372" s="43" t="s">
        <v>41</v>
      </c>
      <c r="H372" s="42">
        <v>37</v>
      </c>
      <c r="I372" s="44">
        <v>45126</v>
      </c>
      <c r="J372" s="43" t="s">
        <v>54</v>
      </c>
      <c r="K372" s="46">
        <v>9551</v>
      </c>
      <c r="L372" s="42"/>
      <c r="M372" s="51">
        <f>VLOOKUP(A372,'[1]ناتج ملف Excel'!$A:$AV,46,0)</f>
        <v>455.1</v>
      </c>
      <c r="N372" s="51">
        <f>VLOOKUP(A372,'[1]ناتج ملف Excel'!$A:$AV,47,0)</f>
        <v>2387.75</v>
      </c>
      <c r="O372" s="42"/>
      <c r="P372" s="47">
        <v>0</v>
      </c>
      <c r="Q372" s="48"/>
      <c r="R372" s="48">
        <v>0</v>
      </c>
      <c r="S372" s="72"/>
      <c r="T372" s="47">
        <v>3080</v>
      </c>
      <c r="U372" s="48">
        <f t="shared" si="44"/>
        <v>592.26041666666663</v>
      </c>
      <c r="V372" s="47">
        <v>500</v>
      </c>
      <c r="W372" s="42">
        <v>0</v>
      </c>
      <c r="X372" s="42">
        <v>0</v>
      </c>
      <c r="Y372" s="42">
        <v>0</v>
      </c>
      <c r="Z372" s="50">
        <v>1910.2</v>
      </c>
      <c r="AA372" s="4">
        <f t="shared" si="46"/>
        <v>6515.1104166666664</v>
      </c>
      <c r="AB372" s="4">
        <f t="shared" si="45"/>
        <v>78181.324999999997</v>
      </c>
      <c r="AC372" s="4">
        <f t="shared" si="47"/>
        <v>198793.32500000001</v>
      </c>
    </row>
    <row r="373" spans="1:29" x14ac:dyDescent="0.2">
      <c r="A373" s="42">
        <v>400382</v>
      </c>
      <c r="B373" s="43" t="s">
        <v>266</v>
      </c>
      <c r="C373" s="42" t="s">
        <v>277</v>
      </c>
      <c r="D373" s="43" t="s">
        <v>39</v>
      </c>
      <c r="E373" s="43" t="s">
        <v>40</v>
      </c>
      <c r="F373" s="42" t="s">
        <v>253</v>
      </c>
      <c r="G373" s="43" t="s">
        <v>41</v>
      </c>
      <c r="H373" s="42">
        <v>46</v>
      </c>
      <c r="I373" s="44">
        <v>45126</v>
      </c>
      <c r="J373" s="43" t="s">
        <v>54</v>
      </c>
      <c r="K373" s="49">
        <v>14355</v>
      </c>
      <c r="L373" s="42"/>
      <c r="M373" s="51">
        <f>VLOOKUP(A373,'[1]ناتج ملف Excel'!$A:$AV,46,0)</f>
        <v>100</v>
      </c>
      <c r="N373" s="51">
        <f>VLOOKUP(A373,'[1]ناتج ملف Excel'!$A:$AV,47,0)</f>
        <v>3588.75</v>
      </c>
      <c r="O373" s="42"/>
      <c r="P373" s="47">
        <v>0</v>
      </c>
      <c r="Q373" s="48"/>
      <c r="R373" s="48">
        <v>0</v>
      </c>
      <c r="S373" s="72"/>
      <c r="T373" s="47">
        <v>3080</v>
      </c>
      <c r="U373" s="48">
        <f t="shared" si="44"/>
        <v>768.48958333333337</v>
      </c>
      <c r="V373" s="47">
        <v>700</v>
      </c>
      <c r="W373" s="42">
        <v>750</v>
      </c>
      <c r="X373" s="42">
        <v>0</v>
      </c>
      <c r="Y373" s="46">
        <v>2871</v>
      </c>
      <c r="Z373" s="42">
        <v>0</v>
      </c>
      <c r="AA373" s="4">
        <f t="shared" si="46"/>
        <v>7537.2395833333339</v>
      </c>
      <c r="AB373" s="4">
        <f t="shared" si="45"/>
        <v>90446.875</v>
      </c>
      <c r="AC373" s="4">
        <f t="shared" si="47"/>
        <v>280106.875</v>
      </c>
    </row>
    <row r="374" spans="1:29" x14ac:dyDescent="0.2">
      <c r="A374" s="42">
        <v>400383</v>
      </c>
      <c r="B374" s="43" t="s">
        <v>266</v>
      </c>
      <c r="C374" s="42" t="s">
        <v>277</v>
      </c>
      <c r="D374" s="43" t="s">
        <v>39</v>
      </c>
      <c r="E374" s="43" t="s">
        <v>40</v>
      </c>
      <c r="F374" s="42" t="s">
        <v>253</v>
      </c>
      <c r="G374" s="43" t="s">
        <v>41</v>
      </c>
      <c r="H374" s="42">
        <v>46</v>
      </c>
      <c r="I374" s="44">
        <v>45126</v>
      </c>
      <c r="J374" s="43" t="s">
        <v>54</v>
      </c>
      <c r="K374" s="49">
        <v>15375</v>
      </c>
      <c r="L374" s="42"/>
      <c r="M374" s="51">
        <f>VLOOKUP(A374,'[1]ناتج ملف Excel'!$A:$AV,46,0)</f>
        <v>100</v>
      </c>
      <c r="N374" s="51">
        <f>VLOOKUP(A374,'[1]ناتج ملف Excel'!$A:$AV,47,0)</f>
        <v>3843.75</v>
      </c>
      <c r="O374" s="42"/>
      <c r="P374" s="47">
        <v>0</v>
      </c>
      <c r="Q374" s="48"/>
      <c r="R374" s="48">
        <v>0</v>
      </c>
      <c r="S374" s="72"/>
      <c r="T374" s="47">
        <v>3080</v>
      </c>
      <c r="U374" s="48">
        <f t="shared" si="44"/>
        <v>821.61458333333337</v>
      </c>
      <c r="V374" s="47">
        <v>700</v>
      </c>
      <c r="W374" s="42">
        <v>750</v>
      </c>
      <c r="X374" s="42">
        <v>0</v>
      </c>
      <c r="Y374" s="46">
        <v>3075</v>
      </c>
      <c r="Z374" s="42">
        <v>0</v>
      </c>
      <c r="AA374" s="4">
        <f t="shared" si="46"/>
        <v>7845.3645833333339</v>
      </c>
      <c r="AB374" s="4">
        <f t="shared" si="45"/>
        <v>94144.375</v>
      </c>
      <c r="AC374" s="4">
        <f t="shared" si="47"/>
        <v>296044.375</v>
      </c>
    </row>
    <row r="375" spans="1:29" x14ac:dyDescent="0.2">
      <c r="A375" s="42">
        <v>400384</v>
      </c>
      <c r="B375" s="43" t="s">
        <v>266</v>
      </c>
      <c r="C375" s="42" t="s">
        <v>277</v>
      </c>
      <c r="D375" s="43" t="s">
        <v>39</v>
      </c>
      <c r="E375" s="43" t="s">
        <v>40</v>
      </c>
      <c r="F375" s="42" t="s">
        <v>253</v>
      </c>
      <c r="G375" s="43" t="s">
        <v>41</v>
      </c>
      <c r="H375" s="42">
        <v>50</v>
      </c>
      <c r="I375" s="44">
        <v>45126</v>
      </c>
      <c r="J375" s="43" t="s">
        <v>54</v>
      </c>
      <c r="K375" s="49">
        <v>14915</v>
      </c>
      <c r="L375" s="42"/>
      <c r="M375" s="51">
        <f>VLOOKUP(A375,'[1]ناتج ملف Excel'!$A:$AV,46,0)</f>
        <v>100</v>
      </c>
      <c r="N375" s="51">
        <f>VLOOKUP(A375,'[1]ناتج ملف Excel'!$A:$AV,47,0)</f>
        <v>3728.75</v>
      </c>
      <c r="O375" s="42"/>
      <c r="P375" s="47">
        <v>0</v>
      </c>
      <c r="Q375" s="48"/>
      <c r="R375" s="48">
        <v>0</v>
      </c>
      <c r="S375" s="72"/>
      <c r="T375" s="47">
        <v>3080</v>
      </c>
      <c r="U375" s="48">
        <f t="shared" si="44"/>
        <v>797.65625</v>
      </c>
      <c r="V375" s="47">
        <v>700</v>
      </c>
      <c r="W375" s="42">
        <v>0</v>
      </c>
      <c r="X375" s="42">
        <v>0</v>
      </c>
      <c r="Y375" s="46">
        <v>2983</v>
      </c>
      <c r="Z375" s="42">
        <v>0</v>
      </c>
      <c r="AA375" s="4">
        <f t="shared" si="46"/>
        <v>7706.40625</v>
      </c>
      <c r="AB375" s="4">
        <f t="shared" si="45"/>
        <v>92476.875</v>
      </c>
      <c r="AC375" s="4">
        <f t="shared" si="47"/>
        <v>279856.875</v>
      </c>
    </row>
    <row r="376" spans="1:29" x14ac:dyDescent="0.2">
      <c r="A376" s="42">
        <v>400385</v>
      </c>
      <c r="B376" s="43" t="s">
        <v>266</v>
      </c>
      <c r="C376" s="42" t="s">
        <v>277</v>
      </c>
      <c r="D376" s="43" t="s">
        <v>39</v>
      </c>
      <c r="E376" s="43" t="s">
        <v>40</v>
      </c>
      <c r="F376" s="42" t="s">
        <v>253</v>
      </c>
      <c r="G376" s="43" t="s">
        <v>41</v>
      </c>
      <c r="H376" s="42">
        <v>40</v>
      </c>
      <c r="I376" s="44">
        <v>45126</v>
      </c>
      <c r="J376" s="43" t="s">
        <v>54</v>
      </c>
      <c r="K376" s="49">
        <v>13505</v>
      </c>
      <c r="L376" s="42"/>
      <c r="M376" s="51">
        <f>VLOOKUP(A376,'[1]ناتج ملف Excel'!$A:$AV,46,0)</f>
        <v>100</v>
      </c>
      <c r="N376" s="51">
        <f>VLOOKUP(A376,'[1]ناتج ملف Excel'!$A:$AV,47,0)</f>
        <v>3376.25</v>
      </c>
      <c r="O376" s="42"/>
      <c r="P376" s="47">
        <v>0</v>
      </c>
      <c r="Q376" s="48"/>
      <c r="R376" s="48">
        <v>0</v>
      </c>
      <c r="S376" s="72"/>
      <c r="T376" s="47">
        <v>3080</v>
      </c>
      <c r="U376" s="48">
        <f t="shared" si="44"/>
        <v>724.21875</v>
      </c>
      <c r="V376" s="47">
        <v>700</v>
      </c>
      <c r="W376" s="42">
        <v>750</v>
      </c>
      <c r="X376" s="42">
        <v>0</v>
      </c>
      <c r="Y376" s="46">
        <v>2701</v>
      </c>
      <c r="Z376" s="42">
        <v>0</v>
      </c>
      <c r="AA376" s="4">
        <f t="shared" si="46"/>
        <v>7280.46875</v>
      </c>
      <c r="AB376" s="4">
        <f t="shared" si="45"/>
        <v>87365.625</v>
      </c>
      <c r="AC376" s="4">
        <f t="shared" si="47"/>
        <v>266825.625</v>
      </c>
    </row>
    <row r="377" spans="1:29" x14ac:dyDescent="0.2">
      <c r="A377" s="42">
        <v>400386</v>
      </c>
      <c r="B377" s="43" t="s">
        <v>266</v>
      </c>
      <c r="C377" s="42" t="s">
        <v>277</v>
      </c>
      <c r="D377" s="43" t="s">
        <v>39</v>
      </c>
      <c r="E377" s="43" t="s">
        <v>40</v>
      </c>
      <c r="F377" s="42" t="s">
        <v>253</v>
      </c>
      <c r="G377" s="43" t="s">
        <v>41</v>
      </c>
      <c r="H377" s="42">
        <v>40</v>
      </c>
      <c r="I377" s="44">
        <v>45126</v>
      </c>
      <c r="J377" s="43" t="s">
        <v>54</v>
      </c>
      <c r="K377" s="49">
        <v>14355</v>
      </c>
      <c r="L377" s="42"/>
      <c r="M377" s="51">
        <f>VLOOKUP(A377,'[1]ناتج ملف Excel'!$A:$AV,46,0)</f>
        <v>100</v>
      </c>
      <c r="N377" s="51">
        <f>VLOOKUP(A377,'[1]ناتج ملف Excel'!$A:$AV,47,0)</f>
        <v>3588.75</v>
      </c>
      <c r="O377" s="42"/>
      <c r="P377" s="47">
        <v>0</v>
      </c>
      <c r="Q377" s="48"/>
      <c r="R377" s="48">
        <v>0</v>
      </c>
      <c r="S377" s="72"/>
      <c r="T377" s="47">
        <v>3080</v>
      </c>
      <c r="U377" s="48">
        <f t="shared" ref="U377:U438" si="48">(L377+M377+N377+O377)*2.5/12</f>
        <v>768.48958333333337</v>
      </c>
      <c r="V377" s="47">
        <v>700</v>
      </c>
      <c r="W377" s="42">
        <v>0</v>
      </c>
      <c r="X377" s="42">
        <v>0</v>
      </c>
      <c r="Y377" s="46">
        <v>2871</v>
      </c>
      <c r="Z377" s="42">
        <v>0</v>
      </c>
      <c r="AA377" s="4">
        <f t="shared" si="46"/>
        <v>7537.2395833333339</v>
      </c>
      <c r="AB377" s="4">
        <f t="shared" ref="AB377:AB438" si="49">AA377*12</f>
        <v>90446.875</v>
      </c>
      <c r="AC377" s="4">
        <f t="shared" si="47"/>
        <v>271106.875</v>
      </c>
    </row>
    <row r="378" spans="1:29" x14ac:dyDescent="0.2">
      <c r="A378" s="42">
        <v>400387</v>
      </c>
      <c r="B378" s="43" t="s">
        <v>266</v>
      </c>
      <c r="C378" s="42" t="s">
        <v>277</v>
      </c>
      <c r="D378" s="43" t="s">
        <v>39</v>
      </c>
      <c r="E378" s="43" t="s">
        <v>40</v>
      </c>
      <c r="F378" s="42" t="s">
        <v>253</v>
      </c>
      <c r="G378" s="43" t="s">
        <v>41</v>
      </c>
      <c r="H378" s="42">
        <v>38</v>
      </c>
      <c r="I378" s="44">
        <v>45126</v>
      </c>
      <c r="J378" s="43" t="s">
        <v>54</v>
      </c>
      <c r="K378" s="49">
        <v>13505</v>
      </c>
      <c r="L378" s="42"/>
      <c r="M378" s="51">
        <f>VLOOKUP(A378,'[1]ناتج ملف Excel'!$A:$AV,46,0)</f>
        <v>100</v>
      </c>
      <c r="N378" s="51">
        <f>VLOOKUP(A378,'[1]ناتج ملف Excel'!$A:$AV,47,0)</f>
        <v>3376.25</v>
      </c>
      <c r="O378" s="42"/>
      <c r="P378" s="47">
        <v>0</v>
      </c>
      <c r="Q378" s="48"/>
      <c r="R378" s="48">
        <v>0</v>
      </c>
      <c r="S378" s="72"/>
      <c r="T378" s="47">
        <v>3080</v>
      </c>
      <c r="U378" s="48">
        <f t="shared" si="48"/>
        <v>724.21875</v>
      </c>
      <c r="V378" s="47">
        <v>700</v>
      </c>
      <c r="W378" s="42">
        <v>750</v>
      </c>
      <c r="X378" s="42">
        <v>0</v>
      </c>
      <c r="Y378" s="46">
        <v>2701</v>
      </c>
      <c r="Z378" s="42">
        <v>0</v>
      </c>
      <c r="AA378" s="4">
        <f t="shared" si="46"/>
        <v>7280.46875</v>
      </c>
      <c r="AB378" s="4">
        <f t="shared" si="49"/>
        <v>87365.625</v>
      </c>
      <c r="AC378" s="4">
        <f t="shared" si="47"/>
        <v>266825.625</v>
      </c>
    </row>
    <row r="379" spans="1:29" x14ac:dyDescent="0.2">
      <c r="A379" s="42">
        <v>400388</v>
      </c>
      <c r="B379" s="43" t="s">
        <v>266</v>
      </c>
      <c r="C379" s="42" t="s">
        <v>277</v>
      </c>
      <c r="D379" s="43" t="s">
        <v>39</v>
      </c>
      <c r="E379" s="43" t="s">
        <v>40</v>
      </c>
      <c r="F379" s="42" t="s">
        <v>253</v>
      </c>
      <c r="G379" s="43" t="s">
        <v>41</v>
      </c>
      <c r="H379" s="42">
        <v>38</v>
      </c>
      <c r="I379" s="44">
        <v>45126</v>
      </c>
      <c r="J379" s="43" t="s">
        <v>54</v>
      </c>
      <c r="K379" s="49">
        <v>13505</v>
      </c>
      <c r="L379" s="42"/>
      <c r="M379" s="51">
        <f>VLOOKUP(A379,'[1]ناتج ملف Excel'!$A:$AV,46,0)</f>
        <v>100</v>
      </c>
      <c r="N379" s="51">
        <f>VLOOKUP(A379,'[1]ناتج ملف Excel'!$A:$AV,47,0)</f>
        <v>3376.25</v>
      </c>
      <c r="O379" s="42"/>
      <c r="P379" s="47">
        <v>0</v>
      </c>
      <c r="Q379" s="48"/>
      <c r="R379" s="48">
        <v>0</v>
      </c>
      <c r="S379" s="72"/>
      <c r="T379" s="47">
        <v>3080</v>
      </c>
      <c r="U379" s="48">
        <f t="shared" si="48"/>
        <v>724.21875</v>
      </c>
      <c r="V379" s="47">
        <v>700</v>
      </c>
      <c r="W379" s="42">
        <v>0</v>
      </c>
      <c r="X379" s="42">
        <v>0</v>
      </c>
      <c r="Y379" s="46">
        <v>2701</v>
      </c>
      <c r="Z379" s="42">
        <v>0</v>
      </c>
      <c r="AA379" s="4">
        <f t="shared" si="46"/>
        <v>7280.46875</v>
      </c>
      <c r="AB379" s="4">
        <f t="shared" si="49"/>
        <v>87365.625</v>
      </c>
      <c r="AC379" s="4">
        <f t="shared" si="47"/>
        <v>257825.625</v>
      </c>
    </row>
    <row r="380" spans="1:29" x14ac:dyDescent="0.2">
      <c r="A380" s="42">
        <v>400389</v>
      </c>
      <c r="B380" s="43" t="s">
        <v>266</v>
      </c>
      <c r="C380" s="42" t="s">
        <v>277</v>
      </c>
      <c r="D380" s="43" t="s">
        <v>39</v>
      </c>
      <c r="E380" s="43" t="s">
        <v>40</v>
      </c>
      <c r="F380" s="42" t="s">
        <v>253</v>
      </c>
      <c r="G380" s="43" t="s">
        <v>41</v>
      </c>
      <c r="H380" s="42">
        <v>36</v>
      </c>
      <c r="I380" s="44">
        <v>45126</v>
      </c>
      <c r="J380" s="43" t="s">
        <v>54</v>
      </c>
      <c r="K380" s="46">
        <v>9278</v>
      </c>
      <c r="L380" s="42"/>
      <c r="M380" s="51">
        <f>VLOOKUP(A380,'[1]ناتج ملف Excel'!$A:$AV,46,0)</f>
        <v>300</v>
      </c>
      <c r="N380" s="51">
        <f>VLOOKUP(A380,'[1]ناتج ملف Excel'!$A:$AV,47,0)</f>
        <v>2319.5</v>
      </c>
      <c r="O380" s="42"/>
      <c r="P380" s="47">
        <v>0</v>
      </c>
      <c r="Q380" s="48"/>
      <c r="R380" s="48">
        <v>0</v>
      </c>
      <c r="S380" s="72"/>
      <c r="T380" s="47">
        <v>3080</v>
      </c>
      <c r="U380" s="48">
        <f t="shared" si="48"/>
        <v>545.72916666666663</v>
      </c>
      <c r="V380" s="47">
        <v>500</v>
      </c>
      <c r="W380" s="42">
        <v>0</v>
      </c>
      <c r="X380" s="42">
        <v>0</v>
      </c>
      <c r="Y380" s="50">
        <v>1855.6</v>
      </c>
      <c r="Z380" s="42">
        <v>0</v>
      </c>
      <c r="AA380" s="4">
        <f t="shared" si="46"/>
        <v>6245.2291666666661</v>
      </c>
      <c r="AB380" s="4">
        <f t="shared" si="49"/>
        <v>74942.75</v>
      </c>
      <c r="AC380" s="4">
        <f t="shared" si="47"/>
        <v>192278.75</v>
      </c>
    </row>
    <row r="381" spans="1:29" x14ac:dyDescent="0.2">
      <c r="A381" s="42">
        <v>400390</v>
      </c>
      <c r="B381" s="43" t="s">
        <v>266</v>
      </c>
      <c r="C381" s="42" t="s">
        <v>277</v>
      </c>
      <c r="D381" s="43" t="s">
        <v>39</v>
      </c>
      <c r="E381" s="43" t="s">
        <v>40</v>
      </c>
      <c r="F381" s="42" t="s">
        <v>253</v>
      </c>
      <c r="G381" s="43" t="s">
        <v>41</v>
      </c>
      <c r="H381" s="42">
        <v>37</v>
      </c>
      <c r="I381" s="44">
        <v>45126</v>
      </c>
      <c r="J381" s="43" t="s">
        <v>54</v>
      </c>
      <c r="K381" s="49">
        <v>12095</v>
      </c>
      <c r="L381" s="42"/>
      <c r="M381" s="51">
        <f>VLOOKUP(A381,'[1]ناتج ملف Excel'!$A:$AV,46,0)</f>
        <v>100</v>
      </c>
      <c r="N381" s="51">
        <f>VLOOKUP(A381,'[1]ناتج ملف Excel'!$A:$AV,47,0)</f>
        <v>3023.75</v>
      </c>
      <c r="O381" s="42"/>
      <c r="P381" s="47">
        <v>0</v>
      </c>
      <c r="Q381" s="48"/>
      <c r="R381" s="48">
        <v>0</v>
      </c>
      <c r="S381" s="72"/>
      <c r="T381" s="47">
        <v>3080</v>
      </c>
      <c r="U381" s="48">
        <f t="shared" si="48"/>
        <v>650.78125</v>
      </c>
      <c r="V381" s="47">
        <v>700</v>
      </c>
      <c r="W381" s="42">
        <v>0</v>
      </c>
      <c r="X381" s="42">
        <v>0</v>
      </c>
      <c r="Y381" s="46">
        <v>2419</v>
      </c>
      <c r="Z381" s="42">
        <v>0</v>
      </c>
      <c r="AA381" s="4">
        <f t="shared" si="46"/>
        <v>6854.53125</v>
      </c>
      <c r="AB381" s="4">
        <f t="shared" si="49"/>
        <v>82254.375</v>
      </c>
      <c r="AC381" s="4">
        <f t="shared" si="47"/>
        <v>235794.375</v>
      </c>
    </row>
    <row r="382" spans="1:29" x14ac:dyDescent="0.2">
      <c r="A382" s="42">
        <v>400391</v>
      </c>
      <c r="B382" s="43" t="s">
        <v>266</v>
      </c>
      <c r="C382" s="42" t="s">
        <v>277</v>
      </c>
      <c r="D382" s="43" t="s">
        <v>39</v>
      </c>
      <c r="E382" s="43" t="s">
        <v>40</v>
      </c>
      <c r="F382" s="42" t="s">
        <v>253</v>
      </c>
      <c r="G382" s="43" t="s">
        <v>41</v>
      </c>
      <c r="H382" s="42">
        <v>34</v>
      </c>
      <c r="I382" s="44">
        <v>45126</v>
      </c>
      <c r="J382" s="43" t="s">
        <v>54</v>
      </c>
      <c r="K382" s="49">
        <v>12095</v>
      </c>
      <c r="L382" s="42"/>
      <c r="M382" s="51">
        <f>VLOOKUP(A382,'[1]ناتج ملف Excel'!$A:$AV,46,0)</f>
        <v>100</v>
      </c>
      <c r="N382" s="51">
        <f>VLOOKUP(A382,'[1]ناتج ملف Excel'!$A:$AV,47,0)</f>
        <v>3023.75</v>
      </c>
      <c r="O382" s="42"/>
      <c r="P382" s="47">
        <v>0</v>
      </c>
      <c r="Q382" s="48"/>
      <c r="R382" s="48">
        <v>0</v>
      </c>
      <c r="S382" s="72"/>
      <c r="T382" s="47">
        <v>3080</v>
      </c>
      <c r="U382" s="48">
        <f t="shared" si="48"/>
        <v>650.78125</v>
      </c>
      <c r="V382" s="47">
        <v>700</v>
      </c>
      <c r="W382" s="42">
        <v>0</v>
      </c>
      <c r="X382" s="42">
        <v>0</v>
      </c>
      <c r="Y382" s="46">
        <v>2419</v>
      </c>
      <c r="Z382" s="42">
        <v>0</v>
      </c>
      <c r="AA382" s="4">
        <f t="shared" si="46"/>
        <v>6854.53125</v>
      </c>
      <c r="AB382" s="4">
        <f t="shared" si="49"/>
        <v>82254.375</v>
      </c>
      <c r="AC382" s="4">
        <f t="shared" si="47"/>
        <v>235794.375</v>
      </c>
    </row>
    <row r="383" spans="1:29" x14ac:dyDescent="0.2">
      <c r="A383" s="42">
        <v>400392</v>
      </c>
      <c r="B383" s="43" t="s">
        <v>266</v>
      </c>
      <c r="C383" s="42" t="s">
        <v>277</v>
      </c>
      <c r="D383" s="43" t="s">
        <v>39</v>
      </c>
      <c r="E383" s="43" t="s">
        <v>40</v>
      </c>
      <c r="F383" s="42" t="s">
        <v>253</v>
      </c>
      <c r="G383" s="43" t="s">
        <v>41</v>
      </c>
      <c r="H383" s="42">
        <v>35</v>
      </c>
      <c r="I383" s="44">
        <v>45126</v>
      </c>
      <c r="J383" s="43" t="s">
        <v>54</v>
      </c>
      <c r="K383" s="46">
        <v>8440</v>
      </c>
      <c r="L383" s="42"/>
      <c r="M383" s="51">
        <f>VLOOKUP(A383,'[1]ناتج ملف Excel'!$A:$AV,46,0)</f>
        <v>300</v>
      </c>
      <c r="N383" s="51">
        <f>VLOOKUP(A383,'[1]ناتج ملف Excel'!$A:$AV,47,0)</f>
        <v>2110</v>
      </c>
      <c r="O383" s="42"/>
      <c r="P383" s="47">
        <v>0</v>
      </c>
      <c r="Q383" s="48"/>
      <c r="R383" s="48">
        <v>0</v>
      </c>
      <c r="S383" s="72"/>
      <c r="T383" s="47">
        <v>3080</v>
      </c>
      <c r="U383" s="48">
        <f t="shared" si="48"/>
        <v>502.08333333333331</v>
      </c>
      <c r="V383" s="47">
        <v>500</v>
      </c>
      <c r="W383" s="42">
        <v>0</v>
      </c>
      <c r="X383" s="42">
        <v>0</v>
      </c>
      <c r="Y383" s="46">
        <v>1688</v>
      </c>
      <c r="Z383" s="42">
        <v>0</v>
      </c>
      <c r="AA383" s="4">
        <f t="shared" si="46"/>
        <v>5992.0833333333339</v>
      </c>
      <c r="AB383" s="4">
        <f t="shared" si="49"/>
        <v>71905</v>
      </c>
      <c r="AC383" s="4">
        <f t="shared" si="47"/>
        <v>179185</v>
      </c>
    </row>
    <row r="384" spans="1:29" x14ac:dyDescent="0.2">
      <c r="A384" s="42">
        <v>400393</v>
      </c>
      <c r="B384" s="43" t="s">
        <v>266</v>
      </c>
      <c r="C384" s="42" t="s">
        <v>277</v>
      </c>
      <c r="D384" s="43" t="s">
        <v>39</v>
      </c>
      <c r="E384" s="43" t="s">
        <v>40</v>
      </c>
      <c r="F384" s="42" t="s">
        <v>253</v>
      </c>
      <c r="G384" s="43" t="s">
        <v>41</v>
      </c>
      <c r="H384" s="42">
        <v>31</v>
      </c>
      <c r="I384" s="44">
        <v>45126</v>
      </c>
      <c r="J384" s="43" t="s">
        <v>54</v>
      </c>
      <c r="K384" s="46">
        <v>8038</v>
      </c>
      <c r="L384" s="42"/>
      <c r="M384" s="51">
        <f>VLOOKUP(A384,'[1]ناتج ملف Excel'!$A:$AV,46,0)</f>
        <v>300</v>
      </c>
      <c r="N384" s="51">
        <f>VLOOKUP(A384,'[1]ناتج ملف Excel'!$A:$AV,47,0)</f>
        <v>2009.5</v>
      </c>
      <c r="O384" s="42"/>
      <c r="P384" s="47">
        <v>0</v>
      </c>
      <c r="Q384" s="48"/>
      <c r="R384" s="48">
        <v>0</v>
      </c>
      <c r="S384" s="72"/>
      <c r="T384" s="47">
        <v>3080</v>
      </c>
      <c r="U384" s="48">
        <f t="shared" si="48"/>
        <v>481.14583333333331</v>
      </c>
      <c r="V384" s="47">
        <v>500</v>
      </c>
      <c r="W384" s="42">
        <v>0</v>
      </c>
      <c r="X384" s="42">
        <v>0</v>
      </c>
      <c r="Y384" s="50">
        <v>1607.6</v>
      </c>
      <c r="Z384" s="42">
        <v>0</v>
      </c>
      <c r="AA384" s="4">
        <f t="shared" si="46"/>
        <v>5870.6458333333339</v>
      </c>
      <c r="AB384" s="4">
        <f t="shared" si="49"/>
        <v>70447.75</v>
      </c>
      <c r="AC384" s="4">
        <f t="shared" si="47"/>
        <v>172903.75</v>
      </c>
    </row>
    <row r="385" spans="1:29" x14ac:dyDescent="0.2">
      <c r="A385" s="42">
        <v>400394</v>
      </c>
      <c r="B385" s="43" t="s">
        <v>266</v>
      </c>
      <c r="C385" s="42" t="s">
        <v>277</v>
      </c>
      <c r="D385" s="43" t="s">
        <v>39</v>
      </c>
      <c r="E385" s="43" t="s">
        <v>40</v>
      </c>
      <c r="F385" s="42" t="s">
        <v>253</v>
      </c>
      <c r="G385" s="43" t="s">
        <v>41</v>
      </c>
      <c r="H385" s="42">
        <v>56</v>
      </c>
      <c r="I385" s="44">
        <v>45126</v>
      </c>
      <c r="J385" s="43" t="s">
        <v>54</v>
      </c>
      <c r="K385" s="49">
        <v>16395</v>
      </c>
      <c r="L385" s="42"/>
      <c r="M385" s="51">
        <f>VLOOKUP(A385,'[1]ناتج ملف Excel'!$A:$AV,46,0)</f>
        <v>100</v>
      </c>
      <c r="N385" s="51">
        <f>VLOOKUP(A385,'[1]ناتج ملف Excel'!$A:$AV,47,0)</f>
        <v>4098.75</v>
      </c>
      <c r="O385" s="42"/>
      <c r="P385" s="47">
        <v>0</v>
      </c>
      <c r="Q385" s="48"/>
      <c r="R385" s="48">
        <v>0</v>
      </c>
      <c r="S385" s="72"/>
      <c r="T385" s="47">
        <v>3080</v>
      </c>
      <c r="U385" s="48">
        <f t="shared" si="48"/>
        <v>874.73958333333337</v>
      </c>
      <c r="V385" s="47">
        <v>700</v>
      </c>
      <c r="W385" s="42">
        <v>0</v>
      </c>
      <c r="X385" s="42">
        <v>0</v>
      </c>
      <c r="Y385" s="46">
        <v>3279</v>
      </c>
      <c r="Z385" s="42">
        <v>0</v>
      </c>
      <c r="AA385" s="4">
        <f t="shared" si="46"/>
        <v>8153.4895833333339</v>
      </c>
      <c r="AB385" s="4">
        <f t="shared" si="49"/>
        <v>97841.875</v>
      </c>
      <c r="AC385" s="4">
        <f t="shared" si="47"/>
        <v>302981.875</v>
      </c>
    </row>
    <row r="386" spans="1:29" x14ac:dyDescent="0.2">
      <c r="A386" s="42">
        <v>400395</v>
      </c>
      <c r="B386" s="43" t="s">
        <v>266</v>
      </c>
      <c r="C386" s="42" t="s">
        <v>277</v>
      </c>
      <c r="D386" s="43" t="s">
        <v>39</v>
      </c>
      <c r="E386" s="43" t="s">
        <v>40</v>
      </c>
      <c r="F386" s="42" t="s">
        <v>253</v>
      </c>
      <c r="G386" s="43" t="s">
        <v>41</v>
      </c>
      <c r="H386" s="42">
        <v>52</v>
      </c>
      <c r="I386" s="44">
        <v>45126</v>
      </c>
      <c r="J386" s="43" t="s">
        <v>54</v>
      </c>
      <c r="K386" s="49">
        <v>13975</v>
      </c>
      <c r="L386" s="42"/>
      <c r="M386" s="51">
        <f>VLOOKUP(A386,'[1]ناتج ملف Excel'!$A:$AV,46,0)</f>
        <v>100</v>
      </c>
      <c r="N386" s="51">
        <f>VLOOKUP(A386,'[1]ناتج ملف Excel'!$A:$AV,47,0)</f>
        <v>3493.75</v>
      </c>
      <c r="O386" s="42"/>
      <c r="P386" s="47">
        <v>0</v>
      </c>
      <c r="Q386" s="48"/>
      <c r="R386" s="48">
        <v>0</v>
      </c>
      <c r="S386" s="72"/>
      <c r="T386" s="47">
        <v>3080</v>
      </c>
      <c r="U386" s="48">
        <f t="shared" si="48"/>
        <v>748.69791666666663</v>
      </c>
      <c r="V386" s="47">
        <v>700</v>
      </c>
      <c r="W386" s="42">
        <v>0</v>
      </c>
      <c r="X386" s="42">
        <v>0</v>
      </c>
      <c r="Y386" s="46">
        <v>2795</v>
      </c>
      <c r="Z386" s="42">
        <v>0</v>
      </c>
      <c r="AA386" s="4">
        <f t="shared" ref="AA386:AA447" si="50">U386+T386+N386+M386+O386</f>
        <v>7422.4479166666661</v>
      </c>
      <c r="AB386" s="4">
        <f t="shared" si="49"/>
        <v>89069.375</v>
      </c>
      <c r="AC386" s="4">
        <f t="shared" ref="AC386:AC447" si="51">AB386+((K386+V386+W386+X386)*12)</f>
        <v>265169.375</v>
      </c>
    </row>
    <row r="387" spans="1:29" x14ac:dyDescent="0.2">
      <c r="A387" s="42">
        <v>400396</v>
      </c>
      <c r="B387" s="43" t="s">
        <v>266</v>
      </c>
      <c r="C387" s="42" t="s">
        <v>277</v>
      </c>
      <c r="D387" s="43" t="s">
        <v>39</v>
      </c>
      <c r="E387" s="43" t="s">
        <v>40</v>
      </c>
      <c r="F387" s="42" t="s">
        <v>239</v>
      </c>
      <c r="G387" s="43" t="s">
        <v>41</v>
      </c>
      <c r="H387" s="42">
        <v>52</v>
      </c>
      <c r="I387" s="44">
        <v>45126</v>
      </c>
      <c r="J387" s="43" t="s">
        <v>54</v>
      </c>
      <c r="K387" s="49">
        <v>15385</v>
      </c>
      <c r="L387" s="42"/>
      <c r="M387" s="51">
        <f>VLOOKUP(A387,'[1]ناتج ملف Excel'!$A:$AV,46,0)</f>
        <v>100</v>
      </c>
      <c r="N387" s="51">
        <f>VLOOKUP(A387,'[1]ناتج ملف Excel'!$A:$AV,47,0)</f>
        <v>3846.25</v>
      </c>
      <c r="O387" s="42"/>
      <c r="P387" s="47">
        <v>0</v>
      </c>
      <c r="Q387" s="48"/>
      <c r="R387" s="48">
        <v>0</v>
      </c>
      <c r="S387" s="72"/>
      <c r="T387" s="47">
        <v>3080</v>
      </c>
      <c r="U387" s="48">
        <f t="shared" si="48"/>
        <v>822.13541666666663</v>
      </c>
      <c r="V387" s="47">
        <v>700</v>
      </c>
      <c r="W387" s="42">
        <v>0</v>
      </c>
      <c r="X387" s="42">
        <v>0</v>
      </c>
      <c r="Y387" s="46">
        <v>3077</v>
      </c>
      <c r="Z387" s="42">
        <v>0</v>
      </c>
      <c r="AA387" s="4">
        <f t="shared" si="50"/>
        <v>7848.3854166666661</v>
      </c>
      <c r="AB387" s="4">
        <f t="shared" si="49"/>
        <v>94180.625</v>
      </c>
      <c r="AC387" s="4">
        <f t="shared" si="51"/>
        <v>287200.625</v>
      </c>
    </row>
    <row r="388" spans="1:29" x14ac:dyDescent="0.2">
      <c r="A388" s="42">
        <v>400397</v>
      </c>
      <c r="B388" s="43">
        <v>4</v>
      </c>
      <c r="C388" s="42" t="s">
        <v>277</v>
      </c>
      <c r="D388" s="43" t="s">
        <v>39</v>
      </c>
      <c r="E388" s="43" t="s">
        <v>40</v>
      </c>
      <c r="F388" s="42" t="s">
        <v>239</v>
      </c>
      <c r="G388" s="43" t="s">
        <v>41</v>
      </c>
      <c r="H388" s="42">
        <v>53</v>
      </c>
      <c r="I388" s="44">
        <v>45126</v>
      </c>
      <c r="J388" s="43" t="s">
        <v>54</v>
      </c>
      <c r="K388" s="49">
        <v>10915</v>
      </c>
      <c r="L388" s="42"/>
      <c r="M388" s="51">
        <f>VLOOKUP(A388,'[1]ناتج ملف Excel'!$A:$AV,46,0)</f>
        <v>391.5</v>
      </c>
      <c r="N388" s="51">
        <f>VLOOKUP(A388,'[1]ناتج ملف Excel'!$A:$AV,47,0)</f>
        <v>2728.75</v>
      </c>
      <c r="O388" s="42"/>
      <c r="P388" s="47">
        <v>0</v>
      </c>
      <c r="Q388" s="48"/>
      <c r="R388" s="48">
        <v>0</v>
      </c>
      <c r="S388" s="72"/>
      <c r="T388" s="47">
        <v>3080</v>
      </c>
      <c r="U388" s="48">
        <f t="shared" si="48"/>
        <v>650.05208333333337</v>
      </c>
      <c r="V388" s="47">
        <v>700</v>
      </c>
      <c r="W388" s="42">
        <v>0</v>
      </c>
      <c r="X388" s="42">
        <v>0</v>
      </c>
      <c r="Y388" s="46">
        <v>2183</v>
      </c>
      <c r="Z388" s="42">
        <v>0</v>
      </c>
      <c r="AA388" s="4">
        <f t="shared" si="50"/>
        <v>6850.3020833333339</v>
      </c>
      <c r="AB388" s="4">
        <f t="shared" si="49"/>
        <v>82203.625</v>
      </c>
      <c r="AC388" s="4">
        <f t="shared" si="51"/>
        <v>221583.625</v>
      </c>
    </row>
    <row r="389" spans="1:29" x14ac:dyDescent="0.2">
      <c r="A389" s="42">
        <v>400398</v>
      </c>
      <c r="B389" s="43">
        <v>4</v>
      </c>
      <c r="C389" s="42" t="s">
        <v>277</v>
      </c>
      <c r="D389" s="43" t="s">
        <v>39</v>
      </c>
      <c r="E389" s="43" t="s">
        <v>40</v>
      </c>
      <c r="F389" s="42" t="s">
        <v>239</v>
      </c>
      <c r="G389" s="43" t="s">
        <v>41</v>
      </c>
      <c r="H389" s="42">
        <v>35</v>
      </c>
      <c r="I389" s="44">
        <v>45126</v>
      </c>
      <c r="J389" s="43" t="s">
        <v>54</v>
      </c>
      <c r="K389" s="46">
        <v>9369</v>
      </c>
      <c r="L389" s="42"/>
      <c r="M389" s="51">
        <f>VLOOKUP(A389,'[1]ناتج ملف Excel'!$A:$AV,46,0)</f>
        <v>436.9</v>
      </c>
      <c r="N389" s="51">
        <f>VLOOKUP(A389,'[1]ناتج ملف Excel'!$A:$AV,47,0)</f>
        <v>2342.25</v>
      </c>
      <c r="O389" s="42"/>
      <c r="P389" s="47">
        <v>0</v>
      </c>
      <c r="Q389" s="48"/>
      <c r="R389" s="48">
        <v>0</v>
      </c>
      <c r="S389" s="72"/>
      <c r="T389" s="47">
        <v>3080</v>
      </c>
      <c r="U389" s="48">
        <f t="shared" si="48"/>
        <v>578.98958333333337</v>
      </c>
      <c r="V389" s="47">
        <v>500</v>
      </c>
      <c r="W389" s="42">
        <v>0</v>
      </c>
      <c r="X389" s="42">
        <v>0</v>
      </c>
      <c r="Y389" s="50">
        <v>1873.8</v>
      </c>
      <c r="Z389" s="42">
        <v>0</v>
      </c>
      <c r="AA389" s="4">
        <f t="shared" si="50"/>
        <v>6438.1395833333336</v>
      </c>
      <c r="AB389" s="4">
        <f t="shared" si="49"/>
        <v>77257.675000000003</v>
      </c>
      <c r="AC389" s="4">
        <f t="shared" si="51"/>
        <v>195685.67499999999</v>
      </c>
    </row>
    <row r="390" spans="1:29" x14ac:dyDescent="0.2">
      <c r="A390" s="42">
        <v>400399</v>
      </c>
      <c r="B390" s="43" t="s">
        <v>267</v>
      </c>
      <c r="C390" s="42" t="s">
        <v>277</v>
      </c>
      <c r="D390" s="43" t="s">
        <v>39</v>
      </c>
      <c r="E390" s="43" t="s">
        <v>40</v>
      </c>
      <c r="F390" s="42" t="s">
        <v>252</v>
      </c>
      <c r="G390" s="43" t="s">
        <v>41</v>
      </c>
      <c r="H390" s="42">
        <v>50</v>
      </c>
      <c r="I390" s="44">
        <v>45126</v>
      </c>
      <c r="J390" s="43" t="s">
        <v>54</v>
      </c>
      <c r="K390" s="49">
        <v>12990</v>
      </c>
      <c r="L390" s="42"/>
      <c r="M390" s="51">
        <f>VLOOKUP(A390,'[1]ناتج ملف Excel'!$A:$AV,46,0)</f>
        <v>100</v>
      </c>
      <c r="N390" s="51">
        <f>VLOOKUP(A390,'[1]ناتج ملف Excel'!$A:$AV,47,0)</f>
        <v>3247.5</v>
      </c>
      <c r="O390" s="42"/>
      <c r="P390" s="47">
        <v>0</v>
      </c>
      <c r="Q390" s="48"/>
      <c r="R390" s="48">
        <v>0</v>
      </c>
      <c r="S390" s="72"/>
      <c r="T390" s="47">
        <v>3080</v>
      </c>
      <c r="U390" s="48">
        <f t="shared" si="48"/>
        <v>697.39583333333337</v>
      </c>
      <c r="V390" s="47">
        <v>700</v>
      </c>
      <c r="W390" s="42">
        <v>750</v>
      </c>
      <c r="X390" s="42">
        <v>0</v>
      </c>
      <c r="Y390" s="46">
        <v>2598</v>
      </c>
      <c r="Z390" s="42">
        <v>0</v>
      </c>
      <c r="AA390" s="4">
        <f t="shared" si="50"/>
        <v>7124.8958333333339</v>
      </c>
      <c r="AB390" s="4">
        <f t="shared" si="49"/>
        <v>85498.75</v>
      </c>
      <c r="AC390" s="4">
        <f t="shared" si="51"/>
        <v>258778.75</v>
      </c>
    </row>
    <row r="391" spans="1:29" x14ac:dyDescent="0.2">
      <c r="A391" s="42">
        <v>400400</v>
      </c>
      <c r="B391" s="43" t="s">
        <v>266</v>
      </c>
      <c r="C391" s="42" t="s">
        <v>277</v>
      </c>
      <c r="D391" s="43" t="s">
        <v>39</v>
      </c>
      <c r="E391" s="43" t="s">
        <v>40</v>
      </c>
      <c r="F391" s="42" t="s">
        <v>252</v>
      </c>
      <c r="G391" s="43" t="s">
        <v>41</v>
      </c>
      <c r="H391" s="42">
        <v>44</v>
      </c>
      <c r="I391" s="44">
        <v>45126</v>
      </c>
      <c r="J391" s="43" t="s">
        <v>54</v>
      </c>
      <c r="K391" s="49">
        <v>14915</v>
      </c>
      <c r="L391" s="42"/>
      <c r="M391" s="51">
        <f>VLOOKUP(A391,'[1]ناتج ملف Excel'!$A:$AV,46,0)</f>
        <v>100</v>
      </c>
      <c r="N391" s="51">
        <f>VLOOKUP(A391,'[1]ناتج ملف Excel'!$A:$AV,47,0)</f>
        <v>3728.75</v>
      </c>
      <c r="O391" s="42"/>
      <c r="P391" s="47">
        <v>0</v>
      </c>
      <c r="Q391" s="48"/>
      <c r="R391" s="48">
        <v>0</v>
      </c>
      <c r="S391" s="72"/>
      <c r="T391" s="47">
        <v>3080</v>
      </c>
      <c r="U391" s="48">
        <f t="shared" si="48"/>
        <v>797.65625</v>
      </c>
      <c r="V391" s="47">
        <v>700</v>
      </c>
      <c r="W391" s="42">
        <v>750</v>
      </c>
      <c r="X391" s="42">
        <v>0</v>
      </c>
      <c r="Y391" s="46">
        <v>2983</v>
      </c>
      <c r="Z391" s="42">
        <v>0</v>
      </c>
      <c r="AA391" s="4">
        <f t="shared" si="50"/>
        <v>7706.40625</v>
      </c>
      <c r="AB391" s="4">
        <f t="shared" si="49"/>
        <v>92476.875</v>
      </c>
      <c r="AC391" s="4">
        <f t="shared" si="51"/>
        <v>288856.875</v>
      </c>
    </row>
    <row r="392" spans="1:29" x14ac:dyDescent="0.2">
      <c r="A392" s="42">
        <v>400401</v>
      </c>
      <c r="B392" s="43">
        <v>4</v>
      </c>
      <c r="C392" s="42" t="s">
        <v>277</v>
      </c>
      <c r="D392" s="43" t="s">
        <v>39</v>
      </c>
      <c r="E392" s="43" t="s">
        <v>40</v>
      </c>
      <c r="F392" s="42" t="s">
        <v>252</v>
      </c>
      <c r="G392" s="43" t="s">
        <v>41</v>
      </c>
      <c r="H392" s="42">
        <v>49</v>
      </c>
      <c r="I392" s="44">
        <v>45126</v>
      </c>
      <c r="J392" s="43" t="s">
        <v>54</v>
      </c>
      <c r="K392" s="49">
        <v>16905</v>
      </c>
      <c r="L392" s="42"/>
      <c r="M392" s="51">
        <f>VLOOKUP(A392,'[1]ناتج ملف Excel'!$A:$AV,46,0)</f>
        <v>990.5</v>
      </c>
      <c r="N392" s="51">
        <f>VLOOKUP(A392,'[1]ناتج ملف Excel'!$A:$AV,47,0)</f>
        <v>4226.25</v>
      </c>
      <c r="O392" s="42"/>
      <c r="P392" s="47">
        <v>0</v>
      </c>
      <c r="Q392" s="48"/>
      <c r="R392" s="48">
        <v>0</v>
      </c>
      <c r="S392" s="72"/>
      <c r="T392" s="47">
        <v>3080</v>
      </c>
      <c r="U392" s="48">
        <f t="shared" si="48"/>
        <v>1086.8229166666667</v>
      </c>
      <c r="V392" s="47">
        <v>700</v>
      </c>
      <c r="W392" s="42">
        <v>0</v>
      </c>
      <c r="X392" s="42">
        <f>(K392*2)/2</f>
        <v>16905</v>
      </c>
      <c r="Y392" s="46">
        <v>3381</v>
      </c>
      <c r="Z392" s="42">
        <v>0</v>
      </c>
      <c r="AA392" s="4">
        <f t="shared" si="50"/>
        <v>9383.5729166666679</v>
      </c>
      <c r="AB392" s="4">
        <f t="shared" si="49"/>
        <v>112602.87500000001</v>
      </c>
      <c r="AC392" s="4">
        <f t="shared" si="51"/>
        <v>526722.875</v>
      </c>
    </row>
    <row r="393" spans="1:29" x14ac:dyDescent="0.2">
      <c r="A393" s="42">
        <v>400402</v>
      </c>
      <c r="B393" s="43" t="s">
        <v>266</v>
      </c>
      <c r="C393" s="42" t="s">
        <v>277</v>
      </c>
      <c r="D393" s="43" t="s">
        <v>39</v>
      </c>
      <c r="E393" s="43" t="s">
        <v>40</v>
      </c>
      <c r="F393" s="42" t="s">
        <v>252</v>
      </c>
      <c r="G393" s="43" t="s">
        <v>41</v>
      </c>
      <c r="H393" s="42">
        <v>45</v>
      </c>
      <c r="I393" s="44">
        <v>45126</v>
      </c>
      <c r="J393" s="43" t="s">
        <v>54</v>
      </c>
      <c r="K393" s="49">
        <v>13975</v>
      </c>
      <c r="L393" s="42"/>
      <c r="M393" s="51">
        <f>VLOOKUP(A393,'[1]ناتج ملف Excel'!$A:$AV,46,0)</f>
        <v>100</v>
      </c>
      <c r="N393" s="51">
        <f>VLOOKUP(A393,'[1]ناتج ملف Excel'!$A:$AV,47,0)</f>
        <v>3493.75</v>
      </c>
      <c r="O393" s="42"/>
      <c r="P393" s="47">
        <v>0</v>
      </c>
      <c r="Q393" s="48"/>
      <c r="R393" s="48">
        <v>0</v>
      </c>
      <c r="S393" s="72"/>
      <c r="T393" s="47">
        <v>3080</v>
      </c>
      <c r="U393" s="48">
        <f t="shared" si="48"/>
        <v>748.69791666666663</v>
      </c>
      <c r="V393" s="47">
        <v>700</v>
      </c>
      <c r="W393" s="42">
        <v>0</v>
      </c>
      <c r="X393" s="42">
        <v>0</v>
      </c>
      <c r="Y393" s="46">
        <v>2795</v>
      </c>
      <c r="Z393" s="42">
        <v>0</v>
      </c>
      <c r="AA393" s="4">
        <f t="shared" si="50"/>
        <v>7422.4479166666661</v>
      </c>
      <c r="AB393" s="4">
        <f t="shared" si="49"/>
        <v>89069.375</v>
      </c>
      <c r="AC393" s="4">
        <f t="shared" si="51"/>
        <v>265169.375</v>
      </c>
    </row>
    <row r="394" spans="1:29" x14ac:dyDescent="0.2">
      <c r="A394" s="42">
        <v>400403</v>
      </c>
      <c r="B394" s="43">
        <v>4</v>
      </c>
      <c r="C394" s="42" t="s">
        <v>277</v>
      </c>
      <c r="D394" s="43" t="s">
        <v>39</v>
      </c>
      <c r="E394" s="43" t="s">
        <v>40</v>
      </c>
      <c r="F394" s="42" t="s">
        <v>251</v>
      </c>
      <c r="G394" s="43" t="s">
        <v>41</v>
      </c>
      <c r="H394" s="42">
        <v>44</v>
      </c>
      <c r="I394" s="44">
        <v>45126</v>
      </c>
      <c r="J394" s="43" t="s">
        <v>54</v>
      </c>
      <c r="K394" s="49">
        <v>13975</v>
      </c>
      <c r="L394" s="42"/>
      <c r="M394" s="51">
        <f>VLOOKUP(A394,'[1]ناتج ملف Excel'!$A:$AV,46,0)</f>
        <v>697.5</v>
      </c>
      <c r="N394" s="51">
        <f>VLOOKUP(A394,'[1]ناتج ملف Excel'!$A:$AV,47,0)</f>
        <v>3493.75</v>
      </c>
      <c r="O394" s="42"/>
      <c r="P394" s="47">
        <v>0</v>
      </c>
      <c r="Q394" s="48"/>
      <c r="R394" s="48">
        <v>0</v>
      </c>
      <c r="S394" s="72"/>
      <c r="T394" s="47">
        <v>3080</v>
      </c>
      <c r="U394" s="48">
        <f t="shared" si="48"/>
        <v>873.17708333333337</v>
      </c>
      <c r="V394" s="47">
        <v>700</v>
      </c>
      <c r="W394" s="42">
        <v>0</v>
      </c>
      <c r="X394" s="42">
        <f>(K394*2)/2</f>
        <v>13975</v>
      </c>
      <c r="Y394" s="46">
        <v>2795</v>
      </c>
      <c r="Z394" s="42">
        <v>0</v>
      </c>
      <c r="AA394" s="4">
        <f t="shared" si="50"/>
        <v>8144.4270833333339</v>
      </c>
      <c r="AB394" s="4">
        <f t="shared" si="49"/>
        <v>97733.125</v>
      </c>
      <c r="AC394" s="4">
        <f t="shared" si="51"/>
        <v>441533.125</v>
      </c>
    </row>
    <row r="395" spans="1:29" x14ac:dyDescent="0.2">
      <c r="A395" s="42">
        <v>400404</v>
      </c>
      <c r="B395" s="43" t="s">
        <v>266</v>
      </c>
      <c r="C395" s="42" t="s">
        <v>277</v>
      </c>
      <c r="D395" s="43" t="s">
        <v>39</v>
      </c>
      <c r="E395" s="43" t="s">
        <v>40</v>
      </c>
      <c r="F395" s="42" t="s">
        <v>252</v>
      </c>
      <c r="G395" s="43" t="s">
        <v>41</v>
      </c>
      <c r="H395" s="42">
        <v>47</v>
      </c>
      <c r="I395" s="44">
        <v>45126</v>
      </c>
      <c r="J395" s="43" t="s">
        <v>54</v>
      </c>
      <c r="K395" s="49">
        <v>11745</v>
      </c>
      <c r="L395" s="42"/>
      <c r="M395" s="51">
        <f>VLOOKUP(A395,'[1]ناتج ملف Excel'!$A:$AV,46,0)</f>
        <v>100</v>
      </c>
      <c r="N395" s="51">
        <f>VLOOKUP(A395,'[1]ناتج ملف Excel'!$A:$AV,47,0)</f>
        <v>2936.25</v>
      </c>
      <c r="O395" s="42"/>
      <c r="P395" s="47">
        <v>0</v>
      </c>
      <c r="Q395" s="48"/>
      <c r="R395" s="48">
        <v>0</v>
      </c>
      <c r="S395" s="72"/>
      <c r="T395" s="47">
        <v>3080</v>
      </c>
      <c r="U395" s="48">
        <f t="shared" si="48"/>
        <v>632.55208333333337</v>
      </c>
      <c r="V395" s="47">
        <v>700</v>
      </c>
      <c r="W395" s="42">
        <v>0</v>
      </c>
      <c r="X395" s="42">
        <v>0</v>
      </c>
      <c r="Y395" s="46">
        <v>2349</v>
      </c>
      <c r="Z395" s="42">
        <v>0</v>
      </c>
      <c r="AA395" s="4">
        <f t="shared" si="50"/>
        <v>6748.8020833333339</v>
      </c>
      <c r="AB395" s="4">
        <f t="shared" si="49"/>
        <v>80985.625</v>
      </c>
      <c r="AC395" s="4">
        <f t="shared" si="51"/>
        <v>230325.625</v>
      </c>
    </row>
    <row r="396" spans="1:29" x14ac:dyDescent="0.2">
      <c r="A396" s="42">
        <v>400405</v>
      </c>
      <c r="B396" s="43" t="s">
        <v>267</v>
      </c>
      <c r="C396" s="42" t="s">
        <v>277</v>
      </c>
      <c r="D396" s="43" t="s">
        <v>39</v>
      </c>
      <c r="E396" s="43" t="s">
        <v>40</v>
      </c>
      <c r="F396" s="42" t="s">
        <v>252</v>
      </c>
      <c r="G396" s="43" t="s">
        <v>41</v>
      </c>
      <c r="H396" s="42">
        <v>36</v>
      </c>
      <c r="I396" s="44">
        <v>45126</v>
      </c>
      <c r="J396" s="43" t="s">
        <v>54</v>
      </c>
      <c r="K396" s="46">
        <v>8105</v>
      </c>
      <c r="L396" s="42"/>
      <c r="M396" s="51">
        <f>VLOOKUP(A396,'[1]ناتج ملف Excel'!$A:$AV,46,0)</f>
        <v>100</v>
      </c>
      <c r="N396" s="51">
        <f>VLOOKUP(A396,'[1]ناتج ملف Excel'!$A:$AV,47,0)</f>
        <v>2026.25</v>
      </c>
      <c r="O396" s="42"/>
      <c r="P396" s="47">
        <v>0</v>
      </c>
      <c r="Q396" s="48"/>
      <c r="R396" s="48">
        <v>0</v>
      </c>
      <c r="S396" s="72"/>
      <c r="T396" s="47">
        <v>3080</v>
      </c>
      <c r="U396" s="48">
        <f t="shared" si="48"/>
        <v>442.96875</v>
      </c>
      <c r="V396" s="47">
        <v>700</v>
      </c>
      <c r="W396" s="42">
        <v>750</v>
      </c>
      <c r="X396" s="42">
        <v>0</v>
      </c>
      <c r="Y396" s="46">
        <v>1621</v>
      </c>
      <c r="Z396" s="42">
        <v>0</v>
      </c>
      <c r="AA396" s="4">
        <f t="shared" si="50"/>
        <v>5649.21875</v>
      </c>
      <c r="AB396" s="4">
        <f t="shared" si="49"/>
        <v>67790.625</v>
      </c>
      <c r="AC396" s="4">
        <f t="shared" si="51"/>
        <v>182450.625</v>
      </c>
    </row>
    <row r="397" spans="1:29" x14ac:dyDescent="0.2">
      <c r="A397" s="42">
        <v>400407</v>
      </c>
      <c r="B397" s="43">
        <v>4</v>
      </c>
      <c r="C397" s="42" t="s">
        <v>277</v>
      </c>
      <c r="D397" s="43" t="s">
        <v>39</v>
      </c>
      <c r="E397" s="43" t="s">
        <v>40</v>
      </c>
      <c r="F397" s="42" t="s">
        <v>252</v>
      </c>
      <c r="G397" s="43" t="s">
        <v>41</v>
      </c>
      <c r="H397" s="42">
        <v>42</v>
      </c>
      <c r="I397" s="44">
        <v>45126</v>
      </c>
      <c r="J397" s="43" t="s">
        <v>54</v>
      </c>
      <c r="K397" s="49">
        <v>14445</v>
      </c>
      <c r="L397" s="42"/>
      <c r="M397" s="51">
        <f>VLOOKUP(A397,'[1]ناتج ملف Excel'!$A:$AV,46,0)</f>
        <v>744.5</v>
      </c>
      <c r="N397" s="51">
        <f>VLOOKUP(A397,'[1]ناتج ملف Excel'!$A:$AV,47,0)</f>
        <v>3611.25</v>
      </c>
      <c r="O397" s="42"/>
      <c r="P397" s="47">
        <v>0</v>
      </c>
      <c r="Q397" s="48"/>
      <c r="R397" s="48">
        <v>0</v>
      </c>
      <c r="S397" s="72"/>
      <c r="T397" s="47">
        <v>3080</v>
      </c>
      <c r="U397" s="48">
        <f t="shared" si="48"/>
        <v>907.44791666666663</v>
      </c>
      <c r="V397" s="47">
        <v>700</v>
      </c>
      <c r="W397" s="42">
        <v>0</v>
      </c>
      <c r="X397" s="42">
        <f>(K397*2)/2</f>
        <v>14445</v>
      </c>
      <c r="Y397" s="46">
        <v>2889</v>
      </c>
      <c r="Z397" s="42">
        <v>0</v>
      </c>
      <c r="AA397" s="4">
        <f t="shared" si="50"/>
        <v>8343.1979166666661</v>
      </c>
      <c r="AB397" s="4">
        <f t="shared" si="49"/>
        <v>100118.375</v>
      </c>
      <c r="AC397" s="4">
        <f t="shared" si="51"/>
        <v>455198.375</v>
      </c>
    </row>
    <row r="398" spans="1:29" x14ac:dyDescent="0.2">
      <c r="A398" s="42">
        <v>400409</v>
      </c>
      <c r="B398" s="43" t="s">
        <v>266</v>
      </c>
      <c r="C398" s="42" t="s">
        <v>277</v>
      </c>
      <c r="D398" s="43" t="s">
        <v>39</v>
      </c>
      <c r="E398" s="43" t="s">
        <v>40</v>
      </c>
      <c r="F398" s="42" t="s">
        <v>252</v>
      </c>
      <c r="G398" s="43" t="s">
        <v>41</v>
      </c>
      <c r="H398" s="42">
        <v>40</v>
      </c>
      <c r="I398" s="44">
        <v>45126</v>
      </c>
      <c r="J398" s="43" t="s">
        <v>54</v>
      </c>
      <c r="K398" s="46">
        <v>6565</v>
      </c>
      <c r="L398" s="42"/>
      <c r="M398" s="51">
        <f>VLOOKUP(A398,'[1]ناتج ملف Excel'!$A:$AV,46,0)</f>
        <v>156.5</v>
      </c>
      <c r="N398" s="51">
        <f>VLOOKUP(A398,'[1]ناتج ملف Excel'!$A:$AV,47,0)</f>
        <v>1641.25</v>
      </c>
      <c r="O398" s="42"/>
      <c r="P398" s="47">
        <v>0</v>
      </c>
      <c r="Q398" s="48"/>
      <c r="R398" s="48">
        <v>0</v>
      </c>
      <c r="S398" s="72"/>
      <c r="T398" s="47">
        <v>3080</v>
      </c>
      <c r="U398" s="48">
        <f t="shared" si="48"/>
        <v>374.53125</v>
      </c>
      <c r="V398" s="47">
        <v>500</v>
      </c>
      <c r="W398" s="42">
        <v>0</v>
      </c>
      <c r="X398" s="42">
        <v>0</v>
      </c>
      <c r="Y398" s="46">
        <v>1313</v>
      </c>
      <c r="Z398" s="42">
        <v>0</v>
      </c>
      <c r="AA398" s="4">
        <f t="shared" si="50"/>
        <v>5252.28125</v>
      </c>
      <c r="AB398" s="4">
        <f t="shared" si="49"/>
        <v>63027.375</v>
      </c>
      <c r="AC398" s="4">
        <f t="shared" si="51"/>
        <v>147807.375</v>
      </c>
    </row>
    <row r="399" spans="1:29" x14ac:dyDescent="0.2">
      <c r="A399" s="42">
        <v>400411</v>
      </c>
      <c r="B399" s="43" t="s">
        <v>266</v>
      </c>
      <c r="C399" s="42" t="s">
        <v>277</v>
      </c>
      <c r="D399" s="43" t="s">
        <v>39</v>
      </c>
      <c r="E399" s="43" t="s">
        <v>40</v>
      </c>
      <c r="F399" s="42" t="s">
        <v>252</v>
      </c>
      <c r="G399" s="43" t="s">
        <v>41</v>
      </c>
      <c r="H399" s="42">
        <v>51</v>
      </c>
      <c r="I399" s="44">
        <v>45126</v>
      </c>
      <c r="J399" s="43" t="s">
        <v>54</v>
      </c>
      <c r="K399" s="49">
        <v>10915</v>
      </c>
      <c r="L399" s="42"/>
      <c r="M399" s="51">
        <f>VLOOKUP(A399,'[1]ناتج ملف Excel'!$A:$AV,46,0)</f>
        <v>100</v>
      </c>
      <c r="N399" s="51">
        <f>VLOOKUP(A399,'[1]ناتج ملف Excel'!$A:$AV,47,0)</f>
        <v>2728.75</v>
      </c>
      <c r="O399" s="42"/>
      <c r="P399" s="47">
        <v>0</v>
      </c>
      <c r="Q399" s="48"/>
      <c r="R399" s="48">
        <v>0</v>
      </c>
      <c r="S399" s="72"/>
      <c r="T399" s="47">
        <v>3080</v>
      </c>
      <c r="U399" s="48">
        <f t="shared" si="48"/>
        <v>589.32291666666663</v>
      </c>
      <c r="V399" s="47">
        <v>700</v>
      </c>
      <c r="W399" s="42">
        <v>750</v>
      </c>
      <c r="X399" s="42">
        <v>0</v>
      </c>
      <c r="Y399" s="46">
        <v>2183</v>
      </c>
      <c r="Z399" s="42">
        <v>0</v>
      </c>
      <c r="AA399" s="4">
        <f t="shared" si="50"/>
        <v>6498.0729166666661</v>
      </c>
      <c r="AB399" s="4">
        <f t="shared" si="49"/>
        <v>77976.875</v>
      </c>
      <c r="AC399" s="4">
        <f t="shared" si="51"/>
        <v>226356.875</v>
      </c>
    </row>
    <row r="400" spans="1:29" x14ac:dyDescent="0.2">
      <c r="A400" s="42">
        <v>400412</v>
      </c>
      <c r="B400" s="43">
        <v>4</v>
      </c>
      <c r="C400" s="42" t="s">
        <v>277</v>
      </c>
      <c r="D400" s="43" t="s">
        <v>39</v>
      </c>
      <c r="E400" s="43" t="s">
        <v>40</v>
      </c>
      <c r="F400" s="42" t="s">
        <v>252</v>
      </c>
      <c r="G400" s="43" t="s">
        <v>41</v>
      </c>
      <c r="H400" s="42">
        <v>47</v>
      </c>
      <c r="I400" s="44">
        <v>45126</v>
      </c>
      <c r="J400" s="43" t="s">
        <v>54</v>
      </c>
      <c r="K400" s="49">
        <v>14865</v>
      </c>
      <c r="L400" s="42"/>
      <c r="M400" s="51">
        <f>VLOOKUP(A400,'[1]ناتج ملف Excel'!$A:$AV,46,0)</f>
        <v>786.5</v>
      </c>
      <c r="N400" s="51">
        <f>VLOOKUP(A400,'[1]ناتج ملف Excel'!$A:$AV,47,0)</f>
        <v>3716.25</v>
      </c>
      <c r="O400" s="42"/>
      <c r="P400" s="47">
        <v>0</v>
      </c>
      <c r="Q400" s="48"/>
      <c r="R400" s="48">
        <v>0</v>
      </c>
      <c r="S400" s="72"/>
      <c r="T400" s="47">
        <v>3080</v>
      </c>
      <c r="U400" s="48">
        <f t="shared" si="48"/>
        <v>938.07291666666663</v>
      </c>
      <c r="V400" s="47">
        <v>700</v>
      </c>
      <c r="W400" s="42">
        <v>0</v>
      </c>
      <c r="X400" s="42">
        <f>(K400*2)/2</f>
        <v>14865</v>
      </c>
      <c r="Y400" s="46">
        <v>2973</v>
      </c>
      <c r="Z400" s="42">
        <v>0</v>
      </c>
      <c r="AA400" s="4">
        <f t="shared" si="50"/>
        <v>8520.8229166666661</v>
      </c>
      <c r="AB400" s="4">
        <f t="shared" si="49"/>
        <v>102249.875</v>
      </c>
      <c r="AC400" s="4">
        <f t="shared" si="51"/>
        <v>467409.875</v>
      </c>
    </row>
    <row r="401" spans="1:29" x14ac:dyDescent="0.2">
      <c r="A401" s="42">
        <v>400413</v>
      </c>
      <c r="B401" s="43">
        <v>3</v>
      </c>
      <c r="C401" s="42" t="s">
        <v>277</v>
      </c>
      <c r="D401" s="43" t="s">
        <v>39</v>
      </c>
      <c r="E401" s="43" t="s">
        <v>40</v>
      </c>
      <c r="F401" s="42" t="s">
        <v>252</v>
      </c>
      <c r="G401" s="43" t="s">
        <v>41</v>
      </c>
      <c r="H401" s="42">
        <v>53</v>
      </c>
      <c r="I401" s="44">
        <v>45126</v>
      </c>
      <c r="J401" s="43" t="s">
        <v>54</v>
      </c>
      <c r="K401" s="49">
        <v>13035</v>
      </c>
      <c r="L401" s="42"/>
      <c r="M401" s="51">
        <f>VLOOKUP(A401,'[1]ناتج ملف Excel'!$A:$AV,46,0)</f>
        <v>603.5</v>
      </c>
      <c r="N401" s="51">
        <f>VLOOKUP(A401,'[1]ناتج ملف Excel'!$A:$AV,47,0)</f>
        <v>3258.75</v>
      </c>
      <c r="O401" s="42"/>
      <c r="P401" s="47">
        <v>0</v>
      </c>
      <c r="Q401" s="48"/>
      <c r="R401" s="48">
        <v>0</v>
      </c>
      <c r="S401" s="72"/>
      <c r="T401" s="47">
        <v>3080</v>
      </c>
      <c r="U401" s="48">
        <f t="shared" si="48"/>
        <v>804.63541666666663</v>
      </c>
      <c r="V401" s="47">
        <v>700</v>
      </c>
      <c r="W401" s="42">
        <v>0</v>
      </c>
      <c r="X401" s="42">
        <v>0</v>
      </c>
      <c r="Y401" s="46">
        <v>2607</v>
      </c>
      <c r="Z401" s="42">
        <v>0</v>
      </c>
      <c r="AA401" s="4">
        <f t="shared" si="50"/>
        <v>7746.8854166666661</v>
      </c>
      <c r="AB401" s="4">
        <f t="shared" si="49"/>
        <v>92962.625</v>
      </c>
      <c r="AC401" s="4">
        <f t="shared" si="51"/>
        <v>257782.625</v>
      </c>
    </row>
    <row r="402" spans="1:29" x14ac:dyDescent="0.2">
      <c r="A402" s="42">
        <v>400414</v>
      </c>
      <c r="B402" s="43">
        <v>4</v>
      </c>
      <c r="C402" s="42" t="s">
        <v>277</v>
      </c>
      <c r="D402" s="43" t="s">
        <v>39</v>
      </c>
      <c r="E402" s="43" t="s">
        <v>40</v>
      </c>
      <c r="F402" s="42" t="s">
        <v>252</v>
      </c>
      <c r="G402" s="43" t="s">
        <v>41</v>
      </c>
      <c r="H402" s="42">
        <v>39</v>
      </c>
      <c r="I402" s="44">
        <v>45126</v>
      </c>
      <c r="J402" s="43" t="s">
        <v>54</v>
      </c>
      <c r="K402" s="49">
        <v>14865</v>
      </c>
      <c r="L402" s="42"/>
      <c r="M402" s="51">
        <f>VLOOKUP(A402,'[1]ناتج ملف Excel'!$A:$AV,46,0)</f>
        <v>786.5</v>
      </c>
      <c r="N402" s="51">
        <f>VLOOKUP(A402,'[1]ناتج ملف Excel'!$A:$AV,47,0)</f>
        <v>3716.25</v>
      </c>
      <c r="O402" s="42"/>
      <c r="P402" s="47">
        <v>0</v>
      </c>
      <c r="Q402" s="48"/>
      <c r="R402" s="48">
        <v>0</v>
      </c>
      <c r="S402" s="72"/>
      <c r="T402" s="47">
        <v>3080</v>
      </c>
      <c r="U402" s="48">
        <f t="shared" si="48"/>
        <v>938.07291666666663</v>
      </c>
      <c r="V402" s="47">
        <v>700</v>
      </c>
      <c r="W402" s="42">
        <v>0</v>
      </c>
      <c r="X402" s="42">
        <f>(K402*2)/2</f>
        <v>14865</v>
      </c>
      <c r="Y402" s="46">
        <v>2973</v>
      </c>
      <c r="Z402" s="42">
        <v>0</v>
      </c>
      <c r="AA402" s="4">
        <f t="shared" si="50"/>
        <v>8520.8229166666661</v>
      </c>
      <c r="AB402" s="4">
        <f t="shared" si="49"/>
        <v>102249.875</v>
      </c>
      <c r="AC402" s="4">
        <f t="shared" si="51"/>
        <v>467409.875</v>
      </c>
    </row>
    <row r="403" spans="1:29" x14ac:dyDescent="0.2">
      <c r="A403" s="42">
        <v>400415</v>
      </c>
      <c r="B403" s="43">
        <v>3</v>
      </c>
      <c r="C403" s="42" t="s">
        <v>277</v>
      </c>
      <c r="D403" s="43" t="s">
        <v>39</v>
      </c>
      <c r="E403" s="43" t="s">
        <v>40</v>
      </c>
      <c r="F403" s="42" t="s">
        <v>252</v>
      </c>
      <c r="G403" s="43" t="s">
        <v>41</v>
      </c>
      <c r="H403" s="42">
        <v>46</v>
      </c>
      <c r="I403" s="44">
        <v>45126</v>
      </c>
      <c r="J403" s="43" t="s">
        <v>54</v>
      </c>
      <c r="K403" s="49">
        <v>13035</v>
      </c>
      <c r="L403" s="42"/>
      <c r="M403" s="51">
        <f>VLOOKUP(A403,'[1]ناتج ملف Excel'!$A:$AV,46,0)</f>
        <v>603.5</v>
      </c>
      <c r="N403" s="51">
        <f>VLOOKUP(A403,'[1]ناتج ملف Excel'!$A:$AV,47,0)</f>
        <v>3258.75</v>
      </c>
      <c r="O403" s="42"/>
      <c r="P403" s="47">
        <v>0</v>
      </c>
      <c r="Q403" s="48"/>
      <c r="R403" s="48">
        <v>0</v>
      </c>
      <c r="S403" s="72"/>
      <c r="T403" s="47">
        <v>3080</v>
      </c>
      <c r="U403" s="48">
        <f t="shared" si="48"/>
        <v>804.63541666666663</v>
      </c>
      <c r="V403" s="47">
        <v>700</v>
      </c>
      <c r="W403" s="42">
        <v>0</v>
      </c>
      <c r="X403" s="42">
        <v>0</v>
      </c>
      <c r="Y403" s="46">
        <v>2607</v>
      </c>
      <c r="Z403" s="42">
        <v>0</v>
      </c>
      <c r="AA403" s="4">
        <f t="shared" si="50"/>
        <v>7746.8854166666661</v>
      </c>
      <c r="AB403" s="4">
        <f t="shared" si="49"/>
        <v>92962.625</v>
      </c>
      <c r="AC403" s="4">
        <f t="shared" si="51"/>
        <v>257782.625</v>
      </c>
    </row>
    <row r="404" spans="1:29" x14ac:dyDescent="0.2">
      <c r="A404" s="42">
        <v>400416</v>
      </c>
      <c r="B404" s="43">
        <v>3</v>
      </c>
      <c r="C404" s="42" t="s">
        <v>277</v>
      </c>
      <c r="D404" s="43" t="s">
        <v>39</v>
      </c>
      <c r="E404" s="43" t="s">
        <v>40</v>
      </c>
      <c r="F404" s="42" t="s">
        <v>252</v>
      </c>
      <c r="G404" s="43" t="s">
        <v>41</v>
      </c>
      <c r="H404" s="42">
        <v>48</v>
      </c>
      <c r="I404" s="44">
        <v>45126</v>
      </c>
      <c r="J404" s="43" t="s">
        <v>54</v>
      </c>
      <c r="K404" s="49">
        <v>12565</v>
      </c>
      <c r="L404" s="42"/>
      <c r="M404" s="51">
        <f>VLOOKUP(A404,'[1]ناتج ملف Excel'!$A:$AV,46,0)</f>
        <v>556.5</v>
      </c>
      <c r="N404" s="51">
        <f>VLOOKUP(A404,'[1]ناتج ملف Excel'!$A:$AV,47,0)</f>
        <v>3141.25</v>
      </c>
      <c r="O404" s="42"/>
      <c r="P404" s="47">
        <v>0</v>
      </c>
      <c r="Q404" s="48"/>
      <c r="R404" s="48">
        <v>0</v>
      </c>
      <c r="S404" s="72"/>
      <c r="T404" s="47">
        <v>3080</v>
      </c>
      <c r="U404" s="48">
        <f t="shared" si="48"/>
        <v>770.36458333333337</v>
      </c>
      <c r="V404" s="47">
        <v>700</v>
      </c>
      <c r="W404" s="42">
        <v>0</v>
      </c>
      <c r="X404" s="42">
        <v>0</v>
      </c>
      <c r="Y404" s="46">
        <v>2513</v>
      </c>
      <c r="Z404" s="42">
        <v>0</v>
      </c>
      <c r="AA404" s="4">
        <f t="shared" si="50"/>
        <v>7548.1145833333339</v>
      </c>
      <c r="AB404" s="4">
        <f t="shared" si="49"/>
        <v>90577.375</v>
      </c>
      <c r="AC404" s="4">
        <f t="shared" si="51"/>
        <v>249757.375</v>
      </c>
    </row>
    <row r="405" spans="1:29" x14ac:dyDescent="0.2">
      <c r="A405" s="42">
        <v>400417</v>
      </c>
      <c r="B405" s="43">
        <v>4</v>
      </c>
      <c r="C405" s="42" t="s">
        <v>284</v>
      </c>
      <c r="D405" s="43" t="s">
        <v>39</v>
      </c>
      <c r="E405" s="43" t="s">
        <v>40</v>
      </c>
      <c r="F405" s="42" t="s">
        <v>21</v>
      </c>
      <c r="G405" s="43" t="s">
        <v>21</v>
      </c>
      <c r="H405" s="42">
        <v>36</v>
      </c>
      <c r="I405" s="44">
        <v>45126</v>
      </c>
      <c r="J405" s="43" t="s">
        <v>54</v>
      </c>
      <c r="K405" s="49">
        <v>13035</v>
      </c>
      <c r="L405" s="42"/>
      <c r="M405" s="51">
        <f>VLOOKUP(A405,'[1]ناتج ملف Excel'!$A:$AV,46,0)</f>
        <v>603.5</v>
      </c>
      <c r="N405" s="51">
        <f>VLOOKUP(A405,'[1]ناتج ملف Excel'!$A:$AV,47,0)</f>
        <v>3258.75</v>
      </c>
      <c r="O405" s="42"/>
      <c r="P405" s="47">
        <v>0</v>
      </c>
      <c r="Q405" s="48"/>
      <c r="R405" s="48">
        <v>0</v>
      </c>
      <c r="S405" s="72"/>
      <c r="T405" s="47">
        <v>3080</v>
      </c>
      <c r="U405" s="48">
        <f t="shared" si="48"/>
        <v>804.63541666666663</v>
      </c>
      <c r="V405" s="47">
        <v>700</v>
      </c>
      <c r="W405" s="42">
        <v>0</v>
      </c>
      <c r="X405" s="42">
        <f>(K405*2)/2</f>
        <v>13035</v>
      </c>
      <c r="Y405" s="46">
        <v>2607</v>
      </c>
      <c r="Z405" s="42">
        <v>0</v>
      </c>
      <c r="AA405" s="4">
        <f t="shared" si="50"/>
        <v>7746.8854166666661</v>
      </c>
      <c r="AB405" s="4">
        <f t="shared" si="49"/>
        <v>92962.625</v>
      </c>
      <c r="AC405" s="4">
        <f t="shared" si="51"/>
        <v>414202.625</v>
      </c>
    </row>
    <row r="406" spans="1:29" x14ac:dyDescent="0.2">
      <c r="A406" s="42">
        <v>400418</v>
      </c>
      <c r="B406" s="43">
        <v>4</v>
      </c>
      <c r="C406" s="42" t="s">
        <v>277</v>
      </c>
      <c r="D406" s="43" t="s">
        <v>39</v>
      </c>
      <c r="E406" s="43" t="s">
        <v>40</v>
      </c>
      <c r="F406" s="42" t="s">
        <v>252</v>
      </c>
      <c r="G406" s="43" t="s">
        <v>41</v>
      </c>
      <c r="H406" s="42">
        <v>35</v>
      </c>
      <c r="I406" s="44">
        <v>45126</v>
      </c>
      <c r="J406" s="43" t="s">
        <v>54</v>
      </c>
      <c r="K406" s="46">
        <v>9459</v>
      </c>
      <c r="L406" s="42"/>
      <c r="M406" s="51">
        <f>VLOOKUP(A406,'[1]ناتج ملف Excel'!$A:$AV,46,0)</f>
        <v>445.9</v>
      </c>
      <c r="N406" s="51">
        <f>VLOOKUP(A406,'[1]ناتج ملف Excel'!$A:$AV,47,0)</f>
        <v>2364.75</v>
      </c>
      <c r="O406" s="42"/>
      <c r="P406" s="47">
        <v>0</v>
      </c>
      <c r="Q406" s="48"/>
      <c r="R406" s="48">
        <v>0</v>
      </c>
      <c r="S406" s="72"/>
      <c r="T406" s="47">
        <v>3080</v>
      </c>
      <c r="U406" s="48">
        <f t="shared" si="48"/>
        <v>585.55208333333337</v>
      </c>
      <c r="V406" s="47">
        <v>500</v>
      </c>
      <c r="W406" s="42">
        <v>0</v>
      </c>
      <c r="X406" s="42">
        <v>0</v>
      </c>
      <c r="Y406" s="50">
        <v>1891.8</v>
      </c>
      <c r="Z406" s="42">
        <v>0</v>
      </c>
      <c r="AA406" s="4">
        <f t="shared" si="50"/>
        <v>6476.2020833333336</v>
      </c>
      <c r="AB406" s="4">
        <f t="shared" si="49"/>
        <v>77714.425000000003</v>
      </c>
      <c r="AC406" s="4">
        <f t="shared" si="51"/>
        <v>197222.42499999999</v>
      </c>
    </row>
    <row r="407" spans="1:29" x14ac:dyDescent="0.2">
      <c r="A407" s="42">
        <v>400419</v>
      </c>
      <c r="B407" s="43" t="s">
        <v>266</v>
      </c>
      <c r="C407" s="42" t="s">
        <v>277</v>
      </c>
      <c r="D407" s="43" t="s">
        <v>39</v>
      </c>
      <c r="E407" s="43" t="s">
        <v>40</v>
      </c>
      <c r="F407" s="42" t="s">
        <v>252</v>
      </c>
      <c r="G407" s="43" t="s">
        <v>41</v>
      </c>
      <c r="H407" s="42">
        <v>41</v>
      </c>
      <c r="I407" s="44">
        <v>45126</v>
      </c>
      <c r="J407" s="43" t="s">
        <v>54</v>
      </c>
      <c r="K407" s="49">
        <v>11745</v>
      </c>
      <c r="L407" s="42"/>
      <c r="M407" s="51">
        <f>VLOOKUP(A407,'[1]ناتج ملف Excel'!$A:$AV,46,0)</f>
        <v>100</v>
      </c>
      <c r="N407" s="51">
        <f>VLOOKUP(A407,'[1]ناتج ملف Excel'!$A:$AV,47,0)</f>
        <v>2936.25</v>
      </c>
      <c r="O407" s="42"/>
      <c r="P407" s="47">
        <v>0</v>
      </c>
      <c r="Q407" s="48"/>
      <c r="R407" s="48">
        <v>0</v>
      </c>
      <c r="S407" s="72"/>
      <c r="T407" s="47">
        <v>3080</v>
      </c>
      <c r="U407" s="48">
        <f t="shared" si="48"/>
        <v>632.55208333333337</v>
      </c>
      <c r="V407" s="47">
        <v>700</v>
      </c>
      <c r="W407" s="42">
        <v>0</v>
      </c>
      <c r="X407" s="42">
        <v>0</v>
      </c>
      <c r="Y407" s="46">
        <v>2349</v>
      </c>
      <c r="Z407" s="42">
        <v>0</v>
      </c>
      <c r="AA407" s="4">
        <f t="shared" si="50"/>
        <v>6748.8020833333339</v>
      </c>
      <c r="AB407" s="4">
        <f t="shared" si="49"/>
        <v>80985.625</v>
      </c>
      <c r="AC407" s="4">
        <f t="shared" si="51"/>
        <v>230325.625</v>
      </c>
    </row>
    <row r="408" spans="1:29" x14ac:dyDescent="0.2">
      <c r="A408" s="42">
        <v>400420</v>
      </c>
      <c r="B408" s="43" t="s">
        <v>267</v>
      </c>
      <c r="C408" s="42" t="s">
        <v>277</v>
      </c>
      <c r="D408" s="43" t="s">
        <v>39</v>
      </c>
      <c r="E408" s="43" t="s">
        <v>40</v>
      </c>
      <c r="F408" s="42" t="s">
        <v>251</v>
      </c>
      <c r="G408" s="43" t="s">
        <v>41</v>
      </c>
      <c r="H408" s="42">
        <v>52</v>
      </c>
      <c r="I408" s="44">
        <v>45126</v>
      </c>
      <c r="J408" s="43" t="s">
        <v>54</v>
      </c>
      <c r="K408" s="49">
        <v>13820</v>
      </c>
      <c r="L408" s="42"/>
      <c r="M408" s="51">
        <f>VLOOKUP(A408,'[1]ناتج ملف Excel'!$A:$AV,46,0)</f>
        <v>100</v>
      </c>
      <c r="N408" s="51">
        <f>VLOOKUP(A408,'[1]ناتج ملف Excel'!$A:$AV,47,0)</f>
        <v>3455</v>
      </c>
      <c r="O408" s="42"/>
      <c r="P408" s="47">
        <v>0</v>
      </c>
      <c r="Q408" s="48"/>
      <c r="R408" s="48">
        <v>0</v>
      </c>
      <c r="S408" s="72"/>
      <c r="T408" s="47">
        <v>3080</v>
      </c>
      <c r="U408" s="48">
        <f t="shared" si="48"/>
        <v>740.625</v>
      </c>
      <c r="V408" s="47">
        <v>700</v>
      </c>
      <c r="W408" s="42">
        <v>0</v>
      </c>
      <c r="X408" s="42">
        <v>0</v>
      </c>
      <c r="Y408" s="46">
        <v>2764</v>
      </c>
      <c r="Z408" s="42">
        <v>0</v>
      </c>
      <c r="AA408" s="4">
        <f t="shared" si="50"/>
        <v>7375.625</v>
      </c>
      <c r="AB408" s="4">
        <f t="shared" si="49"/>
        <v>88507.5</v>
      </c>
      <c r="AC408" s="4">
        <f t="shared" si="51"/>
        <v>262747.5</v>
      </c>
    </row>
    <row r="409" spans="1:29" x14ac:dyDescent="0.2">
      <c r="A409" s="42">
        <v>400421</v>
      </c>
      <c r="B409" s="43" t="s">
        <v>266</v>
      </c>
      <c r="C409" s="42" t="s">
        <v>277</v>
      </c>
      <c r="D409" s="43" t="s">
        <v>39</v>
      </c>
      <c r="E409" s="43" t="s">
        <v>40</v>
      </c>
      <c r="F409" s="42" t="s">
        <v>251</v>
      </c>
      <c r="G409" s="43" t="s">
        <v>41</v>
      </c>
      <c r="H409" s="42">
        <v>54</v>
      </c>
      <c r="I409" s="44">
        <v>45126</v>
      </c>
      <c r="J409" s="43" t="s">
        <v>54</v>
      </c>
      <c r="K409" s="49">
        <v>12990</v>
      </c>
      <c r="L409" s="42"/>
      <c r="M409" s="51">
        <f>VLOOKUP(A409,'[1]ناتج ملف Excel'!$A:$AV,46,0)</f>
        <v>100</v>
      </c>
      <c r="N409" s="51">
        <f>VLOOKUP(A409,'[1]ناتج ملف Excel'!$A:$AV,47,0)</f>
        <v>3247.5</v>
      </c>
      <c r="O409" s="42"/>
      <c r="P409" s="47">
        <v>0</v>
      </c>
      <c r="Q409" s="48"/>
      <c r="R409" s="48">
        <v>0</v>
      </c>
      <c r="S409" s="72"/>
      <c r="T409" s="47">
        <v>3080</v>
      </c>
      <c r="U409" s="48">
        <f t="shared" si="48"/>
        <v>697.39583333333337</v>
      </c>
      <c r="V409" s="47">
        <v>700</v>
      </c>
      <c r="W409" s="42">
        <v>0</v>
      </c>
      <c r="X409" s="42">
        <v>0</v>
      </c>
      <c r="Y409" s="46">
        <v>2598</v>
      </c>
      <c r="Z409" s="42">
        <v>0</v>
      </c>
      <c r="AA409" s="4">
        <f t="shared" si="50"/>
        <v>7124.8958333333339</v>
      </c>
      <c r="AB409" s="4">
        <f t="shared" si="49"/>
        <v>85498.75</v>
      </c>
      <c r="AC409" s="4">
        <f t="shared" si="51"/>
        <v>249778.75</v>
      </c>
    </row>
    <row r="410" spans="1:29" x14ac:dyDescent="0.2">
      <c r="A410" s="42">
        <v>400422</v>
      </c>
      <c r="B410" s="43" t="s">
        <v>267</v>
      </c>
      <c r="C410" s="42" t="s">
        <v>277</v>
      </c>
      <c r="D410" s="43" t="s">
        <v>39</v>
      </c>
      <c r="E410" s="43" t="s">
        <v>40</v>
      </c>
      <c r="F410" s="42" t="s">
        <v>251</v>
      </c>
      <c r="G410" s="43" t="s">
        <v>41</v>
      </c>
      <c r="H410" s="42">
        <v>48</v>
      </c>
      <c r="I410" s="44">
        <v>45126</v>
      </c>
      <c r="J410" s="43" t="s">
        <v>54</v>
      </c>
      <c r="K410" s="49">
        <v>14445</v>
      </c>
      <c r="L410" s="42"/>
      <c r="M410" s="51">
        <f>VLOOKUP(A410,'[1]ناتج ملف Excel'!$A:$AV,46,0)</f>
        <v>100</v>
      </c>
      <c r="N410" s="51">
        <f>VLOOKUP(A410,'[1]ناتج ملف Excel'!$A:$AV,47,0)</f>
        <v>3611.25</v>
      </c>
      <c r="O410" s="42"/>
      <c r="P410" s="47">
        <v>0</v>
      </c>
      <c r="Q410" s="48"/>
      <c r="R410" s="48">
        <v>0</v>
      </c>
      <c r="S410" s="72"/>
      <c r="T410" s="47">
        <v>3080</v>
      </c>
      <c r="U410" s="48">
        <f t="shared" si="48"/>
        <v>773.17708333333337</v>
      </c>
      <c r="V410" s="47">
        <v>700</v>
      </c>
      <c r="W410" s="42">
        <v>0</v>
      </c>
      <c r="X410" s="42">
        <v>0</v>
      </c>
      <c r="Y410" s="46">
        <v>2889</v>
      </c>
      <c r="Z410" s="42">
        <v>0</v>
      </c>
      <c r="AA410" s="4">
        <f t="shared" si="50"/>
        <v>7564.4270833333339</v>
      </c>
      <c r="AB410" s="4">
        <f t="shared" si="49"/>
        <v>90773.125</v>
      </c>
      <c r="AC410" s="4">
        <f t="shared" si="51"/>
        <v>272513.125</v>
      </c>
    </row>
    <row r="411" spans="1:29" x14ac:dyDescent="0.2">
      <c r="A411" s="42">
        <v>400423</v>
      </c>
      <c r="B411" s="43" t="s">
        <v>266</v>
      </c>
      <c r="C411" s="42" t="s">
        <v>277</v>
      </c>
      <c r="D411" s="43" t="s">
        <v>39</v>
      </c>
      <c r="E411" s="43" t="s">
        <v>40</v>
      </c>
      <c r="F411" s="42" t="s">
        <v>251</v>
      </c>
      <c r="G411" s="43" t="s">
        <v>41</v>
      </c>
      <c r="H411" s="42">
        <v>50</v>
      </c>
      <c r="I411" s="44">
        <v>45126</v>
      </c>
      <c r="J411" s="43" t="s">
        <v>54</v>
      </c>
      <c r="K411" s="46">
        <v>9725</v>
      </c>
      <c r="L411" s="42"/>
      <c r="M411" s="51">
        <f>VLOOKUP(A411,'[1]ناتج ملف Excel'!$A:$AV,46,0)</f>
        <v>100</v>
      </c>
      <c r="N411" s="51">
        <f>VLOOKUP(A411,'[1]ناتج ملف Excel'!$A:$AV,47,0)</f>
        <v>2431.25</v>
      </c>
      <c r="O411" s="42"/>
      <c r="P411" s="47">
        <v>0</v>
      </c>
      <c r="Q411" s="48"/>
      <c r="R411" s="48">
        <v>0</v>
      </c>
      <c r="S411" s="72"/>
      <c r="T411" s="47">
        <v>3080</v>
      </c>
      <c r="U411" s="48">
        <f t="shared" si="48"/>
        <v>527.34375</v>
      </c>
      <c r="V411" s="47">
        <v>700</v>
      </c>
      <c r="W411" s="42">
        <v>0</v>
      </c>
      <c r="X411" s="42">
        <v>0</v>
      </c>
      <c r="Y411" s="46">
        <v>1945</v>
      </c>
      <c r="Z411" s="42">
        <v>0</v>
      </c>
      <c r="AA411" s="4">
        <f t="shared" si="50"/>
        <v>6138.59375</v>
      </c>
      <c r="AB411" s="4">
        <f t="shared" si="49"/>
        <v>73663.125</v>
      </c>
      <c r="AC411" s="4">
        <f t="shared" si="51"/>
        <v>198763.125</v>
      </c>
    </row>
    <row r="412" spans="1:29" x14ac:dyDescent="0.2">
      <c r="A412" s="42">
        <v>400424</v>
      </c>
      <c r="B412" s="43" t="s">
        <v>266</v>
      </c>
      <c r="C412" s="42" t="s">
        <v>277</v>
      </c>
      <c r="D412" s="43" t="s">
        <v>39</v>
      </c>
      <c r="E412" s="43" t="s">
        <v>40</v>
      </c>
      <c r="F412" s="42" t="s">
        <v>251</v>
      </c>
      <c r="G412" s="43" t="s">
        <v>41</v>
      </c>
      <c r="H412" s="42">
        <v>50</v>
      </c>
      <c r="I412" s="44">
        <v>45126</v>
      </c>
      <c r="J412" s="43" t="s">
        <v>54</v>
      </c>
      <c r="K412" s="49">
        <v>11390</v>
      </c>
      <c r="L412" s="42"/>
      <c r="M412" s="51">
        <f>VLOOKUP(A412,'[1]ناتج ملف Excel'!$A:$AV,46,0)</f>
        <v>100</v>
      </c>
      <c r="N412" s="51">
        <f>VLOOKUP(A412,'[1]ناتج ملف Excel'!$A:$AV,47,0)</f>
        <v>2847.5</v>
      </c>
      <c r="O412" s="42"/>
      <c r="P412" s="47">
        <v>0</v>
      </c>
      <c r="Q412" s="48"/>
      <c r="R412" s="48">
        <v>0</v>
      </c>
      <c r="S412" s="72"/>
      <c r="T412" s="47">
        <v>3080</v>
      </c>
      <c r="U412" s="48">
        <f t="shared" si="48"/>
        <v>614.0625</v>
      </c>
      <c r="V412" s="47">
        <v>700</v>
      </c>
      <c r="W412" s="42">
        <v>0</v>
      </c>
      <c r="X412" s="42">
        <v>0</v>
      </c>
      <c r="Y412" s="46">
        <v>2278</v>
      </c>
      <c r="Z412" s="42">
        <v>0</v>
      </c>
      <c r="AA412" s="4">
        <f t="shared" si="50"/>
        <v>6641.5625</v>
      </c>
      <c r="AB412" s="4">
        <f t="shared" si="49"/>
        <v>79698.75</v>
      </c>
      <c r="AC412" s="4">
        <f t="shared" si="51"/>
        <v>224778.75</v>
      </c>
    </row>
    <row r="413" spans="1:29" x14ac:dyDescent="0.2">
      <c r="A413" s="42">
        <v>400425</v>
      </c>
      <c r="B413" s="43">
        <v>3</v>
      </c>
      <c r="C413" s="42" t="s">
        <v>277</v>
      </c>
      <c r="D413" s="43" t="s">
        <v>39</v>
      </c>
      <c r="E413" s="43" t="s">
        <v>40</v>
      </c>
      <c r="F413" s="42" t="s">
        <v>251</v>
      </c>
      <c r="G413" s="43" t="s">
        <v>41</v>
      </c>
      <c r="H413" s="42">
        <v>51</v>
      </c>
      <c r="I413" s="44">
        <v>45126</v>
      </c>
      <c r="J413" s="43" t="s">
        <v>54</v>
      </c>
      <c r="K413" s="49">
        <v>18705</v>
      </c>
      <c r="L413" s="42"/>
      <c r="M413" s="51">
        <f>VLOOKUP(A413,'[1]ناتج ملف Excel'!$A:$AV,46,0)</f>
        <v>970.5</v>
      </c>
      <c r="N413" s="51">
        <f>VLOOKUP(A413,'[1]ناتج ملف Excel'!$A:$AV,47,0)</f>
        <v>4676.25</v>
      </c>
      <c r="O413" s="42"/>
      <c r="P413" s="47">
        <v>0</v>
      </c>
      <c r="Q413" s="48"/>
      <c r="R413" s="48">
        <v>0</v>
      </c>
      <c r="S413" s="72"/>
      <c r="T413" s="47">
        <v>3080</v>
      </c>
      <c r="U413" s="48">
        <f t="shared" si="48"/>
        <v>1176.40625</v>
      </c>
      <c r="V413" s="47">
        <v>900</v>
      </c>
      <c r="W413" s="42">
        <v>0</v>
      </c>
      <c r="X413" s="42">
        <v>0</v>
      </c>
      <c r="Y413" s="46">
        <v>3741</v>
      </c>
      <c r="Z413" s="42">
        <v>0</v>
      </c>
      <c r="AA413" s="4">
        <f t="shared" si="50"/>
        <v>9903.15625</v>
      </c>
      <c r="AB413" s="4">
        <f t="shared" si="49"/>
        <v>118837.875</v>
      </c>
      <c r="AC413" s="4">
        <f t="shared" si="51"/>
        <v>354097.875</v>
      </c>
    </row>
    <row r="414" spans="1:29" x14ac:dyDescent="0.2">
      <c r="A414" s="42">
        <v>400426</v>
      </c>
      <c r="B414" s="43" t="s">
        <v>267</v>
      </c>
      <c r="C414" s="42" t="s">
        <v>277</v>
      </c>
      <c r="D414" s="43" t="s">
        <v>39</v>
      </c>
      <c r="E414" s="43" t="s">
        <v>40</v>
      </c>
      <c r="F414" s="42" t="s">
        <v>251</v>
      </c>
      <c r="G414" s="43" t="s">
        <v>41</v>
      </c>
      <c r="H414" s="42">
        <v>39</v>
      </c>
      <c r="I414" s="44">
        <v>45126</v>
      </c>
      <c r="J414" s="43" t="s">
        <v>54</v>
      </c>
      <c r="K414" s="46">
        <v>9200</v>
      </c>
      <c r="L414" s="42"/>
      <c r="M414" s="51">
        <f>VLOOKUP(A414,'[1]ناتج ملف Excel'!$A:$AV,46,0)</f>
        <v>100</v>
      </c>
      <c r="N414" s="51">
        <f>VLOOKUP(A414,'[1]ناتج ملف Excel'!$A:$AV,47,0)</f>
        <v>2300</v>
      </c>
      <c r="O414" s="42"/>
      <c r="P414" s="47">
        <v>0</v>
      </c>
      <c r="Q414" s="48"/>
      <c r="R414" s="48">
        <v>0</v>
      </c>
      <c r="S414" s="72"/>
      <c r="T414" s="47">
        <v>3080</v>
      </c>
      <c r="U414" s="48">
        <f t="shared" si="48"/>
        <v>500</v>
      </c>
      <c r="V414" s="47">
        <v>700</v>
      </c>
      <c r="W414" s="42">
        <v>0</v>
      </c>
      <c r="X414" s="42">
        <v>0</v>
      </c>
      <c r="Y414" s="46">
        <v>1840</v>
      </c>
      <c r="Z414" s="42">
        <v>0</v>
      </c>
      <c r="AA414" s="4">
        <f t="shared" si="50"/>
        <v>5980</v>
      </c>
      <c r="AB414" s="4">
        <f t="shared" si="49"/>
        <v>71760</v>
      </c>
      <c r="AC414" s="4">
        <f t="shared" si="51"/>
        <v>190560</v>
      </c>
    </row>
    <row r="415" spans="1:29" x14ac:dyDescent="0.2">
      <c r="A415" s="42">
        <v>400427</v>
      </c>
      <c r="B415" s="43" t="s">
        <v>266</v>
      </c>
      <c r="C415" s="42" t="s">
        <v>277</v>
      </c>
      <c r="D415" s="43" t="s">
        <v>39</v>
      </c>
      <c r="E415" s="43" t="s">
        <v>40</v>
      </c>
      <c r="F415" s="42" t="s">
        <v>251</v>
      </c>
      <c r="G415" s="43" t="s">
        <v>41</v>
      </c>
      <c r="H415" s="42">
        <v>46</v>
      </c>
      <c r="I415" s="44">
        <v>45126</v>
      </c>
      <c r="J415" s="43" t="s">
        <v>54</v>
      </c>
      <c r="K415" s="49">
        <v>13975</v>
      </c>
      <c r="L415" s="42"/>
      <c r="M415" s="51">
        <f>VLOOKUP(A415,'[1]ناتج ملف Excel'!$A:$AV,46,0)</f>
        <v>100</v>
      </c>
      <c r="N415" s="51">
        <f>VLOOKUP(A415,'[1]ناتج ملف Excel'!$A:$AV,47,0)</f>
        <v>3493.75</v>
      </c>
      <c r="O415" s="42"/>
      <c r="P415" s="47">
        <v>0</v>
      </c>
      <c r="Q415" s="48"/>
      <c r="R415" s="48">
        <v>0</v>
      </c>
      <c r="S415" s="72"/>
      <c r="T415" s="47">
        <v>3080</v>
      </c>
      <c r="U415" s="48">
        <f t="shared" si="48"/>
        <v>748.69791666666663</v>
      </c>
      <c r="V415" s="47">
        <v>700</v>
      </c>
      <c r="W415" s="42">
        <v>0</v>
      </c>
      <c r="X415" s="42">
        <v>0</v>
      </c>
      <c r="Y415" s="46">
        <v>2795</v>
      </c>
      <c r="Z415" s="42">
        <v>0</v>
      </c>
      <c r="AA415" s="4">
        <f t="shared" si="50"/>
        <v>7422.4479166666661</v>
      </c>
      <c r="AB415" s="4">
        <f t="shared" si="49"/>
        <v>89069.375</v>
      </c>
      <c r="AC415" s="4">
        <f t="shared" si="51"/>
        <v>265169.375</v>
      </c>
    </row>
    <row r="416" spans="1:29" x14ac:dyDescent="0.2">
      <c r="A416" s="42">
        <v>400428</v>
      </c>
      <c r="B416" s="43" t="s">
        <v>266</v>
      </c>
      <c r="C416" s="42" t="s">
        <v>277</v>
      </c>
      <c r="D416" s="43" t="s">
        <v>39</v>
      </c>
      <c r="E416" s="43" t="s">
        <v>40</v>
      </c>
      <c r="F416" s="42" t="s">
        <v>251</v>
      </c>
      <c r="G416" s="43" t="s">
        <v>41</v>
      </c>
      <c r="H416" s="42">
        <v>44</v>
      </c>
      <c r="I416" s="44">
        <v>45126</v>
      </c>
      <c r="J416" s="43" t="s">
        <v>54</v>
      </c>
      <c r="K416" s="49">
        <v>12565</v>
      </c>
      <c r="L416" s="42"/>
      <c r="M416" s="51">
        <f>VLOOKUP(A416,'[1]ناتج ملف Excel'!$A:$AV,46,0)</f>
        <v>100</v>
      </c>
      <c r="N416" s="51">
        <f>VLOOKUP(A416,'[1]ناتج ملف Excel'!$A:$AV,47,0)</f>
        <v>3141.25</v>
      </c>
      <c r="O416" s="42"/>
      <c r="P416" s="47">
        <v>0</v>
      </c>
      <c r="Q416" s="48"/>
      <c r="R416" s="48">
        <v>0</v>
      </c>
      <c r="S416" s="72"/>
      <c r="T416" s="47">
        <v>3080</v>
      </c>
      <c r="U416" s="48">
        <f t="shared" si="48"/>
        <v>675.26041666666663</v>
      </c>
      <c r="V416" s="47">
        <v>700</v>
      </c>
      <c r="W416" s="42">
        <v>0</v>
      </c>
      <c r="X416" s="42">
        <v>0</v>
      </c>
      <c r="Y416" s="46">
        <v>2513</v>
      </c>
      <c r="Z416" s="42">
        <v>0</v>
      </c>
      <c r="AA416" s="4">
        <f t="shared" si="50"/>
        <v>6996.5104166666661</v>
      </c>
      <c r="AB416" s="4">
        <f t="shared" si="49"/>
        <v>83958.125</v>
      </c>
      <c r="AC416" s="4">
        <f t="shared" si="51"/>
        <v>243138.125</v>
      </c>
    </row>
    <row r="417" spans="1:29" x14ac:dyDescent="0.2">
      <c r="A417" s="42">
        <v>400429</v>
      </c>
      <c r="B417" s="43">
        <v>4</v>
      </c>
      <c r="C417" s="42" t="s">
        <v>277</v>
      </c>
      <c r="D417" s="43" t="s">
        <v>39</v>
      </c>
      <c r="E417" s="43" t="s">
        <v>40</v>
      </c>
      <c r="F417" s="42" t="s">
        <v>251</v>
      </c>
      <c r="G417" s="43" t="s">
        <v>41</v>
      </c>
      <c r="H417" s="42">
        <v>40</v>
      </c>
      <c r="I417" s="44">
        <v>45126</v>
      </c>
      <c r="J417" s="43" t="s">
        <v>54</v>
      </c>
      <c r="K417" s="49">
        <v>15885</v>
      </c>
      <c r="L417" s="42"/>
      <c r="M417" s="51">
        <f>VLOOKUP(A417,'[1]ناتج ملف Excel'!$A:$AV,46,0)</f>
        <v>888.5</v>
      </c>
      <c r="N417" s="51">
        <f>VLOOKUP(A417,'[1]ناتج ملف Excel'!$A:$AV,47,0)</f>
        <v>3971.25</v>
      </c>
      <c r="O417" s="42"/>
      <c r="P417" s="47">
        <v>0</v>
      </c>
      <c r="Q417" s="48"/>
      <c r="R417" s="48">
        <v>0</v>
      </c>
      <c r="S417" s="72"/>
      <c r="T417" s="47">
        <v>3080</v>
      </c>
      <c r="U417" s="48">
        <f t="shared" si="48"/>
        <v>1012.4479166666666</v>
      </c>
      <c r="V417" s="47">
        <v>700</v>
      </c>
      <c r="W417" s="42">
        <v>0</v>
      </c>
      <c r="X417" s="42">
        <f>(K417*2)/2</f>
        <v>15885</v>
      </c>
      <c r="Y417" s="46">
        <v>3177</v>
      </c>
      <c r="Z417" s="42">
        <v>0</v>
      </c>
      <c r="AA417" s="4">
        <f t="shared" si="50"/>
        <v>8952.1979166666661</v>
      </c>
      <c r="AB417" s="4">
        <f t="shared" si="49"/>
        <v>107426.375</v>
      </c>
      <c r="AC417" s="4">
        <f t="shared" si="51"/>
        <v>497066.375</v>
      </c>
    </row>
    <row r="418" spans="1:29" x14ac:dyDescent="0.2">
      <c r="A418" s="42">
        <v>400430</v>
      </c>
      <c r="B418" s="43">
        <v>4</v>
      </c>
      <c r="C418" s="42" t="s">
        <v>277</v>
      </c>
      <c r="D418" s="43" t="s">
        <v>39</v>
      </c>
      <c r="E418" s="43" t="s">
        <v>40</v>
      </c>
      <c r="F418" s="42" t="s">
        <v>251</v>
      </c>
      <c r="G418" s="43" t="s">
        <v>41</v>
      </c>
      <c r="H418" s="42">
        <v>40</v>
      </c>
      <c r="I418" s="44">
        <v>45126</v>
      </c>
      <c r="J418" s="43" t="s">
        <v>54</v>
      </c>
      <c r="K418" s="49">
        <v>13975</v>
      </c>
      <c r="L418" s="42"/>
      <c r="M418" s="51">
        <f>VLOOKUP(A418,'[1]ناتج ملف Excel'!$A:$AV,46,0)</f>
        <v>697.5</v>
      </c>
      <c r="N418" s="51">
        <f>VLOOKUP(A418,'[1]ناتج ملف Excel'!$A:$AV,47,0)</f>
        <v>3493.75</v>
      </c>
      <c r="O418" s="42"/>
      <c r="P418" s="47">
        <v>0</v>
      </c>
      <c r="Q418" s="48"/>
      <c r="R418" s="48">
        <v>0</v>
      </c>
      <c r="S418" s="72"/>
      <c r="T418" s="47">
        <v>3080</v>
      </c>
      <c r="U418" s="48">
        <f t="shared" si="48"/>
        <v>873.17708333333337</v>
      </c>
      <c r="V418" s="47">
        <v>700</v>
      </c>
      <c r="W418" s="42">
        <v>750</v>
      </c>
      <c r="X418" s="42">
        <f>(K418*2)/2</f>
        <v>13975</v>
      </c>
      <c r="Y418" s="46">
        <v>2795</v>
      </c>
      <c r="Z418" s="42">
        <v>0</v>
      </c>
      <c r="AA418" s="4">
        <f t="shared" si="50"/>
        <v>8144.4270833333339</v>
      </c>
      <c r="AB418" s="4">
        <f t="shared" si="49"/>
        <v>97733.125</v>
      </c>
      <c r="AC418" s="4">
        <f t="shared" si="51"/>
        <v>450533.125</v>
      </c>
    </row>
    <row r="419" spans="1:29" x14ac:dyDescent="0.2">
      <c r="A419" s="42">
        <v>400432</v>
      </c>
      <c r="B419" s="43" t="s">
        <v>266</v>
      </c>
      <c r="C419" s="42" t="s">
        <v>277</v>
      </c>
      <c r="D419" s="43" t="s">
        <v>39</v>
      </c>
      <c r="E419" s="43" t="s">
        <v>40</v>
      </c>
      <c r="F419" s="42" t="s">
        <v>251</v>
      </c>
      <c r="G419" s="43" t="s">
        <v>41</v>
      </c>
      <c r="H419" s="42">
        <v>44</v>
      </c>
      <c r="I419" s="44">
        <v>45126</v>
      </c>
      <c r="J419" s="43" t="s">
        <v>54</v>
      </c>
      <c r="K419" s="46">
        <v>9200</v>
      </c>
      <c r="L419" s="42"/>
      <c r="M419" s="51">
        <f>VLOOKUP(A419,'[1]ناتج ملف Excel'!$A:$AV,46,0)</f>
        <v>100</v>
      </c>
      <c r="N419" s="51">
        <f>VLOOKUP(A419,'[1]ناتج ملف Excel'!$A:$AV,47,0)</f>
        <v>2300</v>
      </c>
      <c r="O419" s="42"/>
      <c r="P419" s="47">
        <v>0</v>
      </c>
      <c r="Q419" s="48"/>
      <c r="R419" s="48">
        <v>0</v>
      </c>
      <c r="S419" s="72"/>
      <c r="T419" s="47">
        <v>3080</v>
      </c>
      <c r="U419" s="48">
        <f t="shared" si="48"/>
        <v>500</v>
      </c>
      <c r="V419" s="47">
        <v>700</v>
      </c>
      <c r="W419" s="42">
        <v>0</v>
      </c>
      <c r="X419" s="42">
        <v>0</v>
      </c>
      <c r="Y419" s="46">
        <v>1840</v>
      </c>
      <c r="Z419" s="42">
        <v>0</v>
      </c>
      <c r="AA419" s="4">
        <f t="shared" si="50"/>
        <v>5980</v>
      </c>
      <c r="AB419" s="4">
        <f t="shared" si="49"/>
        <v>71760</v>
      </c>
      <c r="AC419" s="4">
        <f t="shared" si="51"/>
        <v>190560</v>
      </c>
    </row>
    <row r="420" spans="1:29" x14ac:dyDescent="0.2">
      <c r="A420" s="42">
        <v>400433</v>
      </c>
      <c r="B420" s="43" t="s">
        <v>267</v>
      </c>
      <c r="C420" s="42" t="s">
        <v>277</v>
      </c>
      <c r="D420" s="43" t="s">
        <v>39</v>
      </c>
      <c r="E420" s="43" t="s">
        <v>40</v>
      </c>
      <c r="F420" s="42" t="s">
        <v>260</v>
      </c>
      <c r="G420" s="43" t="s">
        <v>41</v>
      </c>
      <c r="H420" s="42">
        <v>56</v>
      </c>
      <c r="I420" s="44">
        <v>45126</v>
      </c>
      <c r="J420" s="43" t="s">
        <v>54</v>
      </c>
      <c r="K420" s="49">
        <v>15855</v>
      </c>
      <c r="L420" s="42"/>
      <c r="M420" s="51">
        <f>VLOOKUP(A420,'[1]ناتج ملف Excel'!$A:$AV,46,0)</f>
        <v>100</v>
      </c>
      <c r="N420" s="51">
        <f>VLOOKUP(A420,'[1]ناتج ملف Excel'!$A:$AV,47,0)</f>
        <v>3963.75</v>
      </c>
      <c r="O420" s="47">
        <v>100</v>
      </c>
      <c r="P420" s="47">
        <v>0</v>
      </c>
      <c r="Q420" s="48"/>
      <c r="R420" s="48">
        <v>0</v>
      </c>
      <c r="S420" s="71"/>
      <c r="T420" s="47">
        <v>3080</v>
      </c>
      <c r="U420" s="48">
        <f t="shared" si="48"/>
        <v>867.44791666666663</v>
      </c>
      <c r="V420" s="47">
        <v>700</v>
      </c>
      <c r="W420" s="42">
        <v>750</v>
      </c>
      <c r="X420" s="42">
        <v>0</v>
      </c>
      <c r="Y420" s="46">
        <v>3171</v>
      </c>
      <c r="Z420" s="42">
        <v>0</v>
      </c>
      <c r="AA420" s="4">
        <f t="shared" si="50"/>
        <v>8111.1979166666661</v>
      </c>
      <c r="AB420" s="4">
        <f t="shared" si="49"/>
        <v>97334.375</v>
      </c>
      <c r="AC420" s="4">
        <f t="shared" si="51"/>
        <v>304994.375</v>
      </c>
    </row>
    <row r="421" spans="1:29" x14ac:dyDescent="0.2">
      <c r="A421" s="42">
        <v>400435</v>
      </c>
      <c r="B421" s="43">
        <v>4</v>
      </c>
      <c r="C421" s="42" t="s">
        <v>277</v>
      </c>
      <c r="D421" s="43" t="s">
        <v>39</v>
      </c>
      <c r="E421" s="43" t="s">
        <v>40</v>
      </c>
      <c r="F421" s="42" t="s">
        <v>260</v>
      </c>
      <c r="G421" s="43" t="s">
        <v>41</v>
      </c>
      <c r="H421" s="42">
        <v>32</v>
      </c>
      <c r="I421" s="44">
        <v>45126</v>
      </c>
      <c r="J421" s="43" t="s">
        <v>54</v>
      </c>
      <c r="K421" s="49">
        <v>11155</v>
      </c>
      <c r="L421" s="42"/>
      <c r="M421" s="51">
        <f>VLOOKUP(A421,'[1]ناتج ملف Excel'!$A:$AV,46,0)</f>
        <v>415.5</v>
      </c>
      <c r="N421" s="51">
        <f>VLOOKUP(A421,'[1]ناتج ملف Excel'!$A:$AV,47,0)</f>
        <v>2788.75</v>
      </c>
      <c r="O421" s="47">
        <v>300</v>
      </c>
      <c r="P421" s="47">
        <v>0</v>
      </c>
      <c r="Q421" s="48"/>
      <c r="R421" s="48">
        <v>0</v>
      </c>
      <c r="S421" s="71"/>
      <c r="T421" s="47">
        <v>3080</v>
      </c>
      <c r="U421" s="48">
        <f t="shared" si="48"/>
        <v>730.05208333333337</v>
      </c>
      <c r="V421" s="47">
        <v>700</v>
      </c>
      <c r="W421" s="42">
        <v>750</v>
      </c>
      <c r="X421" s="42">
        <f>(K421*2)/2</f>
        <v>11155</v>
      </c>
      <c r="Y421" s="46">
        <v>2231</v>
      </c>
      <c r="Z421" s="42">
        <v>0</v>
      </c>
      <c r="AA421" s="4">
        <f t="shared" si="50"/>
        <v>7314.3020833333339</v>
      </c>
      <c r="AB421" s="4">
        <f t="shared" si="49"/>
        <v>87771.625</v>
      </c>
      <c r="AC421" s="4">
        <f t="shared" si="51"/>
        <v>372891.625</v>
      </c>
    </row>
    <row r="422" spans="1:29" x14ac:dyDescent="0.2">
      <c r="A422" s="42">
        <v>400436</v>
      </c>
      <c r="B422" s="43">
        <v>4</v>
      </c>
      <c r="C422" s="42" t="s">
        <v>277</v>
      </c>
      <c r="D422" s="43" t="s">
        <v>39</v>
      </c>
      <c r="E422" s="43" t="s">
        <v>40</v>
      </c>
      <c r="F422" s="42" t="s">
        <v>240</v>
      </c>
      <c r="G422" s="43" t="s">
        <v>41</v>
      </c>
      <c r="H422" s="42">
        <v>34</v>
      </c>
      <c r="I422" s="44">
        <v>45126</v>
      </c>
      <c r="J422" s="43" t="s">
        <v>54</v>
      </c>
      <c r="K422" s="46">
        <v>9743</v>
      </c>
      <c r="L422" s="42"/>
      <c r="M422" s="51">
        <f>VLOOKUP(A422,'[1]ناتج ملف Excel'!$A:$AV,46,0)</f>
        <v>474.3</v>
      </c>
      <c r="N422" s="51">
        <f>VLOOKUP(A422,'[1]ناتج ملف Excel'!$A:$AV,47,0)</f>
        <v>2435.75</v>
      </c>
      <c r="O422" s="42"/>
      <c r="P422" s="47">
        <v>0</v>
      </c>
      <c r="Q422" s="48"/>
      <c r="R422" s="48">
        <v>0</v>
      </c>
      <c r="S422" s="72"/>
      <c r="T422" s="47">
        <v>3080</v>
      </c>
      <c r="U422" s="48">
        <f t="shared" si="48"/>
        <v>606.26041666666663</v>
      </c>
      <c r="V422" s="47">
        <v>500</v>
      </c>
      <c r="W422" s="42">
        <v>0</v>
      </c>
      <c r="X422" s="42">
        <v>0</v>
      </c>
      <c r="Y422" s="50">
        <v>1948.6</v>
      </c>
      <c r="Z422" s="42">
        <v>0</v>
      </c>
      <c r="AA422" s="4">
        <f t="shared" si="50"/>
        <v>6596.3104166666662</v>
      </c>
      <c r="AB422" s="4">
        <f t="shared" si="49"/>
        <v>79155.724999999991</v>
      </c>
      <c r="AC422" s="4">
        <f t="shared" si="51"/>
        <v>202071.72499999998</v>
      </c>
    </row>
    <row r="423" spans="1:29" x14ac:dyDescent="0.2">
      <c r="A423" s="42">
        <v>400437</v>
      </c>
      <c r="B423" s="43" t="s">
        <v>266</v>
      </c>
      <c r="C423" s="42" t="s">
        <v>277</v>
      </c>
      <c r="D423" s="43" t="s">
        <v>39</v>
      </c>
      <c r="E423" s="43" t="s">
        <v>40</v>
      </c>
      <c r="F423" s="42" t="s">
        <v>241</v>
      </c>
      <c r="G423" s="43" t="s">
        <v>41</v>
      </c>
      <c r="H423" s="42">
        <v>52</v>
      </c>
      <c r="I423" s="44">
        <v>45126</v>
      </c>
      <c r="J423" s="43" t="s">
        <v>54</v>
      </c>
      <c r="K423" s="49">
        <v>13820</v>
      </c>
      <c r="L423" s="42"/>
      <c r="M423" s="51">
        <f>VLOOKUP(A423,'[1]ناتج ملف Excel'!$A:$AV,46,0)</f>
        <v>100</v>
      </c>
      <c r="N423" s="51">
        <f>VLOOKUP(A423,'[1]ناتج ملف Excel'!$A:$AV,47,0)</f>
        <v>3455</v>
      </c>
      <c r="O423" s="42"/>
      <c r="P423" s="47">
        <v>0</v>
      </c>
      <c r="Q423" s="48"/>
      <c r="R423" s="48">
        <v>0</v>
      </c>
      <c r="S423" s="72"/>
      <c r="T423" s="47">
        <v>3080</v>
      </c>
      <c r="U423" s="48">
        <f t="shared" si="48"/>
        <v>740.625</v>
      </c>
      <c r="V423" s="47">
        <v>700</v>
      </c>
      <c r="W423" s="42">
        <v>0</v>
      </c>
      <c r="X423" s="42">
        <v>0</v>
      </c>
      <c r="Y423" s="46">
        <v>2764</v>
      </c>
      <c r="Z423" s="42">
        <v>0</v>
      </c>
      <c r="AA423" s="4">
        <f t="shared" si="50"/>
        <v>7375.625</v>
      </c>
      <c r="AB423" s="4">
        <f t="shared" si="49"/>
        <v>88507.5</v>
      </c>
      <c r="AC423" s="4">
        <f t="shared" si="51"/>
        <v>262747.5</v>
      </c>
    </row>
    <row r="424" spans="1:29" x14ac:dyDescent="0.2">
      <c r="A424" s="42">
        <v>400438</v>
      </c>
      <c r="B424" s="43">
        <v>4</v>
      </c>
      <c r="C424" s="42" t="s">
        <v>277</v>
      </c>
      <c r="D424" s="43" t="s">
        <v>39</v>
      </c>
      <c r="E424" s="43" t="s">
        <v>40</v>
      </c>
      <c r="F424" s="42" t="s">
        <v>241</v>
      </c>
      <c r="G424" s="43" t="s">
        <v>41</v>
      </c>
      <c r="H424" s="42">
        <v>46</v>
      </c>
      <c r="I424" s="44">
        <v>45126</v>
      </c>
      <c r="J424" s="43" t="s">
        <v>54</v>
      </c>
      <c r="K424" s="49">
        <v>18705</v>
      </c>
      <c r="L424" s="42"/>
      <c r="M424" s="51">
        <f>VLOOKUP(A424,'[1]ناتج ملف Excel'!$A:$AV,46,0)</f>
        <v>970.5</v>
      </c>
      <c r="N424" s="51">
        <f>VLOOKUP(A424,'[1]ناتج ملف Excel'!$A:$AV,47,0)</f>
        <v>4676.25</v>
      </c>
      <c r="O424" s="42"/>
      <c r="P424" s="47">
        <v>0</v>
      </c>
      <c r="Q424" s="48"/>
      <c r="R424" s="48">
        <v>0</v>
      </c>
      <c r="S424" s="72"/>
      <c r="T424" s="47">
        <v>3080</v>
      </c>
      <c r="U424" s="48">
        <f t="shared" si="48"/>
        <v>1176.40625</v>
      </c>
      <c r="V424" s="47">
        <v>900</v>
      </c>
      <c r="W424" s="42">
        <v>750</v>
      </c>
      <c r="X424" s="42">
        <f>(K424*2)/2</f>
        <v>18705</v>
      </c>
      <c r="Y424" s="46">
        <v>3741</v>
      </c>
      <c r="Z424" s="42">
        <v>0</v>
      </c>
      <c r="AA424" s="4">
        <f t="shared" si="50"/>
        <v>9903.15625</v>
      </c>
      <c r="AB424" s="4">
        <f t="shared" si="49"/>
        <v>118837.875</v>
      </c>
      <c r="AC424" s="4">
        <f t="shared" si="51"/>
        <v>587557.875</v>
      </c>
    </row>
    <row r="425" spans="1:29" x14ac:dyDescent="0.2">
      <c r="A425" s="42">
        <v>400439</v>
      </c>
      <c r="B425" s="43">
        <v>3</v>
      </c>
      <c r="C425" s="42" t="s">
        <v>277</v>
      </c>
      <c r="D425" s="43" t="s">
        <v>39</v>
      </c>
      <c r="E425" s="43" t="s">
        <v>40</v>
      </c>
      <c r="F425" s="42" t="s">
        <v>241</v>
      </c>
      <c r="G425" s="43" t="s">
        <v>41</v>
      </c>
      <c r="H425" s="42">
        <v>54</v>
      </c>
      <c r="I425" s="44">
        <v>45126</v>
      </c>
      <c r="J425" s="43" t="s">
        <v>54</v>
      </c>
      <c r="K425" s="49">
        <v>17415</v>
      </c>
      <c r="L425" s="42"/>
      <c r="M425" s="51">
        <f>VLOOKUP(A425,'[1]ناتج ملف Excel'!$A:$AV,46,0)</f>
        <v>1041.5</v>
      </c>
      <c r="N425" s="51">
        <f>VLOOKUP(A425,'[1]ناتج ملف Excel'!$A:$AV,47,0)</f>
        <v>4353.75</v>
      </c>
      <c r="O425" s="42"/>
      <c r="P425" s="47">
        <v>0</v>
      </c>
      <c r="Q425" s="48"/>
      <c r="R425" s="48">
        <v>0</v>
      </c>
      <c r="S425" s="72"/>
      <c r="T425" s="47">
        <v>3080</v>
      </c>
      <c r="U425" s="48">
        <f t="shared" si="48"/>
        <v>1124.0104166666667</v>
      </c>
      <c r="V425" s="47">
        <v>700</v>
      </c>
      <c r="W425" s="42">
        <v>0</v>
      </c>
      <c r="X425" s="42">
        <v>0</v>
      </c>
      <c r="Y425" s="46">
        <v>3483</v>
      </c>
      <c r="Z425" s="42">
        <v>0</v>
      </c>
      <c r="AA425" s="4">
        <f t="shared" si="50"/>
        <v>9599.2604166666679</v>
      </c>
      <c r="AB425" s="4">
        <f t="shared" si="49"/>
        <v>115191.12500000001</v>
      </c>
      <c r="AC425" s="4">
        <f t="shared" si="51"/>
        <v>332571.125</v>
      </c>
    </row>
    <row r="426" spans="1:29" x14ac:dyDescent="0.2">
      <c r="A426" s="42">
        <v>400440</v>
      </c>
      <c r="B426" s="43">
        <v>4</v>
      </c>
      <c r="C426" s="42" t="s">
        <v>277</v>
      </c>
      <c r="D426" s="43" t="s">
        <v>39</v>
      </c>
      <c r="E426" s="43" t="s">
        <v>40</v>
      </c>
      <c r="F426" s="42" t="s">
        <v>241</v>
      </c>
      <c r="G426" s="43" t="s">
        <v>41</v>
      </c>
      <c r="H426" s="42">
        <v>44</v>
      </c>
      <c r="I426" s="44">
        <v>45126</v>
      </c>
      <c r="J426" s="43" t="s">
        <v>54</v>
      </c>
      <c r="K426" s="49">
        <v>17415</v>
      </c>
      <c r="L426" s="42"/>
      <c r="M426" s="51">
        <f>VLOOKUP(A426,'[1]ناتج ملف Excel'!$A:$AV,46,0)</f>
        <v>1041.5</v>
      </c>
      <c r="N426" s="51">
        <f>VLOOKUP(A426,'[1]ناتج ملف Excel'!$A:$AV,47,0)</f>
        <v>4353.75</v>
      </c>
      <c r="O426" s="42"/>
      <c r="P426" s="47">
        <v>0</v>
      </c>
      <c r="Q426" s="48"/>
      <c r="R426" s="48">
        <v>0</v>
      </c>
      <c r="S426" s="72"/>
      <c r="T426" s="47">
        <v>3080</v>
      </c>
      <c r="U426" s="48">
        <f t="shared" si="48"/>
        <v>1124.0104166666667</v>
      </c>
      <c r="V426" s="47">
        <v>700</v>
      </c>
      <c r="W426" s="42">
        <v>0</v>
      </c>
      <c r="X426" s="42">
        <f>(K426*2)/2</f>
        <v>17415</v>
      </c>
      <c r="Y426" s="46">
        <v>3483</v>
      </c>
      <c r="Z426" s="42">
        <v>0</v>
      </c>
      <c r="AA426" s="4">
        <f t="shared" si="50"/>
        <v>9599.2604166666679</v>
      </c>
      <c r="AB426" s="4">
        <f t="shared" si="49"/>
        <v>115191.12500000001</v>
      </c>
      <c r="AC426" s="4">
        <f t="shared" si="51"/>
        <v>541551.125</v>
      </c>
    </row>
    <row r="427" spans="1:29" x14ac:dyDescent="0.2">
      <c r="A427" s="42">
        <v>400441</v>
      </c>
      <c r="B427" s="43" t="s">
        <v>266</v>
      </c>
      <c r="C427" s="42" t="s">
        <v>277</v>
      </c>
      <c r="D427" s="43" t="s">
        <v>39</v>
      </c>
      <c r="E427" s="43" t="s">
        <v>40</v>
      </c>
      <c r="F427" s="42" t="s">
        <v>241</v>
      </c>
      <c r="G427" s="43" t="s">
        <v>41</v>
      </c>
      <c r="H427" s="42">
        <v>47</v>
      </c>
      <c r="I427" s="44">
        <v>45126</v>
      </c>
      <c r="J427" s="43" t="s">
        <v>54</v>
      </c>
      <c r="K427" s="49">
        <v>12565</v>
      </c>
      <c r="L427" s="42"/>
      <c r="M427" s="51">
        <f>VLOOKUP(A427,'[1]ناتج ملف Excel'!$A:$AV,46,0)</f>
        <v>100</v>
      </c>
      <c r="N427" s="51">
        <f>VLOOKUP(A427,'[1]ناتج ملف Excel'!$A:$AV,47,0)</f>
        <v>3141.25</v>
      </c>
      <c r="O427" s="42"/>
      <c r="P427" s="47">
        <v>0</v>
      </c>
      <c r="Q427" s="48"/>
      <c r="R427" s="48">
        <v>0</v>
      </c>
      <c r="S427" s="72"/>
      <c r="T427" s="47">
        <v>3080</v>
      </c>
      <c r="U427" s="48">
        <f t="shared" si="48"/>
        <v>675.26041666666663</v>
      </c>
      <c r="V427" s="47">
        <v>700</v>
      </c>
      <c r="W427" s="42">
        <v>750</v>
      </c>
      <c r="X427" s="42">
        <v>0</v>
      </c>
      <c r="Y427" s="46">
        <v>2513</v>
      </c>
      <c r="Z427" s="42">
        <v>0</v>
      </c>
      <c r="AA427" s="4">
        <f t="shared" si="50"/>
        <v>6996.5104166666661</v>
      </c>
      <c r="AB427" s="4">
        <f t="shared" si="49"/>
        <v>83958.125</v>
      </c>
      <c r="AC427" s="4">
        <f t="shared" si="51"/>
        <v>252138.125</v>
      </c>
    </row>
    <row r="428" spans="1:29" x14ac:dyDescent="0.2">
      <c r="A428" s="42">
        <v>400443</v>
      </c>
      <c r="B428" s="43">
        <v>7</v>
      </c>
      <c r="C428" s="43" t="s">
        <v>53</v>
      </c>
      <c r="D428" s="43" t="s">
        <v>53</v>
      </c>
      <c r="E428" s="43" t="s">
        <v>40</v>
      </c>
      <c r="F428" s="42" t="s">
        <v>21</v>
      </c>
      <c r="G428" s="43" t="s">
        <v>21</v>
      </c>
      <c r="H428" s="42">
        <v>44</v>
      </c>
      <c r="I428" s="44">
        <v>45404</v>
      </c>
      <c r="J428" s="43" t="s">
        <v>54</v>
      </c>
      <c r="K428" s="49">
        <v>14865</v>
      </c>
      <c r="L428" s="42"/>
      <c r="M428" s="51">
        <f>VLOOKUP(A428,'[1]ناتج ملف Excel'!$A:$AV,46,0)</f>
        <v>786.5</v>
      </c>
      <c r="N428" s="51">
        <f>VLOOKUP(A428,'[1]ناتج ملف Excel'!$A:$AV,47,0)</f>
        <v>3716.25</v>
      </c>
      <c r="O428" s="42"/>
      <c r="P428" s="47">
        <v>0</v>
      </c>
      <c r="Q428" s="48"/>
      <c r="R428" s="48">
        <v>0</v>
      </c>
      <c r="S428" s="72"/>
      <c r="T428" s="47">
        <v>3080</v>
      </c>
      <c r="U428" s="48">
        <f t="shared" si="48"/>
        <v>938.07291666666663</v>
      </c>
      <c r="V428" s="47">
        <v>700</v>
      </c>
      <c r="W428" s="42">
        <v>750</v>
      </c>
      <c r="X428" s="42">
        <v>2512.125</v>
      </c>
      <c r="Y428" s="42">
        <v>0</v>
      </c>
      <c r="Z428" s="42">
        <v>0</v>
      </c>
      <c r="AA428" s="4">
        <f t="shared" si="50"/>
        <v>8520.8229166666661</v>
      </c>
      <c r="AB428" s="4">
        <f t="shared" si="49"/>
        <v>102249.875</v>
      </c>
      <c r="AC428" s="4">
        <f t="shared" si="51"/>
        <v>328175.375</v>
      </c>
    </row>
    <row r="429" spans="1:29" x14ac:dyDescent="0.2">
      <c r="A429" s="42">
        <v>400444</v>
      </c>
      <c r="B429" s="43">
        <v>4</v>
      </c>
      <c r="C429" s="43" t="s">
        <v>53</v>
      </c>
      <c r="D429" s="43" t="s">
        <v>53</v>
      </c>
      <c r="E429" s="43" t="s">
        <v>40</v>
      </c>
      <c r="F429" s="42" t="s">
        <v>21</v>
      </c>
      <c r="G429" s="43" t="s">
        <v>21</v>
      </c>
      <c r="H429" s="42">
        <v>43</v>
      </c>
      <c r="I429" s="44">
        <v>45404</v>
      </c>
      <c r="J429" s="43" t="s">
        <v>54</v>
      </c>
      <c r="K429" s="49">
        <v>12565</v>
      </c>
      <c r="L429" s="42"/>
      <c r="M429" s="51">
        <f>VLOOKUP(A429,'[1]ناتج ملف Excel'!$A:$AV,46,0)</f>
        <v>556.5</v>
      </c>
      <c r="N429" s="51">
        <f>VLOOKUP(A429,'[1]ناتج ملف Excel'!$A:$AV,47,0)</f>
        <v>3141.25</v>
      </c>
      <c r="O429" s="42"/>
      <c r="P429" s="47">
        <v>0</v>
      </c>
      <c r="Q429" s="48"/>
      <c r="R429" s="48">
        <v>0</v>
      </c>
      <c r="S429" s="72"/>
      <c r="T429" s="47">
        <v>3080</v>
      </c>
      <c r="U429" s="48">
        <f t="shared" si="48"/>
        <v>770.36458333333337</v>
      </c>
      <c r="V429" s="47">
        <v>700</v>
      </c>
      <c r="W429" s="42">
        <v>750</v>
      </c>
      <c r="X429" s="42">
        <v>2116.625</v>
      </c>
      <c r="Y429" s="42">
        <v>0</v>
      </c>
      <c r="Z429" s="42">
        <v>0</v>
      </c>
      <c r="AA429" s="4">
        <f t="shared" si="50"/>
        <v>7548.1145833333339</v>
      </c>
      <c r="AB429" s="4">
        <f t="shared" si="49"/>
        <v>90577.375</v>
      </c>
      <c r="AC429" s="4">
        <f t="shared" si="51"/>
        <v>284156.875</v>
      </c>
    </row>
    <row r="430" spans="1:29" x14ac:dyDescent="0.2">
      <c r="A430" s="42">
        <v>400446</v>
      </c>
      <c r="B430" s="43">
        <v>4</v>
      </c>
      <c r="C430" s="42" t="s">
        <v>277</v>
      </c>
      <c r="D430" s="43" t="s">
        <v>39</v>
      </c>
      <c r="E430" s="43" t="s">
        <v>40</v>
      </c>
      <c r="F430" s="42" t="s">
        <v>260</v>
      </c>
      <c r="G430" s="43" t="s">
        <v>41</v>
      </c>
      <c r="H430" s="42">
        <v>38</v>
      </c>
      <c r="I430" s="44">
        <v>45403</v>
      </c>
      <c r="J430" s="43" t="s">
        <v>54</v>
      </c>
      <c r="K430" s="49">
        <v>10125</v>
      </c>
      <c r="L430" s="42"/>
      <c r="M430" s="51">
        <f>VLOOKUP(A430,'[1]ناتج ملف Excel'!$A:$AV,46,0)</f>
        <v>512.5</v>
      </c>
      <c r="N430" s="51">
        <f>VLOOKUP(A430,'[1]ناتج ملف Excel'!$A:$AV,47,0)</f>
        <v>2531.25</v>
      </c>
      <c r="O430" s="47">
        <v>300</v>
      </c>
      <c r="P430" s="47">
        <v>0</v>
      </c>
      <c r="Q430" s="48"/>
      <c r="R430" s="48">
        <v>0</v>
      </c>
      <c r="S430" s="71"/>
      <c r="T430" s="47">
        <v>3080</v>
      </c>
      <c r="U430" s="48">
        <f t="shared" si="48"/>
        <v>696.61458333333337</v>
      </c>
      <c r="V430" s="47">
        <v>500</v>
      </c>
      <c r="W430" s="42">
        <v>0</v>
      </c>
      <c r="X430" s="42">
        <v>0</v>
      </c>
      <c r="Y430" s="46">
        <v>2025</v>
      </c>
      <c r="Z430" s="42">
        <v>0</v>
      </c>
      <c r="AA430" s="4">
        <f t="shared" si="50"/>
        <v>7120.3645833333339</v>
      </c>
      <c r="AB430" s="4">
        <f t="shared" si="49"/>
        <v>85444.375</v>
      </c>
      <c r="AC430" s="4">
        <f t="shared" si="51"/>
        <v>212944.375</v>
      </c>
    </row>
    <row r="431" spans="1:29" x14ac:dyDescent="0.2">
      <c r="A431" s="42">
        <v>400447</v>
      </c>
      <c r="B431" s="43">
        <v>4</v>
      </c>
      <c r="C431" s="42" t="s">
        <v>277</v>
      </c>
      <c r="D431" s="43" t="s">
        <v>39</v>
      </c>
      <c r="E431" s="43" t="s">
        <v>40</v>
      </c>
      <c r="F431" s="42" t="s">
        <v>251</v>
      </c>
      <c r="G431" s="43" t="s">
        <v>41</v>
      </c>
      <c r="H431" s="42">
        <v>33</v>
      </c>
      <c r="I431" s="44">
        <v>45403</v>
      </c>
      <c r="J431" s="43" t="s">
        <v>54</v>
      </c>
      <c r="K431" s="46">
        <v>9837</v>
      </c>
      <c r="L431" s="42"/>
      <c r="M431" s="51">
        <f>VLOOKUP(A431,'[1]ناتج ملف Excel'!$A:$AV,46,0)</f>
        <v>483.7</v>
      </c>
      <c r="N431" s="51">
        <f>VLOOKUP(A431,'[1]ناتج ملف Excel'!$A:$AV,47,0)</f>
        <v>2459.25</v>
      </c>
      <c r="O431" s="42"/>
      <c r="P431" s="47">
        <v>0</v>
      </c>
      <c r="Q431" s="48"/>
      <c r="R431" s="48">
        <v>0</v>
      </c>
      <c r="S431" s="72"/>
      <c r="T431" s="47">
        <v>3080</v>
      </c>
      <c r="U431" s="48">
        <f t="shared" si="48"/>
        <v>613.11458333333337</v>
      </c>
      <c r="V431" s="47">
        <v>500</v>
      </c>
      <c r="W431" s="42">
        <v>0</v>
      </c>
      <c r="X431" s="42">
        <v>0</v>
      </c>
      <c r="Y431" s="50">
        <v>1967.4</v>
      </c>
      <c r="Z431" s="42">
        <v>0</v>
      </c>
      <c r="AA431" s="4">
        <f t="shared" si="50"/>
        <v>6636.0645833333338</v>
      </c>
      <c r="AB431" s="4">
        <f t="shared" si="49"/>
        <v>79632.775000000009</v>
      </c>
      <c r="AC431" s="4">
        <f t="shared" si="51"/>
        <v>203676.77500000002</v>
      </c>
    </row>
    <row r="432" spans="1:29" x14ac:dyDescent="0.2">
      <c r="A432" s="42">
        <v>400448</v>
      </c>
      <c r="B432" s="43" t="s">
        <v>266</v>
      </c>
      <c r="C432" s="42" t="s">
        <v>277</v>
      </c>
      <c r="D432" s="43" t="s">
        <v>39</v>
      </c>
      <c r="E432" s="43" t="s">
        <v>40</v>
      </c>
      <c r="F432" s="42" t="s">
        <v>260</v>
      </c>
      <c r="G432" s="43" t="s">
        <v>41</v>
      </c>
      <c r="H432" s="42">
        <v>33</v>
      </c>
      <c r="I432" s="44">
        <v>45403</v>
      </c>
      <c r="J432" s="43" t="s">
        <v>54</v>
      </c>
      <c r="K432" s="46">
        <v>8440</v>
      </c>
      <c r="L432" s="42"/>
      <c r="M432" s="51">
        <f>VLOOKUP(A432,'[1]ناتج ملف Excel'!$A:$AV,46,0)</f>
        <v>300</v>
      </c>
      <c r="N432" s="51">
        <f>VLOOKUP(A432,'[1]ناتج ملف Excel'!$A:$AV,47,0)</f>
        <v>2110</v>
      </c>
      <c r="O432" s="47">
        <v>100</v>
      </c>
      <c r="P432" s="47">
        <v>0</v>
      </c>
      <c r="Q432" s="48"/>
      <c r="R432" s="48">
        <v>0</v>
      </c>
      <c r="S432" s="71"/>
      <c r="T432" s="47">
        <v>3080</v>
      </c>
      <c r="U432" s="48">
        <f t="shared" si="48"/>
        <v>522.91666666666663</v>
      </c>
      <c r="V432" s="47">
        <v>500</v>
      </c>
      <c r="W432" s="42">
        <v>0</v>
      </c>
      <c r="X432" s="42">
        <v>0</v>
      </c>
      <c r="Y432" s="46">
        <v>1688</v>
      </c>
      <c r="Z432" s="42">
        <v>0</v>
      </c>
      <c r="AA432" s="4">
        <f t="shared" si="50"/>
        <v>6112.9166666666661</v>
      </c>
      <c r="AB432" s="4">
        <f t="shared" si="49"/>
        <v>73355</v>
      </c>
      <c r="AC432" s="4">
        <f t="shared" si="51"/>
        <v>180635</v>
      </c>
    </row>
    <row r="433" spans="1:29" x14ac:dyDescent="0.2">
      <c r="A433" s="42">
        <v>400449</v>
      </c>
      <c r="B433" s="43">
        <v>3</v>
      </c>
      <c r="C433" s="42" t="s">
        <v>278</v>
      </c>
      <c r="D433" s="43" t="s">
        <v>39</v>
      </c>
      <c r="E433" s="43" t="s">
        <v>40</v>
      </c>
      <c r="F433" s="42" t="s">
        <v>21</v>
      </c>
      <c r="G433" s="43" t="s">
        <v>21</v>
      </c>
      <c r="H433" s="42">
        <v>46</v>
      </c>
      <c r="I433" s="44">
        <v>45403</v>
      </c>
      <c r="J433" s="43" t="s">
        <v>54</v>
      </c>
      <c r="K433" s="49">
        <v>16395</v>
      </c>
      <c r="L433" s="42"/>
      <c r="M433" s="51">
        <f>VLOOKUP(A433,'[1]ناتج ملف Excel'!$A:$AV,46,0)</f>
        <v>939.5</v>
      </c>
      <c r="N433" s="51">
        <f>VLOOKUP(A433,'[1]ناتج ملف Excel'!$A:$AV,47,0)</f>
        <v>4098.75</v>
      </c>
      <c r="O433" s="42"/>
      <c r="P433" s="47">
        <v>0</v>
      </c>
      <c r="Q433" s="48"/>
      <c r="R433" s="48">
        <v>0</v>
      </c>
      <c r="S433" s="72"/>
      <c r="T433" s="47">
        <v>3080</v>
      </c>
      <c r="U433" s="48">
        <f t="shared" si="48"/>
        <v>1049.6354166666667</v>
      </c>
      <c r="V433" s="47">
        <v>700</v>
      </c>
      <c r="W433" s="42">
        <v>0</v>
      </c>
      <c r="X433" s="42">
        <v>0</v>
      </c>
      <c r="Y433" s="46">
        <v>3279</v>
      </c>
      <c r="Z433" s="42">
        <v>0</v>
      </c>
      <c r="AA433" s="4">
        <f t="shared" si="50"/>
        <v>9167.8854166666679</v>
      </c>
      <c r="AB433" s="4">
        <f t="shared" si="49"/>
        <v>110014.62500000001</v>
      </c>
      <c r="AC433" s="4">
        <f t="shared" si="51"/>
        <v>315154.625</v>
      </c>
    </row>
    <row r="434" spans="1:29" x14ac:dyDescent="0.2">
      <c r="A434" s="42">
        <v>400450</v>
      </c>
      <c r="B434" s="43" t="s">
        <v>266</v>
      </c>
      <c r="C434" s="42" t="s">
        <v>277</v>
      </c>
      <c r="D434" s="43" t="s">
        <v>39</v>
      </c>
      <c r="E434" s="43" t="s">
        <v>40</v>
      </c>
      <c r="F434" s="42" t="s">
        <v>247</v>
      </c>
      <c r="G434" s="43" t="s">
        <v>41</v>
      </c>
      <c r="H434" s="42">
        <v>48</v>
      </c>
      <c r="I434" s="44">
        <v>45403</v>
      </c>
      <c r="J434" s="43" t="s">
        <v>54</v>
      </c>
      <c r="K434" s="49">
        <v>11330</v>
      </c>
      <c r="L434" s="42"/>
      <c r="M434" s="51">
        <f>VLOOKUP(A434,'[1]ناتج ملف Excel'!$A:$AV,46,0)</f>
        <v>100</v>
      </c>
      <c r="N434" s="51">
        <f>VLOOKUP(A434,'[1]ناتج ملف Excel'!$A:$AV,47,0)</f>
        <v>2832.5</v>
      </c>
      <c r="O434" s="42"/>
      <c r="P434" s="47">
        <v>0</v>
      </c>
      <c r="Q434" s="48"/>
      <c r="R434" s="48">
        <v>0</v>
      </c>
      <c r="S434" s="72"/>
      <c r="T434" s="47">
        <v>3080</v>
      </c>
      <c r="U434" s="48">
        <f t="shared" si="48"/>
        <v>610.9375</v>
      </c>
      <c r="V434" s="47">
        <v>700</v>
      </c>
      <c r="W434" s="42">
        <v>0</v>
      </c>
      <c r="X434" s="42">
        <v>0</v>
      </c>
      <c r="Y434" s="46">
        <v>2266</v>
      </c>
      <c r="Z434" s="46">
        <v>2266</v>
      </c>
      <c r="AA434" s="4">
        <f t="shared" si="50"/>
        <v>6623.4375</v>
      </c>
      <c r="AB434" s="4">
        <f t="shared" si="49"/>
        <v>79481.25</v>
      </c>
      <c r="AC434" s="4">
        <f t="shared" si="51"/>
        <v>223841.25</v>
      </c>
    </row>
    <row r="435" spans="1:29" x14ac:dyDescent="0.2">
      <c r="A435" s="42">
        <v>400451</v>
      </c>
      <c r="B435" s="43" t="s">
        <v>266</v>
      </c>
      <c r="C435" s="42" t="s">
        <v>285</v>
      </c>
      <c r="D435" s="43" t="s">
        <v>33</v>
      </c>
      <c r="E435" s="43"/>
      <c r="F435" s="42" t="s">
        <v>74</v>
      </c>
      <c r="G435" s="43" t="s">
        <v>41</v>
      </c>
      <c r="H435" s="42">
        <v>40</v>
      </c>
      <c r="I435" s="44">
        <v>45669</v>
      </c>
      <c r="J435" s="43" t="s">
        <v>54</v>
      </c>
      <c r="K435" s="49">
        <v>12095</v>
      </c>
      <c r="L435" s="42"/>
      <c r="M435" s="51">
        <f>VLOOKUP(A435,'[1]ناتج ملف Excel'!$A:$AV,46,0)</f>
        <v>100</v>
      </c>
      <c r="N435" s="51">
        <f>VLOOKUP(A435,'[1]ناتج ملف Excel'!$A:$AV,47,0)</f>
        <v>3023.75</v>
      </c>
      <c r="O435" s="42"/>
      <c r="P435" s="47">
        <v>0</v>
      </c>
      <c r="Q435" s="48"/>
      <c r="R435" s="48">
        <v>0</v>
      </c>
      <c r="S435" s="72"/>
      <c r="T435" s="47">
        <v>3080</v>
      </c>
      <c r="U435" s="48">
        <f t="shared" si="48"/>
        <v>650.78125</v>
      </c>
      <c r="V435" s="47">
        <v>700</v>
      </c>
      <c r="W435" s="42">
        <v>750</v>
      </c>
      <c r="X435" s="42">
        <v>0</v>
      </c>
      <c r="Y435" s="42">
        <v>0</v>
      </c>
      <c r="Z435" s="42">
        <v>0</v>
      </c>
      <c r="AA435" s="4">
        <f t="shared" si="50"/>
        <v>6854.53125</v>
      </c>
      <c r="AB435" s="4">
        <f t="shared" si="49"/>
        <v>82254.375</v>
      </c>
      <c r="AC435" s="4">
        <f t="shared" si="51"/>
        <v>244794.375</v>
      </c>
    </row>
    <row r="436" spans="1:29" x14ac:dyDescent="0.2">
      <c r="A436" s="42">
        <v>400453</v>
      </c>
      <c r="B436" s="43">
        <v>4</v>
      </c>
      <c r="C436" s="42" t="s">
        <v>285</v>
      </c>
      <c r="D436" s="43" t="s">
        <v>33</v>
      </c>
      <c r="E436" s="43"/>
      <c r="F436" s="42" t="s">
        <v>74</v>
      </c>
      <c r="G436" s="43" t="s">
        <v>41</v>
      </c>
      <c r="H436" s="42">
        <v>39</v>
      </c>
      <c r="I436" s="44">
        <v>45782</v>
      </c>
      <c r="J436" s="43" t="s">
        <v>54</v>
      </c>
      <c r="K436" s="46">
        <v>9738</v>
      </c>
      <c r="L436" s="42"/>
      <c r="M436" s="51">
        <f>VLOOKUP(A436,'[1]ناتج ملف Excel'!$A:$AV,46,0)</f>
        <v>473.8</v>
      </c>
      <c r="N436" s="51">
        <f>VLOOKUP(A436,'[1]ناتج ملف Excel'!$A:$AV,47,0)</f>
        <v>2434.5</v>
      </c>
      <c r="O436" s="42"/>
      <c r="P436" s="47">
        <v>0</v>
      </c>
      <c r="Q436" s="48"/>
      <c r="R436" s="48">
        <v>0</v>
      </c>
      <c r="S436" s="72"/>
      <c r="T436" s="47">
        <v>3080</v>
      </c>
      <c r="U436" s="48">
        <f t="shared" si="48"/>
        <v>605.89583333333337</v>
      </c>
      <c r="V436" s="47">
        <v>500</v>
      </c>
      <c r="W436" s="42">
        <v>0</v>
      </c>
      <c r="X436" s="42">
        <v>0</v>
      </c>
      <c r="Y436" s="42">
        <v>0</v>
      </c>
      <c r="Z436" s="42">
        <v>0</v>
      </c>
      <c r="AA436" s="4">
        <f t="shared" si="50"/>
        <v>6594.1958333333341</v>
      </c>
      <c r="AB436" s="4">
        <f t="shared" si="49"/>
        <v>79130.350000000006</v>
      </c>
      <c r="AC436" s="4">
        <f t="shared" si="51"/>
        <v>201986.35</v>
      </c>
    </row>
    <row r="437" spans="1:29" x14ac:dyDescent="0.2">
      <c r="A437" s="42">
        <v>400454</v>
      </c>
      <c r="B437" s="43" t="s">
        <v>266</v>
      </c>
      <c r="C437" s="42" t="s">
        <v>285</v>
      </c>
      <c r="D437" s="43" t="s">
        <v>33</v>
      </c>
      <c r="E437" s="43"/>
      <c r="F437" s="42" t="s">
        <v>74</v>
      </c>
      <c r="G437" s="43" t="s">
        <v>41</v>
      </c>
      <c r="H437" s="42">
        <v>45</v>
      </c>
      <c r="I437" s="44">
        <v>45782</v>
      </c>
      <c r="J437" s="43" t="s">
        <v>54</v>
      </c>
      <c r="K437" s="49">
        <v>13975</v>
      </c>
      <c r="L437" s="42"/>
      <c r="M437" s="51">
        <f>VLOOKUP(A437,'[1]ناتج ملف Excel'!$A:$AV,46,0)</f>
        <v>100</v>
      </c>
      <c r="N437" s="51">
        <f>VLOOKUP(A437,'[1]ناتج ملف Excel'!$A:$AV,47,0)</f>
        <v>3493.75</v>
      </c>
      <c r="O437" s="42"/>
      <c r="P437" s="47">
        <v>0</v>
      </c>
      <c r="Q437" s="48"/>
      <c r="R437" s="48">
        <v>0</v>
      </c>
      <c r="S437" s="72"/>
      <c r="T437" s="47">
        <v>3080</v>
      </c>
      <c r="U437" s="48">
        <f t="shared" si="48"/>
        <v>748.69791666666663</v>
      </c>
      <c r="V437" s="47">
        <v>700</v>
      </c>
      <c r="W437" s="42">
        <v>750</v>
      </c>
      <c r="X437" s="42">
        <v>0</v>
      </c>
      <c r="Y437" s="42">
        <v>0</v>
      </c>
      <c r="Z437" s="42">
        <v>0</v>
      </c>
      <c r="AA437" s="4">
        <f t="shared" si="50"/>
        <v>7422.4479166666661</v>
      </c>
      <c r="AB437" s="4">
        <f t="shared" si="49"/>
        <v>89069.375</v>
      </c>
      <c r="AC437" s="4">
        <f t="shared" si="51"/>
        <v>274169.375</v>
      </c>
    </row>
    <row r="438" spans="1:29" x14ac:dyDescent="0.2">
      <c r="A438" s="42">
        <v>400455</v>
      </c>
      <c r="B438" s="43" t="s">
        <v>266</v>
      </c>
      <c r="C438" s="42" t="s">
        <v>285</v>
      </c>
      <c r="D438" s="43" t="s">
        <v>33</v>
      </c>
      <c r="E438" s="43"/>
      <c r="F438" s="42" t="s">
        <v>74</v>
      </c>
      <c r="G438" s="43" t="s">
        <v>41</v>
      </c>
      <c r="H438" s="42">
        <v>40</v>
      </c>
      <c r="I438" s="44">
        <v>45782</v>
      </c>
      <c r="J438" s="43" t="s">
        <v>54</v>
      </c>
      <c r="K438" s="49">
        <v>12575</v>
      </c>
      <c r="L438" s="42"/>
      <c r="M438" s="51">
        <f>VLOOKUP(A438,'[1]ناتج ملف Excel'!$A:$AV,46,0)</f>
        <v>100</v>
      </c>
      <c r="N438" s="51">
        <f>VLOOKUP(A438,'[1]ناتج ملف Excel'!$A:$AV,47,0)</f>
        <v>3143.75</v>
      </c>
      <c r="O438" s="42"/>
      <c r="P438" s="47">
        <v>0</v>
      </c>
      <c r="Q438" s="48"/>
      <c r="R438" s="48">
        <v>0</v>
      </c>
      <c r="S438" s="72"/>
      <c r="T438" s="47">
        <v>3080</v>
      </c>
      <c r="U438" s="48">
        <f t="shared" si="48"/>
        <v>675.78125</v>
      </c>
      <c r="V438" s="47">
        <v>700</v>
      </c>
      <c r="W438" s="42">
        <v>0</v>
      </c>
      <c r="X438" s="42">
        <v>0</v>
      </c>
      <c r="Y438" s="42">
        <v>0</v>
      </c>
      <c r="Z438" s="42">
        <v>0</v>
      </c>
      <c r="AA438" s="4">
        <f t="shared" si="50"/>
        <v>6999.53125</v>
      </c>
      <c r="AB438" s="4">
        <f t="shared" si="49"/>
        <v>83994.375</v>
      </c>
      <c r="AC438" s="4">
        <f t="shared" si="51"/>
        <v>243294.375</v>
      </c>
    </row>
    <row r="439" spans="1:29" x14ac:dyDescent="0.2">
      <c r="A439" s="42">
        <v>400456</v>
      </c>
      <c r="B439" s="43" t="s">
        <v>266</v>
      </c>
      <c r="C439" s="42" t="s">
        <v>285</v>
      </c>
      <c r="D439" s="43" t="s">
        <v>33</v>
      </c>
      <c r="E439" s="43"/>
      <c r="F439" s="42" t="s">
        <v>74</v>
      </c>
      <c r="G439" s="43" t="s">
        <v>41</v>
      </c>
      <c r="H439" s="42">
        <v>38</v>
      </c>
      <c r="I439" s="44">
        <v>45782</v>
      </c>
      <c r="J439" s="43" t="s">
        <v>54</v>
      </c>
      <c r="K439" s="49">
        <v>14355</v>
      </c>
      <c r="L439" s="42"/>
      <c r="M439" s="51">
        <f>VLOOKUP(A439,'[1]ناتج ملف Excel'!$A:$AV,46,0)</f>
        <v>100</v>
      </c>
      <c r="N439" s="51">
        <f>VLOOKUP(A439,'[1]ناتج ملف Excel'!$A:$AV,47,0)</f>
        <v>3588.75</v>
      </c>
      <c r="O439" s="42"/>
      <c r="P439" s="47">
        <v>0</v>
      </c>
      <c r="Q439" s="48"/>
      <c r="R439" s="48">
        <v>0</v>
      </c>
      <c r="S439" s="72"/>
      <c r="T439" s="47">
        <v>3080</v>
      </c>
      <c r="U439" s="48">
        <f t="shared" ref="U439:U501" si="52">(L439+M439+N439+O439)*2.5/12</f>
        <v>768.48958333333337</v>
      </c>
      <c r="V439" s="47">
        <v>700</v>
      </c>
      <c r="W439" s="42">
        <v>0</v>
      </c>
      <c r="X439" s="42">
        <v>0</v>
      </c>
      <c r="Y439" s="42">
        <v>0</v>
      </c>
      <c r="Z439" s="42">
        <v>0</v>
      </c>
      <c r="AA439" s="4">
        <f t="shared" si="50"/>
        <v>7537.2395833333339</v>
      </c>
      <c r="AB439" s="4">
        <f t="shared" ref="AB439:AB501" si="53">AA439*12</f>
        <v>90446.875</v>
      </c>
      <c r="AC439" s="4">
        <f t="shared" si="51"/>
        <v>271106.875</v>
      </c>
    </row>
    <row r="440" spans="1:29" x14ac:dyDescent="0.2">
      <c r="A440" s="42">
        <v>400457</v>
      </c>
      <c r="B440" s="43">
        <v>4</v>
      </c>
      <c r="C440" s="42" t="s">
        <v>285</v>
      </c>
      <c r="D440" s="43" t="s">
        <v>33</v>
      </c>
      <c r="E440" s="43"/>
      <c r="F440" s="42" t="s">
        <v>74</v>
      </c>
      <c r="G440" s="43" t="s">
        <v>41</v>
      </c>
      <c r="H440" s="42">
        <v>39</v>
      </c>
      <c r="I440" s="44">
        <v>45782</v>
      </c>
      <c r="J440" s="43" t="s">
        <v>54</v>
      </c>
      <c r="K440" s="49">
        <v>12565</v>
      </c>
      <c r="L440" s="42"/>
      <c r="M440" s="51">
        <f>VLOOKUP(A440,'[1]ناتج ملف Excel'!$A:$AV,46,0)</f>
        <v>556.5</v>
      </c>
      <c r="N440" s="51">
        <f>VLOOKUP(A440,'[1]ناتج ملف Excel'!$A:$AV,47,0)</f>
        <v>3141.25</v>
      </c>
      <c r="O440" s="42"/>
      <c r="P440" s="47">
        <v>0</v>
      </c>
      <c r="Q440" s="48"/>
      <c r="R440" s="48">
        <v>0</v>
      </c>
      <c r="S440" s="72"/>
      <c r="T440" s="47">
        <v>3080</v>
      </c>
      <c r="U440" s="48">
        <f t="shared" si="52"/>
        <v>770.36458333333337</v>
      </c>
      <c r="V440" s="47">
        <v>700</v>
      </c>
      <c r="W440" s="42">
        <v>750</v>
      </c>
      <c r="X440" s="42">
        <v>2116.625</v>
      </c>
      <c r="Y440" s="42">
        <v>0</v>
      </c>
      <c r="Z440" s="42">
        <v>0</v>
      </c>
      <c r="AA440" s="4">
        <f t="shared" si="50"/>
        <v>7548.1145833333339</v>
      </c>
      <c r="AB440" s="4">
        <f t="shared" si="53"/>
        <v>90577.375</v>
      </c>
      <c r="AC440" s="4">
        <f t="shared" si="51"/>
        <v>284156.875</v>
      </c>
    </row>
    <row r="441" spans="1:29" x14ac:dyDescent="0.2">
      <c r="A441" s="42">
        <v>400458</v>
      </c>
      <c r="B441" s="43" t="s">
        <v>266</v>
      </c>
      <c r="C441" s="42" t="s">
        <v>285</v>
      </c>
      <c r="D441" s="43" t="s">
        <v>33</v>
      </c>
      <c r="E441" s="43"/>
      <c r="F441" s="42" t="s">
        <v>74</v>
      </c>
      <c r="G441" s="43" t="s">
        <v>41</v>
      </c>
      <c r="H441" s="42">
        <v>42</v>
      </c>
      <c r="I441" s="44">
        <v>45782</v>
      </c>
      <c r="J441" s="43" t="s">
        <v>54</v>
      </c>
      <c r="K441" s="49">
        <v>11745</v>
      </c>
      <c r="L441" s="42"/>
      <c r="M441" s="51">
        <f>VLOOKUP(A441,'[1]ناتج ملف Excel'!$A:$AV,46,0)</f>
        <v>100</v>
      </c>
      <c r="N441" s="51">
        <f>VLOOKUP(A441,'[1]ناتج ملف Excel'!$A:$AV,47,0)</f>
        <v>2936.25</v>
      </c>
      <c r="O441" s="42"/>
      <c r="P441" s="47">
        <v>0</v>
      </c>
      <c r="Q441" s="48"/>
      <c r="R441" s="48">
        <v>0</v>
      </c>
      <c r="S441" s="72"/>
      <c r="T441" s="47">
        <v>3080</v>
      </c>
      <c r="U441" s="48">
        <f t="shared" si="52"/>
        <v>632.55208333333337</v>
      </c>
      <c r="V441" s="47">
        <v>700</v>
      </c>
      <c r="W441" s="42">
        <v>0</v>
      </c>
      <c r="X441" s="42">
        <v>0</v>
      </c>
      <c r="Y441" s="42">
        <v>0</v>
      </c>
      <c r="Z441" s="42">
        <v>0</v>
      </c>
      <c r="AA441" s="4">
        <f t="shared" si="50"/>
        <v>6748.8020833333339</v>
      </c>
      <c r="AB441" s="4">
        <f t="shared" si="53"/>
        <v>80985.625</v>
      </c>
      <c r="AC441" s="4">
        <f t="shared" si="51"/>
        <v>230325.625</v>
      </c>
    </row>
    <row r="442" spans="1:29" x14ac:dyDescent="0.2">
      <c r="A442" s="42">
        <v>400459</v>
      </c>
      <c r="B442" s="43" t="s">
        <v>267</v>
      </c>
      <c r="C442" s="42" t="s">
        <v>285</v>
      </c>
      <c r="D442" s="43" t="s">
        <v>33</v>
      </c>
      <c r="E442" s="43"/>
      <c r="F442" s="42" t="s">
        <v>74</v>
      </c>
      <c r="G442" s="43" t="s">
        <v>41</v>
      </c>
      <c r="H442" s="42">
        <v>48</v>
      </c>
      <c r="I442" s="44">
        <v>45782</v>
      </c>
      <c r="J442" s="43" t="s">
        <v>54</v>
      </c>
      <c r="K442" s="49">
        <v>11330</v>
      </c>
      <c r="L442" s="42"/>
      <c r="M442" s="51">
        <f>VLOOKUP(A442,'[1]ناتج ملف Excel'!$A:$AV,46,0)</f>
        <v>100</v>
      </c>
      <c r="N442" s="51">
        <f>VLOOKUP(A442,'[1]ناتج ملف Excel'!$A:$AV,47,0)</f>
        <v>2832.5</v>
      </c>
      <c r="O442" s="42"/>
      <c r="P442" s="47">
        <v>0</v>
      </c>
      <c r="Q442" s="48"/>
      <c r="R442" s="48">
        <v>0</v>
      </c>
      <c r="S442" s="72"/>
      <c r="T442" s="47">
        <v>3080</v>
      </c>
      <c r="U442" s="48">
        <f t="shared" si="52"/>
        <v>610.9375</v>
      </c>
      <c r="V442" s="47">
        <v>700</v>
      </c>
      <c r="W442" s="42">
        <v>0</v>
      </c>
      <c r="X442" s="42">
        <v>0</v>
      </c>
      <c r="Y442" s="42">
        <v>0</v>
      </c>
      <c r="Z442" s="42">
        <v>0</v>
      </c>
      <c r="AA442" s="4">
        <f t="shared" si="50"/>
        <v>6623.4375</v>
      </c>
      <c r="AB442" s="4">
        <f t="shared" si="53"/>
        <v>79481.25</v>
      </c>
      <c r="AC442" s="4">
        <f t="shared" si="51"/>
        <v>223841.25</v>
      </c>
    </row>
    <row r="443" spans="1:29" x14ac:dyDescent="0.2">
      <c r="A443" s="42">
        <v>400460</v>
      </c>
      <c r="B443" s="43">
        <v>5</v>
      </c>
      <c r="C443" s="42" t="s">
        <v>285</v>
      </c>
      <c r="D443" s="43" t="s">
        <v>33</v>
      </c>
      <c r="E443" s="43"/>
      <c r="F443" s="42" t="s">
        <v>74</v>
      </c>
      <c r="G443" s="43" t="s">
        <v>41</v>
      </c>
      <c r="H443" s="42">
        <v>38</v>
      </c>
      <c r="I443" s="44">
        <v>45782</v>
      </c>
      <c r="J443" s="43" t="s">
        <v>54</v>
      </c>
      <c r="K443" s="49">
        <v>11900</v>
      </c>
      <c r="L443" s="42"/>
      <c r="M443" s="51">
        <f>VLOOKUP(A443,'[1]ناتج ملف Excel'!$A:$AV,46,0)</f>
        <v>490</v>
      </c>
      <c r="N443" s="51">
        <f>VLOOKUP(A443,'[1]ناتج ملف Excel'!$A:$AV,47,0)</f>
        <v>2975</v>
      </c>
      <c r="O443" s="42"/>
      <c r="P443" s="47">
        <v>0</v>
      </c>
      <c r="Q443" s="48"/>
      <c r="R443" s="48">
        <v>0</v>
      </c>
      <c r="S443" s="72"/>
      <c r="T443" s="47">
        <v>3080</v>
      </c>
      <c r="U443" s="48">
        <f t="shared" si="52"/>
        <v>721.875</v>
      </c>
      <c r="V443" s="47">
        <v>700</v>
      </c>
      <c r="W443" s="42">
        <v>0</v>
      </c>
      <c r="X443" s="42">
        <v>0</v>
      </c>
      <c r="Y443" s="42">
        <v>0</v>
      </c>
      <c r="Z443" s="42">
        <v>0</v>
      </c>
      <c r="AA443" s="4">
        <f t="shared" si="50"/>
        <v>7266.875</v>
      </c>
      <c r="AB443" s="4">
        <f t="shared" si="53"/>
        <v>87202.5</v>
      </c>
      <c r="AC443" s="4">
        <f t="shared" si="51"/>
        <v>238402.5</v>
      </c>
    </row>
    <row r="444" spans="1:29" x14ac:dyDescent="0.2">
      <c r="A444" s="42">
        <v>400461</v>
      </c>
      <c r="B444" s="43" t="s">
        <v>266</v>
      </c>
      <c r="C444" s="42" t="s">
        <v>285</v>
      </c>
      <c r="D444" s="43" t="s">
        <v>33</v>
      </c>
      <c r="E444" s="43"/>
      <c r="F444" s="42" t="s">
        <v>74</v>
      </c>
      <c r="G444" s="43" t="s">
        <v>41</v>
      </c>
      <c r="H444" s="42">
        <v>42</v>
      </c>
      <c r="I444" s="44">
        <v>45782</v>
      </c>
      <c r="J444" s="43" t="s">
        <v>54</v>
      </c>
      <c r="K444" s="49">
        <v>13035</v>
      </c>
      <c r="L444" s="42"/>
      <c r="M444" s="51">
        <f>VLOOKUP(A444,'[1]ناتج ملف Excel'!$A:$AV,46,0)</f>
        <v>100</v>
      </c>
      <c r="N444" s="51">
        <f>VLOOKUP(A444,'[1]ناتج ملف Excel'!$A:$AV,47,0)</f>
        <v>3258.75</v>
      </c>
      <c r="O444" s="42"/>
      <c r="P444" s="47">
        <v>0</v>
      </c>
      <c r="Q444" s="48"/>
      <c r="R444" s="48">
        <v>0</v>
      </c>
      <c r="S444" s="72"/>
      <c r="T444" s="47">
        <v>3080</v>
      </c>
      <c r="U444" s="48">
        <f t="shared" si="52"/>
        <v>699.73958333333337</v>
      </c>
      <c r="V444" s="47">
        <v>700</v>
      </c>
      <c r="W444" s="42">
        <v>0</v>
      </c>
      <c r="X444" s="42">
        <v>0</v>
      </c>
      <c r="Y444" s="42">
        <v>0</v>
      </c>
      <c r="Z444" s="42">
        <v>0</v>
      </c>
      <c r="AA444" s="4">
        <f t="shared" si="50"/>
        <v>7138.4895833333339</v>
      </c>
      <c r="AB444" s="4">
        <f t="shared" si="53"/>
        <v>85661.875</v>
      </c>
      <c r="AC444" s="4">
        <f t="shared" si="51"/>
        <v>250481.875</v>
      </c>
    </row>
    <row r="445" spans="1:29" x14ac:dyDescent="0.2">
      <c r="A445" s="42">
        <v>400462</v>
      </c>
      <c r="B445" s="43" t="s">
        <v>268</v>
      </c>
      <c r="C445" s="42" t="s">
        <v>285</v>
      </c>
      <c r="D445" s="43" t="s">
        <v>33</v>
      </c>
      <c r="E445" s="43"/>
      <c r="F445" s="42" t="s">
        <v>74</v>
      </c>
      <c r="G445" s="43" t="s">
        <v>41</v>
      </c>
      <c r="H445" s="42">
        <v>45</v>
      </c>
      <c r="I445" s="44">
        <v>45782</v>
      </c>
      <c r="J445" s="43" t="s">
        <v>54</v>
      </c>
      <c r="K445" s="46">
        <v>6795</v>
      </c>
      <c r="L445" s="42"/>
      <c r="M445" s="51">
        <f>VLOOKUP(A445,'[1]ناتج ملف Excel'!$A:$AV,46,0)</f>
        <v>179.5</v>
      </c>
      <c r="N445" s="51">
        <f>VLOOKUP(A445,'[1]ناتج ملف Excel'!$A:$AV,47,0)</f>
        <v>1698.75</v>
      </c>
      <c r="O445" s="42"/>
      <c r="P445" s="47">
        <v>0</v>
      </c>
      <c r="Q445" s="48"/>
      <c r="R445" s="48">
        <v>0</v>
      </c>
      <c r="S445" s="72"/>
      <c r="T445" s="47">
        <v>3080</v>
      </c>
      <c r="U445" s="48">
        <f t="shared" si="52"/>
        <v>391.30208333333331</v>
      </c>
      <c r="V445" s="47">
        <v>500</v>
      </c>
      <c r="W445" s="42">
        <v>750</v>
      </c>
      <c r="X445" s="42">
        <v>0</v>
      </c>
      <c r="Y445" s="42">
        <v>0</v>
      </c>
      <c r="Z445" s="42">
        <v>0</v>
      </c>
      <c r="AA445" s="4">
        <f t="shared" si="50"/>
        <v>5349.5520833333339</v>
      </c>
      <c r="AB445" s="4">
        <f t="shared" si="53"/>
        <v>64194.625000000007</v>
      </c>
      <c r="AC445" s="4">
        <f t="shared" si="51"/>
        <v>160734.625</v>
      </c>
    </row>
    <row r="446" spans="1:29" x14ac:dyDescent="0.2">
      <c r="A446" s="42">
        <v>400463</v>
      </c>
      <c r="B446" s="43" t="s">
        <v>266</v>
      </c>
      <c r="C446" s="42" t="s">
        <v>285</v>
      </c>
      <c r="D446" s="43" t="s">
        <v>33</v>
      </c>
      <c r="E446" s="43"/>
      <c r="F446" s="42" t="s">
        <v>74</v>
      </c>
      <c r="G446" s="43" t="s">
        <v>41</v>
      </c>
      <c r="H446" s="42">
        <v>30</v>
      </c>
      <c r="I446" s="44">
        <v>45782</v>
      </c>
      <c r="J446" s="43" t="s">
        <v>54</v>
      </c>
      <c r="K446" s="49">
        <v>10085</v>
      </c>
      <c r="L446" s="42"/>
      <c r="M446" s="51">
        <f>VLOOKUP(A446,'[1]ناتج ملف Excel'!$A:$AV,46,0)</f>
        <v>100</v>
      </c>
      <c r="N446" s="51">
        <f>VLOOKUP(A446,'[1]ناتج ملف Excel'!$A:$AV,47,0)</f>
        <v>2521.25</v>
      </c>
      <c r="O446" s="42"/>
      <c r="P446" s="47">
        <v>0</v>
      </c>
      <c r="Q446" s="48"/>
      <c r="R446" s="48">
        <v>0</v>
      </c>
      <c r="S446" s="72"/>
      <c r="T446" s="47">
        <v>3080</v>
      </c>
      <c r="U446" s="48">
        <f t="shared" si="52"/>
        <v>546.09375</v>
      </c>
      <c r="V446" s="47">
        <v>700</v>
      </c>
      <c r="W446" s="42">
        <v>0</v>
      </c>
      <c r="X446" s="42">
        <v>0</v>
      </c>
      <c r="Y446" s="42">
        <v>0</v>
      </c>
      <c r="Z446" s="42">
        <v>0</v>
      </c>
      <c r="AA446" s="4">
        <f t="shared" si="50"/>
        <v>6247.34375</v>
      </c>
      <c r="AB446" s="4">
        <f t="shared" si="53"/>
        <v>74968.125</v>
      </c>
      <c r="AC446" s="4">
        <f t="shared" si="51"/>
        <v>204388.125</v>
      </c>
    </row>
    <row r="447" spans="1:29" x14ac:dyDescent="0.2">
      <c r="A447" s="42">
        <v>400464</v>
      </c>
      <c r="B447" s="43">
        <v>4</v>
      </c>
      <c r="C447" s="42" t="s">
        <v>300</v>
      </c>
      <c r="D447" s="43" t="s">
        <v>33</v>
      </c>
      <c r="E447" s="43"/>
      <c r="F447" s="42" t="s">
        <v>94</v>
      </c>
      <c r="G447" s="43" t="s">
        <v>41</v>
      </c>
      <c r="H447" s="42">
        <v>48</v>
      </c>
      <c r="I447" s="44">
        <v>45851</v>
      </c>
      <c r="J447" s="43" t="s">
        <v>54</v>
      </c>
      <c r="K447" s="49">
        <v>18705</v>
      </c>
      <c r="L447" s="42"/>
      <c r="M447" s="51">
        <f>VLOOKUP(A447,'[1]ناتج ملف Excel'!$A:$AV,46,0)</f>
        <v>970.5</v>
      </c>
      <c r="N447" s="51">
        <f>VLOOKUP(A447,'[1]ناتج ملف Excel'!$A:$AV,47,0)</f>
        <v>4676.25</v>
      </c>
      <c r="O447" s="42"/>
      <c r="P447" s="47">
        <v>0</v>
      </c>
      <c r="Q447" s="48"/>
      <c r="R447" s="48">
        <v>0</v>
      </c>
      <c r="S447" s="72"/>
      <c r="T447" s="47">
        <v>3080</v>
      </c>
      <c r="U447" s="48">
        <f t="shared" si="52"/>
        <v>1176.40625</v>
      </c>
      <c r="V447" s="47">
        <v>900</v>
      </c>
      <c r="W447" s="42">
        <v>750</v>
      </c>
      <c r="X447" s="42">
        <v>3273.375</v>
      </c>
      <c r="Y447" s="42">
        <v>0</v>
      </c>
      <c r="Z447" s="42">
        <v>0</v>
      </c>
      <c r="AA447" s="4">
        <f t="shared" si="50"/>
        <v>9903.15625</v>
      </c>
      <c r="AB447" s="4">
        <f t="shared" si="53"/>
        <v>118837.875</v>
      </c>
      <c r="AC447" s="4">
        <f t="shared" si="51"/>
        <v>402378.375</v>
      </c>
    </row>
    <row r="448" spans="1:29" x14ac:dyDescent="0.2">
      <c r="A448" s="42">
        <v>400465</v>
      </c>
      <c r="B448" s="43">
        <v>4</v>
      </c>
      <c r="C448" s="42" t="s">
        <v>300</v>
      </c>
      <c r="D448" s="43" t="s">
        <v>33</v>
      </c>
      <c r="E448" s="43"/>
      <c r="F448" s="42" t="s">
        <v>94</v>
      </c>
      <c r="G448" s="43" t="s">
        <v>41</v>
      </c>
      <c r="H448" s="42">
        <v>50</v>
      </c>
      <c r="I448" s="44">
        <v>45851</v>
      </c>
      <c r="J448" s="43" t="s">
        <v>54</v>
      </c>
      <c r="K448" s="49">
        <v>18705</v>
      </c>
      <c r="L448" s="42"/>
      <c r="M448" s="51">
        <f>VLOOKUP(A448,'[1]ناتج ملف Excel'!$A:$AV,46,0)</f>
        <v>970.5</v>
      </c>
      <c r="N448" s="51">
        <f>VLOOKUP(A448,'[1]ناتج ملف Excel'!$A:$AV,47,0)</f>
        <v>4676.25</v>
      </c>
      <c r="O448" s="42"/>
      <c r="P448" s="47">
        <v>0</v>
      </c>
      <c r="Q448" s="48"/>
      <c r="R448" s="48">
        <v>0</v>
      </c>
      <c r="S448" s="72"/>
      <c r="T448" s="47">
        <v>3080</v>
      </c>
      <c r="U448" s="48">
        <f t="shared" si="52"/>
        <v>1176.40625</v>
      </c>
      <c r="V448" s="47">
        <v>900</v>
      </c>
      <c r="W448" s="42">
        <v>750</v>
      </c>
      <c r="X448" s="42">
        <v>3180.625</v>
      </c>
      <c r="Y448" s="42">
        <v>0</v>
      </c>
      <c r="Z448" s="42">
        <v>0</v>
      </c>
      <c r="AA448" s="4">
        <f t="shared" ref="AA448:AA510" si="54">U448+T448+N448+M448+O448</f>
        <v>9903.15625</v>
      </c>
      <c r="AB448" s="4">
        <f t="shared" si="53"/>
        <v>118837.875</v>
      </c>
      <c r="AC448" s="4">
        <f t="shared" ref="AC448:AC510" si="55">AB448+((K448+V448+W448+X448)*12)</f>
        <v>401265.375</v>
      </c>
    </row>
    <row r="449" spans="1:29" x14ac:dyDescent="0.2">
      <c r="A449" s="42">
        <v>400466</v>
      </c>
      <c r="B449" s="43">
        <v>4</v>
      </c>
      <c r="C449" s="42" t="s">
        <v>300</v>
      </c>
      <c r="D449" s="43" t="s">
        <v>33</v>
      </c>
      <c r="E449" s="43"/>
      <c r="F449" s="42" t="s">
        <v>94</v>
      </c>
      <c r="G449" s="43" t="s">
        <v>41</v>
      </c>
      <c r="H449" s="42">
        <v>48</v>
      </c>
      <c r="I449" s="44">
        <v>45851</v>
      </c>
      <c r="J449" s="43" t="s">
        <v>54</v>
      </c>
      <c r="K449" s="49">
        <v>14915</v>
      </c>
      <c r="L449" s="42"/>
      <c r="M449" s="51">
        <f>VLOOKUP(A449,'[1]ناتج ملف Excel'!$A:$AV,46,0)</f>
        <v>791.5</v>
      </c>
      <c r="N449" s="51">
        <f>VLOOKUP(A449,'[1]ناتج ملف Excel'!$A:$AV,47,0)</f>
        <v>3728.75</v>
      </c>
      <c r="O449" s="42"/>
      <c r="P449" s="47">
        <v>0</v>
      </c>
      <c r="Q449" s="48"/>
      <c r="R449" s="48">
        <v>0</v>
      </c>
      <c r="S449" s="72"/>
      <c r="T449" s="47">
        <v>3080</v>
      </c>
      <c r="U449" s="48">
        <f t="shared" si="52"/>
        <v>941.71875</v>
      </c>
      <c r="V449" s="47">
        <v>700</v>
      </c>
      <c r="W449" s="42">
        <v>750</v>
      </c>
      <c r="X449" s="42">
        <v>2527.875</v>
      </c>
      <c r="Y449" s="42">
        <v>0</v>
      </c>
      <c r="Z449" s="42">
        <v>0</v>
      </c>
      <c r="AA449" s="4">
        <f t="shared" si="54"/>
        <v>8541.96875</v>
      </c>
      <c r="AB449" s="4">
        <f t="shared" si="53"/>
        <v>102503.625</v>
      </c>
      <c r="AC449" s="4">
        <f t="shared" si="55"/>
        <v>329218.125</v>
      </c>
    </row>
    <row r="450" spans="1:29" x14ac:dyDescent="0.2">
      <c r="A450" s="42">
        <v>400467</v>
      </c>
      <c r="B450" s="43">
        <v>4</v>
      </c>
      <c r="C450" s="42" t="s">
        <v>300</v>
      </c>
      <c r="D450" s="43" t="s">
        <v>33</v>
      </c>
      <c r="E450" s="43"/>
      <c r="F450" s="42" t="s">
        <v>94</v>
      </c>
      <c r="G450" s="43" t="s">
        <v>41</v>
      </c>
      <c r="H450" s="42">
        <v>49</v>
      </c>
      <c r="I450" s="44">
        <v>45851</v>
      </c>
      <c r="J450" s="43" t="s">
        <v>54</v>
      </c>
      <c r="K450" s="49">
        <v>16905</v>
      </c>
      <c r="L450" s="42"/>
      <c r="M450" s="51">
        <f>VLOOKUP(A450,'[1]ناتج ملف Excel'!$A:$AV,46,0)</f>
        <v>990.5</v>
      </c>
      <c r="N450" s="51">
        <f>VLOOKUP(A450,'[1]ناتج ملف Excel'!$A:$AV,47,0)</f>
        <v>4226.25</v>
      </c>
      <c r="O450" s="42"/>
      <c r="P450" s="47">
        <v>0</v>
      </c>
      <c r="Q450" s="48"/>
      <c r="R450" s="48">
        <v>0</v>
      </c>
      <c r="S450" s="72"/>
      <c r="T450" s="47">
        <v>3080</v>
      </c>
      <c r="U450" s="48">
        <f t="shared" si="52"/>
        <v>1086.8229166666667</v>
      </c>
      <c r="V450" s="47">
        <v>700</v>
      </c>
      <c r="W450" s="42">
        <v>750</v>
      </c>
      <c r="X450" s="42">
        <v>2869.125</v>
      </c>
      <c r="Y450" s="42">
        <v>0</v>
      </c>
      <c r="Z450" s="42">
        <v>0</v>
      </c>
      <c r="AA450" s="4">
        <f t="shared" si="54"/>
        <v>9383.5729166666679</v>
      </c>
      <c r="AB450" s="4">
        <f t="shared" si="53"/>
        <v>112602.87500000001</v>
      </c>
      <c r="AC450" s="4">
        <f t="shared" si="55"/>
        <v>367292.375</v>
      </c>
    </row>
    <row r="451" spans="1:29" x14ac:dyDescent="0.2">
      <c r="A451" s="42">
        <v>400471</v>
      </c>
      <c r="B451" s="43">
        <v>4</v>
      </c>
      <c r="C451" s="42" t="s">
        <v>300</v>
      </c>
      <c r="D451" s="43" t="s">
        <v>33</v>
      </c>
      <c r="E451" s="43"/>
      <c r="F451" s="42" t="s">
        <v>98</v>
      </c>
      <c r="G451" s="43" t="s">
        <v>41</v>
      </c>
      <c r="H451" s="42">
        <v>38</v>
      </c>
      <c r="I451" s="44">
        <v>45851</v>
      </c>
      <c r="J451" s="43" t="s">
        <v>54</v>
      </c>
      <c r="K451" s="49">
        <v>13845</v>
      </c>
      <c r="L451" s="42"/>
      <c r="M451" s="51">
        <f>VLOOKUP(A451,'[1]ناتج ملف Excel'!$A:$AV,46,0)</f>
        <v>684.5</v>
      </c>
      <c r="N451" s="51">
        <f>VLOOKUP(A451,'[1]ناتج ملف Excel'!$A:$AV,47,0)</f>
        <v>3461.25</v>
      </c>
      <c r="O451" s="42"/>
      <c r="P451" s="47">
        <v>0</v>
      </c>
      <c r="Q451" s="48"/>
      <c r="R451" s="48">
        <v>0</v>
      </c>
      <c r="S451" s="72"/>
      <c r="T451" s="47">
        <v>3080</v>
      </c>
      <c r="U451" s="48">
        <f t="shared" si="52"/>
        <v>863.69791666666663</v>
      </c>
      <c r="V451" s="47">
        <v>700</v>
      </c>
      <c r="W451" s="42">
        <v>750</v>
      </c>
      <c r="X451" s="42">
        <v>2333.625</v>
      </c>
      <c r="Y451" s="42">
        <v>0</v>
      </c>
      <c r="Z451" s="42">
        <v>0</v>
      </c>
      <c r="AA451" s="4">
        <f t="shared" si="54"/>
        <v>8089.4479166666661</v>
      </c>
      <c r="AB451" s="4">
        <f t="shared" si="53"/>
        <v>97073.375</v>
      </c>
      <c r="AC451" s="4">
        <f t="shared" si="55"/>
        <v>308616.875</v>
      </c>
    </row>
    <row r="452" spans="1:29" x14ac:dyDescent="0.2">
      <c r="A452" s="42">
        <v>400472</v>
      </c>
      <c r="B452" s="43">
        <v>4</v>
      </c>
      <c r="C452" s="42" t="s">
        <v>300</v>
      </c>
      <c r="D452" s="43" t="s">
        <v>33</v>
      </c>
      <c r="E452" s="43"/>
      <c r="F452" s="42" t="s">
        <v>98</v>
      </c>
      <c r="G452" s="43" t="s">
        <v>41</v>
      </c>
      <c r="H452" s="42">
        <v>29</v>
      </c>
      <c r="I452" s="44">
        <v>45851</v>
      </c>
      <c r="J452" s="43" t="s">
        <v>54</v>
      </c>
      <c r="K452" s="46">
        <v>9461</v>
      </c>
      <c r="L452" s="42"/>
      <c r="M452" s="51">
        <f>VLOOKUP(A452,'[1]ناتج ملف Excel'!$A:$AV,46,0)</f>
        <v>446.1</v>
      </c>
      <c r="N452" s="51">
        <f>VLOOKUP(A452,'[1]ناتج ملف Excel'!$A:$AV,47,0)</f>
        <v>2365.25</v>
      </c>
      <c r="O452" s="42"/>
      <c r="P452" s="47">
        <v>0</v>
      </c>
      <c r="Q452" s="48"/>
      <c r="R452" s="48">
        <v>0</v>
      </c>
      <c r="S452" s="72"/>
      <c r="T452" s="47">
        <v>3080</v>
      </c>
      <c r="U452" s="48">
        <f t="shared" si="52"/>
        <v>585.69791666666663</v>
      </c>
      <c r="V452" s="47">
        <v>500</v>
      </c>
      <c r="W452" s="42">
        <v>0</v>
      </c>
      <c r="X452" s="42">
        <v>0</v>
      </c>
      <c r="Y452" s="42">
        <v>0</v>
      </c>
      <c r="Z452" s="42">
        <v>0</v>
      </c>
      <c r="AA452" s="4">
        <f t="shared" si="54"/>
        <v>6477.0479166666664</v>
      </c>
      <c r="AB452" s="4">
        <f t="shared" si="53"/>
        <v>77724.574999999997</v>
      </c>
      <c r="AC452" s="4">
        <f t="shared" si="55"/>
        <v>197256.57500000001</v>
      </c>
    </row>
    <row r="453" spans="1:29" x14ac:dyDescent="0.2">
      <c r="A453" s="42">
        <v>400473</v>
      </c>
      <c r="B453" s="43" t="s">
        <v>267</v>
      </c>
      <c r="C453" s="42" t="s">
        <v>300</v>
      </c>
      <c r="D453" s="43" t="s">
        <v>33</v>
      </c>
      <c r="E453" s="43"/>
      <c r="F453" s="42" t="s">
        <v>98</v>
      </c>
      <c r="G453" s="43" t="s">
        <v>41</v>
      </c>
      <c r="H453" s="42">
        <v>42</v>
      </c>
      <c r="I453" s="44">
        <v>45851</v>
      </c>
      <c r="J453" s="43" t="s">
        <v>54</v>
      </c>
      <c r="K453" s="46">
        <v>9565</v>
      </c>
      <c r="L453" s="42"/>
      <c r="M453" s="51">
        <f>VLOOKUP(A453,'[1]ناتج ملف Excel'!$A:$AV,46,0)</f>
        <v>100</v>
      </c>
      <c r="N453" s="51">
        <f>VLOOKUP(A453,'[1]ناتج ملف Excel'!$A:$AV,47,0)</f>
        <v>2391.25</v>
      </c>
      <c r="O453" s="42"/>
      <c r="P453" s="47">
        <v>0</v>
      </c>
      <c r="Q453" s="48"/>
      <c r="R453" s="48">
        <v>0</v>
      </c>
      <c r="S453" s="72"/>
      <c r="T453" s="47">
        <v>3080</v>
      </c>
      <c r="U453" s="48">
        <f t="shared" si="52"/>
        <v>519.01041666666663</v>
      </c>
      <c r="V453" s="47">
        <v>700</v>
      </c>
      <c r="W453" s="42">
        <v>0</v>
      </c>
      <c r="X453" s="42">
        <v>0</v>
      </c>
      <c r="Y453" s="42">
        <v>0</v>
      </c>
      <c r="Z453" s="42">
        <v>0</v>
      </c>
      <c r="AA453" s="4">
        <f t="shared" si="54"/>
        <v>6090.2604166666661</v>
      </c>
      <c r="AB453" s="4">
        <f t="shared" si="53"/>
        <v>73083.125</v>
      </c>
      <c r="AC453" s="4">
        <f t="shared" si="55"/>
        <v>196263.125</v>
      </c>
    </row>
    <row r="454" spans="1:29" x14ac:dyDescent="0.2">
      <c r="A454" s="42">
        <v>400474</v>
      </c>
      <c r="B454" s="43" t="s">
        <v>267</v>
      </c>
      <c r="C454" s="42" t="s">
        <v>300</v>
      </c>
      <c r="D454" s="43" t="s">
        <v>33</v>
      </c>
      <c r="E454" s="43"/>
      <c r="F454" s="42" t="s">
        <v>98</v>
      </c>
      <c r="G454" s="43" t="s">
        <v>41</v>
      </c>
      <c r="H454" s="42">
        <v>35</v>
      </c>
      <c r="I454" s="44">
        <v>45851</v>
      </c>
      <c r="J454" s="43" t="s">
        <v>54</v>
      </c>
      <c r="K454" s="46">
        <v>9565</v>
      </c>
      <c r="L454" s="42"/>
      <c r="M454" s="51">
        <f>VLOOKUP(A454,'[1]ناتج ملف Excel'!$A:$AV,46,0)</f>
        <v>100</v>
      </c>
      <c r="N454" s="51">
        <f>VLOOKUP(A454,'[1]ناتج ملف Excel'!$A:$AV,47,0)</f>
        <v>2391.25</v>
      </c>
      <c r="O454" s="42"/>
      <c r="P454" s="47">
        <v>0</v>
      </c>
      <c r="Q454" s="48"/>
      <c r="R454" s="48">
        <v>0</v>
      </c>
      <c r="S454" s="72"/>
      <c r="T454" s="47">
        <v>3080</v>
      </c>
      <c r="U454" s="48">
        <f t="shared" si="52"/>
        <v>519.01041666666663</v>
      </c>
      <c r="V454" s="47">
        <v>700</v>
      </c>
      <c r="W454" s="42">
        <v>0</v>
      </c>
      <c r="X454" s="42">
        <v>0</v>
      </c>
      <c r="Y454" s="42">
        <v>0</v>
      </c>
      <c r="Z454" s="42">
        <v>0</v>
      </c>
      <c r="AA454" s="4">
        <f t="shared" si="54"/>
        <v>6090.2604166666661</v>
      </c>
      <c r="AB454" s="4">
        <f t="shared" si="53"/>
        <v>73083.125</v>
      </c>
      <c r="AC454" s="4">
        <f t="shared" si="55"/>
        <v>196263.125</v>
      </c>
    </row>
    <row r="455" spans="1:29" x14ac:dyDescent="0.2">
      <c r="A455" s="42">
        <v>400475</v>
      </c>
      <c r="B455" s="43">
        <v>4</v>
      </c>
      <c r="C455" s="42" t="s">
        <v>300</v>
      </c>
      <c r="D455" s="43" t="s">
        <v>33</v>
      </c>
      <c r="E455" s="43"/>
      <c r="F455" s="42" t="s">
        <v>93</v>
      </c>
      <c r="G455" s="43" t="s">
        <v>41</v>
      </c>
      <c r="H455" s="42">
        <v>42</v>
      </c>
      <c r="I455" s="44">
        <v>45851</v>
      </c>
      <c r="J455" s="43" t="s">
        <v>54</v>
      </c>
      <c r="K455" s="49">
        <v>13405</v>
      </c>
      <c r="L455" s="42"/>
      <c r="M455" s="51">
        <f>VLOOKUP(A455,'[1]ناتج ملف Excel'!$A:$AV,46,0)</f>
        <v>640.5</v>
      </c>
      <c r="N455" s="51">
        <f>VLOOKUP(A455,'[1]ناتج ملف Excel'!$A:$AV,47,0)</f>
        <v>3351.25</v>
      </c>
      <c r="O455" s="42"/>
      <c r="P455" s="47">
        <v>0</v>
      </c>
      <c r="Q455" s="48"/>
      <c r="R455" s="48">
        <v>0</v>
      </c>
      <c r="S455" s="72"/>
      <c r="T455" s="47">
        <v>3080</v>
      </c>
      <c r="U455" s="48">
        <f t="shared" si="52"/>
        <v>831.61458333333337</v>
      </c>
      <c r="V455" s="47">
        <v>700</v>
      </c>
      <c r="W455" s="42">
        <v>750</v>
      </c>
      <c r="X455" s="42">
        <v>2273.25</v>
      </c>
      <c r="Y455" s="42">
        <v>0</v>
      </c>
      <c r="Z455" s="42">
        <v>0</v>
      </c>
      <c r="AA455" s="4">
        <f t="shared" si="54"/>
        <v>7903.3645833333339</v>
      </c>
      <c r="AB455" s="4">
        <f t="shared" si="53"/>
        <v>94840.375</v>
      </c>
      <c r="AC455" s="4">
        <f t="shared" si="55"/>
        <v>300379.375</v>
      </c>
    </row>
    <row r="456" spans="1:29" x14ac:dyDescent="0.2">
      <c r="A456" s="42">
        <v>400476</v>
      </c>
      <c r="B456" s="43">
        <v>4</v>
      </c>
      <c r="C456" s="42" t="s">
        <v>300</v>
      </c>
      <c r="D456" s="43" t="s">
        <v>33</v>
      </c>
      <c r="E456" s="43"/>
      <c r="F456" s="42" t="s">
        <v>93</v>
      </c>
      <c r="G456" s="43" t="s">
        <v>41</v>
      </c>
      <c r="H456" s="42">
        <v>39</v>
      </c>
      <c r="I456" s="44">
        <v>45851</v>
      </c>
      <c r="J456" s="43" t="s">
        <v>54</v>
      </c>
      <c r="K456" s="49">
        <v>13505</v>
      </c>
      <c r="L456" s="42"/>
      <c r="M456" s="51">
        <f>VLOOKUP(A456,'[1]ناتج ملف Excel'!$A:$AV,46,0)</f>
        <v>650.5</v>
      </c>
      <c r="N456" s="51">
        <f>VLOOKUP(A456,'[1]ناتج ملف Excel'!$A:$AV,47,0)</f>
        <v>3376.25</v>
      </c>
      <c r="O456" s="42"/>
      <c r="P456" s="47">
        <v>0</v>
      </c>
      <c r="Q456" s="48"/>
      <c r="R456" s="48">
        <v>0</v>
      </c>
      <c r="S456" s="72"/>
      <c r="T456" s="47">
        <v>3080</v>
      </c>
      <c r="U456" s="48">
        <f t="shared" si="52"/>
        <v>838.90625</v>
      </c>
      <c r="V456" s="47">
        <v>700</v>
      </c>
      <c r="W456" s="42">
        <v>750</v>
      </c>
      <c r="X456" s="42">
        <v>2281.125</v>
      </c>
      <c r="Y456" s="42">
        <v>0</v>
      </c>
      <c r="Z456" s="42">
        <v>0</v>
      </c>
      <c r="AA456" s="4">
        <f t="shared" si="54"/>
        <v>7945.65625</v>
      </c>
      <c r="AB456" s="4">
        <f t="shared" si="53"/>
        <v>95347.875</v>
      </c>
      <c r="AC456" s="4">
        <f t="shared" si="55"/>
        <v>302181.375</v>
      </c>
    </row>
    <row r="457" spans="1:29" x14ac:dyDescent="0.2">
      <c r="A457" s="42">
        <v>400478</v>
      </c>
      <c r="B457" s="43">
        <v>4</v>
      </c>
      <c r="C457" s="42" t="s">
        <v>300</v>
      </c>
      <c r="D457" s="43" t="s">
        <v>33</v>
      </c>
      <c r="E457" s="43"/>
      <c r="F457" s="42" t="s">
        <v>93</v>
      </c>
      <c r="G457" s="43" t="s">
        <v>41</v>
      </c>
      <c r="H457" s="42">
        <v>40</v>
      </c>
      <c r="I457" s="44">
        <v>45851</v>
      </c>
      <c r="J457" s="43" t="s">
        <v>54</v>
      </c>
      <c r="K457" s="49">
        <v>13975</v>
      </c>
      <c r="L457" s="42"/>
      <c r="M457" s="51">
        <f>VLOOKUP(A457,'[1]ناتج ملف Excel'!$A:$AV,46,0)</f>
        <v>697.5</v>
      </c>
      <c r="N457" s="51">
        <f>VLOOKUP(A457,'[1]ناتج ملف Excel'!$A:$AV,47,0)</f>
        <v>3493.75</v>
      </c>
      <c r="O457" s="42"/>
      <c r="P457" s="47">
        <v>0</v>
      </c>
      <c r="Q457" s="48"/>
      <c r="R457" s="48">
        <v>0</v>
      </c>
      <c r="S457" s="72"/>
      <c r="T457" s="47">
        <v>3080</v>
      </c>
      <c r="U457" s="48">
        <f t="shared" si="52"/>
        <v>873.17708333333337</v>
      </c>
      <c r="V457" s="47">
        <v>700</v>
      </c>
      <c r="W457" s="42">
        <v>750</v>
      </c>
      <c r="X457" s="42">
        <v>2363.375</v>
      </c>
      <c r="Y457" s="42">
        <v>0</v>
      </c>
      <c r="Z457" s="42">
        <v>0</v>
      </c>
      <c r="AA457" s="4">
        <f t="shared" si="54"/>
        <v>8144.4270833333339</v>
      </c>
      <c r="AB457" s="4">
        <f t="shared" si="53"/>
        <v>97733.125</v>
      </c>
      <c r="AC457" s="4">
        <f t="shared" si="55"/>
        <v>311193.625</v>
      </c>
    </row>
    <row r="458" spans="1:29" x14ac:dyDescent="0.2">
      <c r="A458" s="42">
        <v>400479</v>
      </c>
      <c r="B458" s="43">
        <v>4</v>
      </c>
      <c r="C458" s="42" t="s">
        <v>300</v>
      </c>
      <c r="D458" s="43" t="s">
        <v>33</v>
      </c>
      <c r="E458" s="43"/>
      <c r="F458" s="42" t="s">
        <v>99</v>
      </c>
      <c r="G458" s="43" t="s">
        <v>41</v>
      </c>
      <c r="H458" s="42">
        <v>44</v>
      </c>
      <c r="I458" s="44">
        <v>45851</v>
      </c>
      <c r="J458" s="43" t="s">
        <v>54</v>
      </c>
      <c r="K458" s="49">
        <v>14915</v>
      </c>
      <c r="L458" s="42"/>
      <c r="M458" s="51">
        <f>VLOOKUP(A458,'[1]ناتج ملف Excel'!$A:$AV,46,0)</f>
        <v>791.5</v>
      </c>
      <c r="N458" s="51">
        <f>VLOOKUP(A458,'[1]ناتج ملف Excel'!$A:$AV,47,0)</f>
        <v>3728.75</v>
      </c>
      <c r="O458" s="42"/>
      <c r="P458" s="47">
        <v>0</v>
      </c>
      <c r="Q458" s="48"/>
      <c r="R458" s="48">
        <v>0</v>
      </c>
      <c r="S458" s="72"/>
      <c r="T458" s="47">
        <v>3080</v>
      </c>
      <c r="U458" s="48">
        <f t="shared" si="52"/>
        <v>941.71875</v>
      </c>
      <c r="V458" s="47">
        <v>700</v>
      </c>
      <c r="W458" s="42">
        <v>750</v>
      </c>
      <c r="X458" s="42">
        <v>2527.875</v>
      </c>
      <c r="Y458" s="42">
        <v>0</v>
      </c>
      <c r="Z458" s="42">
        <v>0</v>
      </c>
      <c r="AA458" s="4">
        <f t="shared" si="54"/>
        <v>8541.96875</v>
      </c>
      <c r="AB458" s="4">
        <f t="shared" si="53"/>
        <v>102503.625</v>
      </c>
      <c r="AC458" s="4">
        <f t="shared" si="55"/>
        <v>329218.125</v>
      </c>
    </row>
    <row r="459" spans="1:29" x14ac:dyDescent="0.2">
      <c r="A459" s="42">
        <v>400480</v>
      </c>
      <c r="B459" s="43" t="s">
        <v>267</v>
      </c>
      <c r="C459" s="42" t="s">
        <v>300</v>
      </c>
      <c r="D459" s="43" t="s">
        <v>33</v>
      </c>
      <c r="E459" s="43"/>
      <c r="F459" s="42" t="s">
        <v>99</v>
      </c>
      <c r="G459" s="43" t="s">
        <v>41</v>
      </c>
      <c r="H459" s="42">
        <v>37</v>
      </c>
      <c r="I459" s="44">
        <v>45851</v>
      </c>
      <c r="J459" s="43" t="s">
        <v>54</v>
      </c>
      <c r="K459" s="49">
        <v>11745</v>
      </c>
      <c r="L459" s="42"/>
      <c r="M459" s="51">
        <f>VLOOKUP(A459,'[1]ناتج ملف Excel'!$A:$AV,46,0)</f>
        <v>100</v>
      </c>
      <c r="N459" s="51">
        <f>VLOOKUP(A459,'[1]ناتج ملف Excel'!$A:$AV,47,0)</f>
        <v>2936.25</v>
      </c>
      <c r="O459" s="42"/>
      <c r="P459" s="47">
        <v>0</v>
      </c>
      <c r="Q459" s="48"/>
      <c r="R459" s="48">
        <v>0</v>
      </c>
      <c r="S459" s="72"/>
      <c r="T459" s="47">
        <v>3080</v>
      </c>
      <c r="U459" s="48">
        <f t="shared" si="52"/>
        <v>632.55208333333337</v>
      </c>
      <c r="V459" s="47">
        <v>700</v>
      </c>
      <c r="W459" s="42">
        <v>750</v>
      </c>
      <c r="X459" s="42">
        <v>0</v>
      </c>
      <c r="Y459" s="42">
        <v>0</v>
      </c>
      <c r="Z459" s="42">
        <v>0</v>
      </c>
      <c r="AA459" s="4">
        <f t="shared" si="54"/>
        <v>6748.8020833333339</v>
      </c>
      <c r="AB459" s="4">
        <f t="shared" si="53"/>
        <v>80985.625</v>
      </c>
      <c r="AC459" s="4">
        <f t="shared" si="55"/>
        <v>239325.625</v>
      </c>
    </row>
    <row r="460" spans="1:29" x14ac:dyDescent="0.2">
      <c r="A460" s="42">
        <v>400481</v>
      </c>
      <c r="B460" s="43">
        <v>4</v>
      </c>
      <c r="C460" s="42" t="s">
        <v>300</v>
      </c>
      <c r="D460" s="43" t="s">
        <v>33</v>
      </c>
      <c r="E460" s="43"/>
      <c r="F460" s="42" t="s">
        <v>100</v>
      </c>
      <c r="G460" s="43" t="s">
        <v>41</v>
      </c>
      <c r="H460" s="42">
        <v>51</v>
      </c>
      <c r="I460" s="44">
        <v>45851</v>
      </c>
      <c r="J460" s="43" t="s">
        <v>54</v>
      </c>
      <c r="K460" s="49">
        <v>17415</v>
      </c>
      <c r="L460" s="42"/>
      <c r="M460" s="51">
        <f>VLOOKUP(A460,'[1]ناتج ملف Excel'!$A:$AV,46,0)</f>
        <v>1041.5</v>
      </c>
      <c r="N460" s="51">
        <f>VLOOKUP(A460,'[1]ناتج ملف Excel'!$A:$AV,47,0)</f>
        <v>4353.75</v>
      </c>
      <c r="O460" s="42"/>
      <c r="P460" s="47">
        <v>0</v>
      </c>
      <c r="Q460" s="48"/>
      <c r="R460" s="48">
        <v>0</v>
      </c>
      <c r="S460" s="72"/>
      <c r="T460" s="47">
        <v>3080</v>
      </c>
      <c r="U460" s="48">
        <f t="shared" si="52"/>
        <v>1124.0104166666667</v>
      </c>
      <c r="V460" s="47">
        <v>700</v>
      </c>
      <c r="W460" s="42">
        <v>0</v>
      </c>
      <c r="X460" s="42">
        <v>3047.625</v>
      </c>
      <c r="Y460" s="42">
        <v>0</v>
      </c>
      <c r="Z460" s="42">
        <v>0</v>
      </c>
      <c r="AA460" s="4">
        <f t="shared" si="54"/>
        <v>9599.2604166666679</v>
      </c>
      <c r="AB460" s="4">
        <f t="shared" si="53"/>
        <v>115191.12500000001</v>
      </c>
      <c r="AC460" s="4">
        <f t="shared" si="55"/>
        <v>369142.625</v>
      </c>
    </row>
    <row r="461" spans="1:29" x14ac:dyDescent="0.2">
      <c r="A461" s="42">
        <v>400482</v>
      </c>
      <c r="B461" s="43">
        <v>4</v>
      </c>
      <c r="C461" s="42" t="s">
        <v>300</v>
      </c>
      <c r="D461" s="43" t="s">
        <v>33</v>
      </c>
      <c r="E461" s="43"/>
      <c r="F461" s="42" t="s">
        <v>100</v>
      </c>
      <c r="G461" s="43" t="s">
        <v>41</v>
      </c>
      <c r="H461" s="42">
        <v>28</v>
      </c>
      <c r="I461" s="44">
        <v>45851</v>
      </c>
      <c r="J461" s="43" t="s">
        <v>54</v>
      </c>
      <c r="K461" s="46">
        <v>9280</v>
      </c>
      <c r="L461" s="42"/>
      <c r="M461" s="51">
        <f>VLOOKUP(A461,'[1]ناتج ملف Excel'!$A:$AV,46,0)</f>
        <v>428</v>
      </c>
      <c r="N461" s="51">
        <f>VLOOKUP(A461,'[1]ناتج ملف Excel'!$A:$AV,47,0)</f>
        <v>2320</v>
      </c>
      <c r="O461" s="42"/>
      <c r="P461" s="47">
        <v>0</v>
      </c>
      <c r="Q461" s="48"/>
      <c r="R461" s="48">
        <v>0</v>
      </c>
      <c r="S461" s="72"/>
      <c r="T461" s="47">
        <v>3080</v>
      </c>
      <c r="U461" s="48">
        <f t="shared" si="52"/>
        <v>572.5</v>
      </c>
      <c r="V461" s="47">
        <v>500</v>
      </c>
      <c r="W461" s="42">
        <v>0</v>
      </c>
      <c r="X461" s="42">
        <v>0</v>
      </c>
      <c r="Y461" s="42">
        <v>0</v>
      </c>
      <c r="Z461" s="42">
        <v>0</v>
      </c>
      <c r="AA461" s="4">
        <f t="shared" si="54"/>
        <v>6400.5</v>
      </c>
      <c r="AB461" s="4">
        <f t="shared" si="53"/>
        <v>76806</v>
      </c>
      <c r="AC461" s="4">
        <f t="shared" si="55"/>
        <v>194166</v>
      </c>
    </row>
    <row r="462" spans="1:29" x14ac:dyDescent="0.2">
      <c r="A462" s="42">
        <v>400484</v>
      </c>
      <c r="B462" s="43">
        <v>4</v>
      </c>
      <c r="C462" s="42" t="s">
        <v>300</v>
      </c>
      <c r="D462" s="43" t="s">
        <v>33</v>
      </c>
      <c r="E462" s="43"/>
      <c r="F462" s="42" t="s">
        <v>101</v>
      </c>
      <c r="G462" s="43" t="s">
        <v>41</v>
      </c>
      <c r="H462" s="42">
        <v>34</v>
      </c>
      <c r="I462" s="44">
        <v>45851</v>
      </c>
      <c r="J462" s="43" t="s">
        <v>54</v>
      </c>
      <c r="K462" s="46">
        <v>9651</v>
      </c>
      <c r="L462" s="42"/>
      <c r="M462" s="51">
        <f>VLOOKUP(A462,'[1]ناتج ملف Excel'!$A:$AV,46,0)</f>
        <v>465.1</v>
      </c>
      <c r="N462" s="51">
        <f>VLOOKUP(A462,'[1]ناتج ملف Excel'!$A:$AV,47,0)</f>
        <v>2412.75</v>
      </c>
      <c r="O462" s="42"/>
      <c r="P462" s="47">
        <v>0</v>
      </c>
      <c r="Q462" s="48"/>
      <c r="R462" s="48">
        <v>0</v>
      </c>
      <c r="S462" s="72"/>
      <c r="T462" s="47">
        <v>3080</v>
      </c>
      <c r="U462" s="48">
        <f t="shared" si="52"/>
        <v>599.55208333333337</v>
      </c>
      <c r="V462" s="47">
        <v>500</v>
      </c>
      <c r="W462" s="42">
        <v>0</v>
      </c>
      <c r="X462" s="42">
        <v>0</v>
      </c>
      <c r="Y462" s="42">
        <v>0</v>
      </c>
      <c r="Z462" s="42">
        <v>0</v>
      </c>
      <c r="AA462" s="4">
        <f t="shared" si="54"/>
        <v>6557.4020833333343</v>
      </c>
      <c r="AB462" s="4">
        <f t="shared" si="53"/>
        <v>78688.825000000012</v>
      </c>
      <c r="AC462" s="4">
        <f t="shared" si="55"/>
        <v>200500.82500000001</v>
      </c>
    </row>
    <row r="463" spans="1:29" x14ac:dyDescent="0.2">
      <c r="A463" s="42">
        <v>400485</v>
      </c>
      <c r="B463" s="43">
        <v>4</v>
      </c>
      <c r="C463" s="42" t="s">
        <v>300</v>
      </c>
      <c r="D463" s="43" t="s">
        <v>33</v>
      </c>
      <c r="E463" s="43"/>
      <c r="F463" s="42" t="s">
        <v>102</v>
      </c>
      <c r="G463" s="43" t="s">
        <v>41</v>
      </c>
      <c r="H463" s="42">
        <v>35</v>
      </c>
      <c r="I463" s="44">
        <v>45851</v>
      </c>
      <c r="J463" s="43" t="s">
        <v>54</v>
      </c>
      <c r="K463" s="49">
        <v>12565</v>
      </c>
      <c r="L463" s="42"/>
      <c r="M463" s="51">
        <f>VLOOKUP(A463,'[1]ناتج ملف Excel'!$A:$AV,46,0)</f>
        <v>556.5</v>
      </c>
      <c r="N463" s="51">
        <f>VLOOKUP(A463,'[1]ناتج ملف Excel'!$A:$AV,47,0)</f>
        <v>3141.25</v>
      </c>
      <c r="O463" s="42"/>
      <c r="P463" s="47">
        <v>0</v>
      </c>
      <c r="Q463" s="48"/>
      <c r="R463" s="48">
        <v>0</v>
      </c>
      <c r="S463" s="72"/>
      <c r="T463" s="47">
        <v>3080</v>
      </c>
      <c r="U463" s="48">
        <f t="shared" si="52"/>
        <v>770.36458333333337</v>
      </c>
      <c r="V463" s="47">
        <v>700</v>
      </c>
      <c r="W463" s="42">
        <v>750</v>
      </c>
      <c r="X463" s="42">
        <v>2116.625</v>
      </c>
      <c r="Y463" s="42">
        <v>0</v>
      </c>
      <c r="Z463" s="42">
        <v>0</v>
      </c>
      <c r="AA463" s="4">
        <f t="shared" si="54"/>
        <v>7548.1145833333339</v>
      </c>
      <c r="AB463" s="4">
        <f t="shared" si="53"/>
        <v>90577.375</v>
      </c>
      <c r="AC463" s="4">
        <f t="shared" si="55"/>
        <v>284156.875</v>
      </c>
    </row>
    <row r="464" spans="1:29" x14ac:dyDescent="0.2">
      <c r="A464" s="42">
        <v>400486</v>
      </c>
      <c r="B464" s="43" t="s">
        <v>267</v>
      </c>
      <c r="C464" s="42" t="s">
        <v>300</v>
      </c>
      <c r="D464" s="43" t="s">
        <v>33</v>
      </c>
      <c r="E464" s="43"/>
      <c r="F464" s="42" t="s">
        <v>102</v>
      </c>
      <c r="G464" s="43" t="s">
        <v>41</v>
      </c>
      <c r="H464" s="42">
        <v>32</v>
      </c>
      <c r="I464" s="44">
        <v>45851</v>
      </c>
      <c r="J464" s="43" t="s">
        <v>54</v>
      </c>
      <c r="K464" s="46">
        <v>6014</v>
      </c>
      <c r="L464" s="42"/>
      <c r="M464" s="51">
        <f>VLOOKUP(A464,'[1]ناتج ملف Excel'!$A:$AV,46,0)</f>
        <v>101.4</v>
      </c>
      <c r="N464" s="51">
        <f>VLOOKUP(A464,'[1]ناتج ملف Excel'!$A:$AV,47,0)</f>
        <v>1503.5</v>
      </c>
      <c r="O464" s="42"/>
      <c r="P464" s="47">
        <v>0</v>
      </c>
      <c r="Q464" s="48"/>
      <c r="R464" s="48">
        <v>0</v>
      </c>
      <c r="S464" s="72"/>
      <c r="T464" s="47">
        <v>3080</v>
      </c>
      <c r="U464" s="48">
        <f t="shared" si="52"/>
        <v>334.35416666666669</v>
      </c>
      <c r="V464" s="47">
        <v>500</v>
      </c>
      <c r="W464" s="42">
        <v>0</v>
      </c>
      <c r="X464" s="42">
        <v>0</v>
      </c>
      <c r="Y464" s="42">
        <v>0</v>
      </c>
      <c r="Z464" s="42">
        <v>0</v>
      </c>
      <c r="AA464" s="4">
        <f t="shared" si="54"/>
        <v>5019.2541666666657</v>
      </c>
      <c r="AB464" s="4">
        <f t="shared" si="53"/>
        <v>60231.049999999988</v>
      </c>
      <c r="AC464" s="4">
        <f t="shared" si="55"/>
        <v>138399.04999999999</v>
      </c>
    </row>
    <row r="465" spans="1:29" x14ac:dyDescent="0.2">
      <c r="A465" s="42">
        <v>400487</v>
      </c>
      <c r="B465" s="43">
        <v>4</v>
      </c>
      <c r="C465" s="42" t="s">
        <v>300</v>
      </c>
      <c r="D465" s="43" t="s">
        <v>33</v>
      </c>
      <c r="E465" s="43"/>
      <c r="F465" s="42" t="s">
        <v>102</v>
      </c>
      <c r="G465" s="43" t="s">
        <v>41</v>
      </c>
      <c r="H465" s="42">
        <v>33</v>
      </c>
      <c r="I465" s="44">
        <v>45851</v>
      </c>
      <c r="J465" s="43" t="s">
        <v>54</v>
      </c>
      <c r="K465" s="46">
        <v>9102</v>
      </c>
      <c r="L465" s="42"/>
      <c r="M465" s="51">
        <f>VLOOKUP(A465,'[1]ناتج ملف Excel'!$A:$AV,46,0)</f>
        <v>410.2</v>
      </c>
      <c r="N465" s="51">
        <f>VLOOKUP(A465,'[1]ناتج ملف Excel'!$A:$AV,47,0)</f>
        <v>2275.5</v>
      </c>
      <c r="O465" s="42"/>
      <c r="P465" s="47">
        <v>0</v>
      </c>
      <c r="Q465" s="48"/>
      <c r="R465" s="48">
        <v>0</v>
      </c>
      <c r="S465" s="72"/>
      <c r="T465" s="47">
        <v>3080</v>
      </c>
      <c r="U465" s="48">
        <f t="shared" si="52"/>
        <v>559.52083333333337</v>
      </c>
      <c r="V465" s="47">
        <v>500</v>
      </c>
      <c r="W465" s="42">
        <v>0</v>
      </c>
      <c r="X465" s="42">
        <v>0</v>
      </c>
      <c r="Y465" s="42">
        <v>0</v>
      </c>
      <c r="Z465" s="42">
        <v>0</v>
      </c>
      <c r="AA465" s="4">
        <f t="shared" si="54"/>
        <v>6325.2208333333338</v>
      </c>
      <c r="AB465" s="4">
        <f t="shared" si="53"/>
        <v>75902.650000000009</v>
      </c>
      <c r="AC465" s="4">
        <f t="shared" si="55"/>
        <v>191126.65000000002</v>
      </c>
    </row>
    <row r="466" spans="1:29" x14ac:dyDescent="0.2">
      <c r="A466" s="42">
        <v>400488</v>
      </c>
      <c r="B466" s="43">
        <v>4</v>
      </c>
      <c r="C466" s="42" t="s">
        <v>300</v>
      </c>
      <c r="D466" s="43" t="s">
        <v>33</v>
      </c>
      <c r="E466" s="43"/>
      <c r="F466" s="42" t="s">
        <v>103</v>
      </c>
      <c r="G466" s="43" t="s">
        <v>41</v>
      </c>
      <c r="H466" s="42">
        <v>32</v>
      </c>
      <c r="I466" s="44">
        <v>45851</v>
      </c>
      <c r="J466" s="43" t="s">
        <v>54</v>
      </c>
      <c r="K466" s="46">
        <v>9558</v>
      </c>
      <c r="L466" s="42"/>
      <c r="M466" s="51">
        <f>VLOOKUP(A466,'[1]ناتج ملف Excel'!$A:$AV,46,0)</f>
        <v>455.8</v>
      </c>
      <c r="N466" s="51">
        <f>VLOOKUP(A466,'[1]ناتج ملف Excel'!$A:$AV,47,0)</f>
        <v>2389.5</v>
      </c>
      <c r="O466" s="42"/>
      <c r="P466" s="47">
        <v>0</v>
      </c>
      <c r="Q466" s="48"/>
      <c r="R466" s="48">
        <v>0</v>
      </c>
      <c r="S466" s="72"/>
      <c r="T466" s="47">
        <v>3080</v>
      </c>
      <c r="U466" s="48">
        <f t="shared" si="52"/>
        <v>592.77083333333337</v>
      </c>
      <c r="V466" s="47">
        <v>500</v>
      </c>
      <c r="W466" s="42">
        <v>0</v>
      </c>
      <c r="X466" s="42">
        <v>0</v>
      </c>
      <c r="Y466" s="42">
        <v>0</v>
      </c>
      <c r="Z466" s="42">
        <v>0</v>
      </c>
      <c r="AA466" s="4">
        <f t="shared" si="54"/>
        <v>6518.0708333333341</v>
      </c>
      <c r="AB466" s="4">
        <f t="shared" si="53"/>
        <v>78216.850000000006</v>
      </c>
      <c r="AC466" s="4">
        <f t="shared" si="55"/>
        <v>198912.85</v>
      </c>
    </row>
    <row r="467" spans="1:29" x14ac:dyDescent="0.2">
      <c r="A467" s="42">
        <v>400489</v>
      </c>
      <c r="B467" s="43" t="s">
        <v>267</v>
      </c>
      <c r="C467" s="42" t="s">
        <v>300</v>
      </c>
      <c r="D467" s="43" t="s">
        <v>33</v>
      </c>
      <c r="E467" s="43"/>
      <c r="F467" s="42" t="s">
        <v>103</v>
      </c>
      <c r="G467" s="43" t="s">
        <v>41</v>
      </c>
      <c r="H467" s="42">
        <v>26</v>
      </c>
      <c r="I467" s="44">
        <v>45851</v>
      </c>
      <c r="J467" s="43" t="s">
        <v>54</v>
      </c>
      <c r="K467" s="46">
        <v>5955</v>
      </c>
      <c r="L467" s="42"/>
      <c r="M467" s="51">
        <f>VLOOKUP(A467,'[1]ناتج ملف Excel'!$A:$AV,46,0)</f>
        <v>95.5</v>
      </c>
      <c r="N467" s="51">
        <f>VLOOKUP(A467,'[1]ناتج ملف Excel'!$A:$AV,47,0)</f>
        <v>1488.75</v>
      </c>
      <c r="O467" s="42"/>
      <c r="P467" s="47">
        <v>0</v>
      </c>
      <c r="Q467" s="48"/>
      <c r="R467" s="48">
        <v>0</v>
      </c>
      <c r="S467" s="72"/>
      <c r="T467" s="47">
        <v>3080</v>
      </c>
      <c r="U467" s="48">
        <f t="shared" si="52"/>
        <v>330.05208333333331</v>
      </c>
      <c r="V467" s="47">
        <v>500</v>
      </c>
      <c r="W467" s="42">
        <v>0</v>
      </c>
      <c r="X467" s="42">
        <v>0</v>
      </c>
      <c r="Y467" s="42">
        <v>0</v>
      </c>
      <c r="Z467" s="42">
        <v>0</v>
      </c>
      <c r="AA467" s="4">
        <f t="shared" si="54"/>
        <v>4994.3020833333339</v>
      </c>
      <c r="AB467" s="4">
        <f t="shared" si="53"/>
        <v>59931.625000000007</v>
      </c>
      <c r="AC467" s="4">
        <f t="shared" si="55"/>
        <v>137391.625</v>
      </c>
    </row>
    <row r="468" spans="1:29" x14ac:dyDescent="0.2">
      <c r="A468" s="42">
        <v>400490</v>
      </c>
      <c r="B468" s="43" t="s">
        <v>267</v>
      </c>
      <c r="C468" s="42" t="s">
        <v>300</v>
      </c>
      <c r="D468" s="43" t="s">
        <v>33</v>
      </c>
      <c r="E468" s="43"/>
      <c r="F468" s="42" t="s">
        <v>103</v>
      </c>
      <c r="G468" s="43" t="s">
        <v>41</v>
      </c>
      <c r="H468" s="42">
        <v>45</v>
      </c>
      <c r="I468" s="44">
        <v>45851</v>
      </c>
      <c r="J468" s="43" t="s">
        <v>54</v>
      </c>
      <c r="K468" s="49">
        <v>11745</v>
      </c>
      <c r="L468" s="42"/>
      <c r="M468" s="51">
        <f>VLOOKUP(A468,'[1]ناتج ملف Excel'!$A:$AV,46,0)</f>
        <v>100</v>
      </c>
      <c r="N468" s="51">
        <f>VLOOKUP(A468,'[1]ناتج ملف Excel'!$A:$AV,47,0)</f>
        <v>2936.25</v>
      </c>
      <c r="O468" s="42"/>
      <c r="P468" s="47">
        <v>0</v>
      </c>
      <c r="Q468" s="48"/>
      <c r="R468" s="48">
        <v>0</v>
      </c>
      <c r="S468" s="72"/>
      <c r="T468" s="47">
        <v>3080</v>
      </c>
      <c r="U468" s="48">
        <f t="shared" si="52"/>
        <v>632.55208333333337</v>
      </c>
      <c r="V468" s="47">
        <v>700</v>
      </c>
      <c r="W468" s="42">
        <v>0</v>
      </c>
      <c r="X468" s="42">
        <v>0</v>
      </c>
      <c r="Y468" s="42">
        <v>0</v>
      </c>
      <c r="Z468" s="42">
        <v>0</v>
      </c>
      <c r="AA468" s="4">
        <f t="shared" si="54"/>
        <v>6748.8020833333339</v>
      </c>
      <c r="AB468" s="4">
        <f t="shared" si="53"/>
        <v>80985.625</v>
      </c>
      <c r="AC468" s="4">
        <f t="shared" si="55"/>
        <v>230325.625</v>
      </c>
    </row>
    <row r="469" spans="1:29" x14ac:dyDescent="0.2">
      <c r="A469" s="42">
        <v>400492</v>
      </c>
      <c r="B469" s="43" t="s">
        <v>267</v>
      </c>
      <c r="C469" s="42" t="s">
        <v>300</v>
      </c>
      <c r="D469" s="43" t="s">
        <v>33</v>
      </c>
      <c r="E469" s="43"/>
      <c r="F469" s="42" t="s">
        <v>104</v>
      </c>
      <c r="G469" s="43" t="s">
        <v>41</v>
      </c>
      <c r="H469" s="42">
        <v>47</v>
      </c>
      <c r="I469" s="44">
        <v>45851</v>
      </c>
      <c r="J469" s="43" t="s">
        <v>54</v>
      </c>
      <c r="K469" s="49">
        <v>13505</v>
      </c>
      <c r="L469" s="42"/>
      <c r="M469" s="51">
        <f>VLOOKUP(A469,'[1]ناتج ملف Excel'!$A:$AV,46,0)</f>
        <v>100</v>
      </c>
      <c r="N469" s="51">
        <f>VLOOKUP(A469,'[1]ناتج ملف Excel'!$A:$AV,47,0)</f>
        <v>3376.25</v>
      </c>
      <c r="O469" s="42"/>
      <c r="P469" s="47">
        <v>0</v>
      </c>
      <c r="Q469" s="48"/>
      <c r="R469" s="48">
        <v>0</v>
      </c>
      <c r="S469" s="72"/>
      <c r="T469" s="47">
        <v>3080</v>
      </c>
      <c r="U469" s="48">
        <f t="shared" si="52"/>
        <v>724.21875</v>
      </c>
      <c r="V469" s="47">
        <v>700</v>
      </c>
      <c r="W469" s="42">
        <v>0</v>
      </c>
      <c r="X469" s="42">
        <v>0</v>
      </c>
      <c r="Y469" s="42">
        <v>0</v>
      </c>
      <c r="Z469" s="42">
        <v>0</v>
      </c>
      <c r="AA469" s="4">
        <f t="shared" si="54"/>
        <v>7280.46875</v>
      </c>
      <c r="AB469" s="4">
        <f t="shared" si="53"/>
        <v>87365.625</v>
      </c>
      <c r="AC469" s="4">
        <f t="shared" si="55"/>
        <v>257825.625</v>
      </c>
    </row>
    <row r="470" spans="1:29" x14ac:dyDescent="0.2">
      <c r="A470" s="42">
        <v>400493</v>
      </c>
      <c r="B470" s="43" t="s">
        <v>267</v>
      </c>
      <c r="C470" s="42" t="s">
        <v>300</v>
      </c>
      <c r="D470" s="43" t="s">
        <v>33</v>
      </c>
      <c r="E470" s="43"/>
      <c r="F470" s="42" t="s">
        <v>96</v>
      </c>
      <c r="G470" s="43" t="s">
        <v>41</v>
      </c>
      <c r="H470" s="42">
        <v>26</v>
      </c>
      <c r="I470" s="44">
        <v>45851</v>
      </c>
      <c r="J470" s="43" t="s">
        <v>54</v>
      </c>
      <c r="K470" s="46">
        <v>5955</v>
      </c>
      <c r="L470" s="42"/>
      <c r="M470" s="51">
        <f>VLOOKUP(A470,'[1]ناتج ملف Excel'!$A:$AV,46,0)</f>
        <v>95.5</v>
      </c>
      <c r="N470" s="51">
        <f>VLOOKUP(A470,'[1]ناتج ملف Excel'!$A:$AV,47,0)</f>
        <v>1488.75</v>
      </c>
      <c r="O470" s="42"/>
      <c r="P470" s="47">
        <v>0</v>
      </c>
      <c r="Q470" s="48"/>
      <c r="R470" s="48">
        <v>0</v>
      </c>
      <c r="S470" s="72"/>
      <c r="T470" s="47">
        <v>3080</v>
      </c>
      <c r="U470" s="48">
        <f t="shared" si="52"/>
        <v>330.05208333333331</v>
      </c>
      <c r="V470" s="47">
        <v>500</v>
      </c>
      <c r="W470" s="42">
        <v>0</v>
      </c>
      <c r="X470" s="42">
        <v>0</v>
      </c>
      <c r="Y470" s="42">
        <v>0</v>
      </c>
      <c r="Z470" s="42">
        <v>0</v>
      </c>
      <c r="AA470" s="4">
        <f t="shared" si="54"/>
        <v>4994.3020833333339</v>
      </c>
      <c r="AB470" s="4">
        <f t="shared" si="53"/>
        <v>59931.625000000007</v>
      </c>
      <c r="AC470" s="4">
        <f t="shared" si="55"/>
        <v>137391.625</v>
      </c>
    </row>
    <row r="471" spans="1:29" x14ac:dyDescent="0.2">
      <c r="A471" s="42">
        <v>400495</v>
      </c>
      <c r="B471" s="43" t="s">
        <v>267</v>
      </c>
      <c r="C471" s="42" t="s">
        <v>300</v>
      </c>
      <c r="D471" s="43" t="s">
        <v>33</v>
      </c>
      <c r="E471" s="43"/>
      <c r="F471" s="42" t="s">
        <v>105</v>
      </c>
      <c r="G471" s="43" t="s">
        <v>41</v>
      </c>
      <c r="H471" s="42">
        <v>50</v>
      </c>
      <c r="I471" s="44">
        <v>45851</v>
      </c>
      <c r="J471" s="43" t="s">
        <v>54</v>
      </c>
      <c r="K471" s="49">
        <v>11025</v>
      </c>
      <c r="L471" s="42"/>
      <c r="M471" s="51">
        <f>VLOOKUP(A471,'[1]ناتج ملف Excel'!$A:$AV,46,0)</f>
        <v>100</v>
      </c>
      <c r="N471" s="51">
        <f>VLOOKUP(A471,'[1]ناتج ملف Excel'!$A:$AV,47,0)</f>
        <v>2756.25</v>
      </c>
      <c r="O471" s="42"/>
      <c r="P471" s="47">
        <v>0</v>
      </c>
      <c r="Q471" s="48"/>
      <c r="R471" s="48">
        <v>0</v>
      </c>
      <c r="S471" s="72"/>
      <c r="T471" s="47">
        <v>3080</v>
      </c>
      <c r="U471" s="48">
        <f t="shared" si="52"/>
        <v>595.05208333333337</v>
      </c>
      <c r="V471" s="47">
        <v>700</v>
      </c>
      <c r="W471" s="42">
        <v>750</v>
      </c>
      <c r="X471" s="42">
        <v>0</v>
      </c>
      <c r="Y471" s="42">
        <v>0</v>
      </c>
      <c r="Z471" s="42">
        <v>0</v>
      </c>
      <c r="AA471" s="4">
        <f t="shared" si="54"/>
        <v>6531.3020833333339</v>
      </c>
      <c r="AB471" s="4">
        <f t="shared" si="53"/>
        <v>78375.625</v>
      </c>
      <c r="AC471" s="4">
        <f t="shared" si="55"/>
        <v>228075.625</v>
      </c>
    </row>
    <row r="472" spans="1:29" x14ac:dyDescent="0.2">
      <c r="A472" s="42">
        <v>400496</v>
      </c>
      <c r="B472" s="43" t="s">
        <v>267</v>
      </c>
      <c r="C472" s="42" t="s">
        <v>300</v>
      </c>
      <c r="D472" s="43" t="s">
        <v>33</v>
      </c>
      <c r="E472" s="43"/>
      <c r="F472" s="42" t="s">
        <v>105</v>
      </c>
      <c r="G472" s="43" t="s">
        <v>41</v>
      </c>
      <c r="H472" s="42">
        <v>44</v>
      </c>
      <c r="I472" s="44">
        <v>45851</v>
      </c>
      <c r="J472" s="43" t="s">
        <v>54</v>
      </c>
      <c r="K472" s="49">
        <v>11330</v>
      </c>
      <c r="L472" s="42"/>
      <c r="M472" s="51">
        <f>VLOOKUP(A472,'[1]ناتج ملف Excel'!$A:$AV,46,0)</f>
        <v>100</v>
      </c>
      <c r="N472" s="51">
        <f>VLOOKUP(A472,'[1]ناتج ملف Excel'!$A:$AV,47,0)</f>
        <v>2832.5</v>
      </c>
      <c r="O472" s="42"/>
      <c r="P472" s="47">
        <v>0</v>
      </c>
      <c r="Q472" s="48"/>
      <c r="R472" s="48">
        <v>0</v>
      </c>
      <c r="S472" s="72"/>
      <c r="T472" s="47">
        <v>3080</v>
      </c>
      <c r="U472" s="48">
        <f t="shared" si="52"/>
        <v>610.9375</v>
      </c>
      <c r="V472" s="47">
        <v>700</v>
      </c>
      <c r="W472" s="42">
        <v>0</v>
      </c>
      <c r="X472" s="42">
        <v>0</v>
      </c>
      <c r="Y472" s="42">
        <v>0</v>
      </c>
      <c r="Z472" s="42">
        <v>0</v>
      </c>
      <c r="AA472" s="4">
        <f t="shared" si="54"/>
        <v>6623.4375</v>
      </c>
      <c r="AB472" s="4">
        <f t="shared" si="53"/>
        <v>79481.25</v>
      </c>
      <c r="AC472" s="4">
        <f t="shared" si="55"/>
        <v>223841.25</v>
      </c>
    </row>
    <row r="473" spans="1:29" x14ac:dyDescent="0.2">
      <c r="A473" s="42">
        <v>400497</v>
      </c>
      <c r="B473" s="43" t="s">
        <v>267</v>
      </c>
      <c r="C473" s="42" t="s">
        <v>300</v>
      </c>
      <c r="D473" s="43" t="s">
        <v>33</v>
      </c>
      <c r="E473" s="43"/>
      <c r="F473" s="42" t="s">
        <v>97</v>
      </c>
      <c r="G473" s="43" t="s">
        <v>41</v>
      </c>
      <c r="H473" s="42">
        <v>33</v>
      </c>
      <c r="I473" s="44">
        <v>45851</v>
      </c>
      <c r="J473" s="43" t="s">
        <v>54</v>
      </c>
      <c r="K473" s="46">
        <v>9565</v>
      </c>
      <c r="L473" s="42"/>
      <c r="M473" s="51">
        <f>VLOOKUP(A473,'[1]ناتج ملف Excel'!$A:$AV,46,0)</f>
        <v>100</v>
      </c>
      <c r="N473" s="51">
        <f>VLOOKUP(A473,'[1]ناتج ملف Excel'!$A:$AV,47,0)</f>
        <v>2391.25</v>
      </c>
      <c r="O473" s="42"/>
      <c r="P473" s="47">
        <v>0</v>
      </c>
      <c r="Q473" s="48"/>
      <c r="R473" s="48">
        <v>0</v>
      </c>
      <c r="S473" s="72"/>
      <c r="T473" s="47">
        <v>3080</v>
      </c>
      <c r="U473" s="48">
        <f t="shared" si="52"/>
        <v>519.01041666666663</v>
      </c>
      <c r="V473" s="47">
        <v>700</v>
      </c>
      <c r="W473" s="42">
        <v>0</v>
      </c>
      <c r="X473" s="42">
        <v>0</v>
      </c>
      <c r="Y473" s="42">
        <v>0</v>
      </c>
      <c r="Z473" s="42">
        <v>0</v>
      </c>
      <c r="AA473" s="4">
        <f t="shared" si="54"/>
        <v>6090.2604166666661</v>
      </c>
      <c r="AB473" s="4">
        <f t="shared" si="53"/>
        <v>73083.125</v>
      </c>
      <c r="AC473" s="4">
        <f t="shared" si="55"/>
        <v>196263.125</v>
      </c>
    </row>
    <row r="474" spans="1:29" x14ac:dyDescent="0.2">
      <c r="A474" s="42">
        <v>400498</v>
      </c>
      <c r="B474" s="43">
        <v>4</v>
      </c>
      <c r="C474" s="42" t="s">
        <v>300</v>
      </c>
      <c r="D474" s="43" t="s">
        <v>33</v>
      </c>
      <c r="E474" s="43"/>
      <c r="F474" s="42" t="s">
        <v>97</v>
      </c>
      <c r="G474" s="43" t="s">
        <v>41</v>
      </c>
      <c r="H474" s="42">
        <v>54</v>
      </c>
      <c r="I474" s="44">
        <v>45851</v>
      </c>
      <c r="J474" s="43" t="s">
        <v>54</v>
      </c>
      <c r="K474" s="49">
        <v>16395</v>
      </c>
      <c r="L474" s="42"/>
      <c r="M474" s="51">
        <f>VLOOKUP(A474,'[1]ناتج ملف Excel'!$A:$AV,46,0)</f>
        <v>939.5</v>
      </c>
      <c r="N474" s="51">
        <f>VLOOKUP(A474,'[1]ناتج ملف Excel'!$A:$AV,47,0)</f>
        <v>4098.75</v>
      </c>
      <c r="O474" s="42"/>
      <c r="P474" s="47">
        <v>0</v>
      </c>
      <c r="Q474" s="48"/>
      <c r="R474" s="48">
        <v>0</v>
      </c>
      <c r="S474" s="72"/>
      <c r="T474" s="47">
        <v>3080</v>
      </c>
      <c r="U474" s="48">
        <f t="shared" si="52"/>
        <v>1049.6354166666667</v>
      </c>
      <c r="V474" s="47">
        <v>700</v>
      </c>
      <c r="W474" s="42">
        <v>750</v>
      </c>
      <c r="X474" s="42">
        <v>2779.875</v>
      </c>
      <c r="Y474" s="42">
        <v>0</v>
      </c>
      <c r="Z474" s="42">
        <v>0</v>
      </c>
      <c r="AA474" s="4">
        <f t="shared" si="54"/>
        <v>9167.8854166666679</v>
      </c>
      <c r="AB474" s="4">
        <f t="shared" si="53"/>
        <v>110014.62500000001</v>
      </c>
      <c r="AC474" s="4">
        <f t="shared" si="55"/>
        <v>357513.125</v>
      </c>
    </row>
    <row r="475" spans="1:29" x14ac:dyDescent="0.2">
      <c r="A475" s="42">
        <v>400499</v>
      </c>
      <c r="B475" s="43" t="s">
        <v>267</v>
      </c>
      <c r="C475" s="42" t="s">
        <v>300</v>
      </c>
      <c r="D475" s="43" t="s">
        <v>33</v>
      </c>
      <c r="E475" s="43"/>
      <c r="F475" s="42" t="s">
        <v>97</v>
      </c>
      <c r="G475" s="43" t="s">
        <v>41</v>
      </c>
      <c r="H475" s="42">
        <v>31</v>
      </c>
      <c r="I475" s="44">
        <v>45851</v>
      </c>
      <c r="J475" s="43" t="s">
        <v>54</v>
      </c>
      <c r="K475" s="46">
        <v>5614</v>
      </c>
      <c r="L475" s="42"/>
      <c r="M475" s="51">
        <f>VLOOKUP(A475,'[1]ناتج ملف Excel'!$A:$AV,46,0)</f>
        <v>61.4</v>
      </c>
      <c r="N475" s="51">
        <f>VLOOKUP(A475,'[1]ناتج ملف Excel'!$A:$AV,47,0)</f>
        <v>1403.5</v>
      </c>
      <c r="O475" s="42"/>
      <c r="P475" s="47">
        <v>0</v>
      </c>
      <c r="Q475" s="48"/>
      <c r="R475" s="48">
        <v>0</v>
      </c>
      <c r="S475" s="72"/>
      <c r="T475" s="47">
        <v>3080</v>
      </c>
      <c r="U475" s="48">
        <f t="shared" si="52"/>
        <v>305.1875</v>
      </c>
      <c r="V475" s="47">
        <v>500</v>
      </c>
      <c r="W475" s="42">
        <v>0</v>
      </c>
      <c r="X475" s="42">
        <v>0</v>
      </c>
      <c r="Y475" s="42">
        <v>0</v>
      </c>
      <c r="Z475" s="42">
        <v>0</v>
      </c>
      <c r="AA475" s="4">
        <f t="shared" si="54"/>
        <v>4850.0874999999996</v>
      </c>
      <c r="AB475" s="4">
        <f t="shared" si="53"/>
        <v>58201.049999999996</v>
      </c>
      <c r="AC475" s="4">
        <f t="shared" si="55"/>
        <v>131569.04999999999</v>
      </c>
    </row>
    <row r="476" spans="1:29" x14ac:dyDescent="0.2">
      <c r="A476" s="42">
        <v>400500</v>
      </c>
      <c r="B476" s="43" t="s">
        <v>267</v>
      </c>
      <c r="C476" s="42" t="s">
        <v>300</v>
      </c>
      <c r="D476" s="43" t="s">
        <v>33</v>
      </c>
      <c r="E476" s="43"/>
      <c r="F476" s="42" t="s">
        <v>97</v>
      </c>
      <c r="G476" s="43" t="s">
        <v>41</v>
      </c>
      <c r="H476" s="42">
        <v>43</v>
      </c>
      <c r="I476" s="44">
        <v>45851</v>
      </c>
      <c r="J476" s="43" t="s">
        <v>54</v>
      </c>
      <c r="K476" s="49">
        <v>11330</v>
      </c>
      <c r="L476" s="42"/>
      <c r="M476" s="51">
        <f>VLOOKUP(A476,'[1]ناتج ملف Excel'!$A:$AV,46,0)</f>
        <v>100</v>
      </c>
      <c r="N476" s="51">
        <f>VLOOKUP(A476,'[1]ناتج ملف Excel'!$A:$AV,47,0)</f>
        <v>2832.5</v>
      </c>
      <c r="O476" s="42"/>
      <c r="P476" s="47">
        <v>0</v>
      </c>
      <c r="Q476" s="48"/>
      <c r="R476" s="48">
        <v>0</v>
      </c>
      <c r="S476" s="72"/>
      <c r="T476" s="47">
        <v>3080</v>
      </c>
      <c r="U476" s="48">
        <f t="shared" si="52"/>
        <v>610.9375</v>
      </c>
      <c r="V476" s="47">
        <v>700</v>
      </c>
      <c r="W476" s="42">
        <v>750</v>
      </c>
      <c r="X476" s="42">
        <v>0</v>
      </c>
      <c r="Y476" s="42">
        <v>0</v>
      </c>
      <c r="Z476" s="42">
        <v>0</v>
      </c>
      <c r="AA476" s="4">
        <f t="shared" si="54"/>
        <v>6623.4375</v>
      </c>
      <c r="AB476" s="4">
        <f t="shared" si="53"/>
        <v>79481.25</v>
      </c>
      <c r="AC476" s="4">
        <f t="shared" si="55"/>
        <v>232841.25</v>
      </c>
    </row>
    <row r="477" spans="1:29" x14ac:dyDescent="0.2">
      <c r="A477" s="42">
        <v>400501</v>
      </c>
      <c r="B477" s="43">
        <v>4</v>
      </c>
      <c r="C477" s="42" t="s">
        <v>300</v>
      </c>
      <c r="D477" s="43" t="s">
        <v>33</v>
      </c>
      <c r="E477" s="43"/>
      <c r="F477" s="42" t="s">
        <v>106</v>
      </c>
      <c r="G477" s="43" t="s">
        <v>41</v>
      </c>
      <c r="H477" s="42">
        <v>46</v>
      </c>
      <c r="I477" s="44">
        <v>45901</v>
      </c>
      <c r="J477" s="43" t="s">
        <v>54</v>
      </c>
      <c r="K477" s="49">
        <v>13975</v>
      </c>
      <c r="L477" s="42"/>
      <c r="M477" s="51">
        <f>VLOOKUP(A477,'[1]ناتج ملف Excel'!$A:$AV,46,0)</f>
        <v>697.5</v>
      </c>
      <c r="N477" s="51">
        <f>VLOOKUP(A477,'[1]ناتج ملف Excel'!$A:$AV,47,0)</f>
        <v>3493.75</v>
      </c>
      <c r="O477" s="42"/>
      <c r="P477" s="47">
        <v>0</v>
      </c>
      <c r="Q477" s="48"/>
      <c r="R477" s="48">
        <v>0</v>
      </c>
      <c r="S477" s="72"/>
      <c r="T477" s="47">
        <v>3080</v>
      </c>
      <c r="U477" s="48">
        <f t="shared" si="52"/>
        <v>873.17708333333337</v>
      </c>
      <c r="V477" s="47">
        <v>700</v>
      </c>
      <c r="W477" s="42">
        <v>750</v>
      </c>
      <c r="X477" s="42">
        <v>2363.375</v>
      </c>
      <c r="Y477" s="42">
        <v>0</v>
      </c>
      <c r="Z477" s="42">
        <v>0</v>
      </c>
      <c r="AA477" s="4">
        <f t="shared" si="54"/>
        <v>8144.4270833333339</v>
      </c>
      <c r="AB477" s="4">
        <f t="shared" si="53"/>
        <v>97733.125</v>
      </c>
      <c r="AC477" s="4">
        <f t="shared" si="55"/>
        <v>311193.625</v>
      </c>
    </row>
    <row r="478" spans="1:29" x14ac:dyDescent="0.2">
      <c r="A478" s="42">
        <v>400502</v>
      </c>
      <c r="B478" s="43">
        <v>4</v>
      </c>
      <c r="C478" s="42" t="s">
        <v>300</v>
      </c>
      <c r="D478" s="43" t="s">
        <v>33</v>
      </c>
      <c r="E478" s="43"/>
      <c r="F478" s="42" t="s">
        <v>106</v>
      </c>
      <c r="G478" s="43" t="s">
        <v>41</v>
      </c>
      <c r="H478" s="42">
        <v>43</v>
      </c>
      <c r="I478" s="44">
        <v>45901</v>
      </c>
      <c r="J478" s="43" t="s">
        <v>54</v>
      </c>
      <c r="K478" s="49">
        <v>16395</v>
      </c>
      <c r="L478" s="42"/>
      <c r="M478" s="51">
        <f>VLOOKUP(A478,'[1]ناتج ملف Excel'!$A:$AV,46,0)</f>
        <v>939.5</v>
      </c>
      <c r="N478" s="51">
        <f>VLOOKUP(A478,'[1]ناتج ملف Excel'!$A:$AV,47,0)</f>
        <v>4098.75</v>
      </c>
      <c r="O478" s="42"/>
      <c r="P478" s="47">
        <v>0</v>
      </c>
      <c r="Q478" s="48"/>
      <c r="R478" s="48">
        <v>0</v>
      </c>
      <c r="S478" s="72"/>
      <c r="T478" s="47">
        <v>3080</v>
      </c>
      <c r="U478" s="48">
        <f t="shared" si="52"/>
        <v>1049.6354166666667</v>
      </c>
      <c r="V478" s="47">
        <v>700</v>
      </c>
      <c r="W478" s="42">
        <v>750</v>
      </c>
      <c r="X478" s="42">
        <v>2779.875</v>
      </c>
      <c r="Y478" s="42">
        <v>0</v>
      </c>
      <c r="Z478" s="42">
        <v>0</v>
      </c>
      <c r="AA478" s="4">
        <f t="shared" si="54"/>
        <v>9167.8854166666679</v>
      </c>
      <c r="AB478" s="4">
        <f t="shared" si="53"/>
        <v>110014.62500000001</v>
      </c>
      <c r="AC478" s="4">
        <f t="shared" si="55"/>
        <v>357513.125</v>
      </c>
    </row>
    <row r="479" spans="1:29" x14ac:dyDescent="0.2">
      <c r="A479" s="42">
        <v>400503</v>
      </c>
      <c r="B479" s="43" t="s">
        <v>267</v>
      </c>
      <c r="C479" s="42" t="s">
        <v>300</v>
      </c>
      <c r="D479" s="43" t="s">
        <v>33</v>
      </c>
      <c r="E479" s="43"/>
      <c r="F479" s="42" t="s">
        <v>106</v>
      </c>
      <c r="G479" s="43" t="s">
        <v>41</v>
      </c>
      <c r="H479" s="42">
        <v>39</v>
      </c>
      <c r="I479" s="44">
        <v>45901</v>
      </c>
      <c r="J479" s="43" t="s">
        <v>54</v>
      </c>
      <c r="K479" s="49">
        <v>10253</v>
      </c>
      <c r="L479" s="42"/>
      <c r="M479" s="51">
        <f>VLOOKUP(A479,'[1]ناتج ملف Excel'!$A:$AV,46,0)</f>
        <v>100</v>
      </c>
      <c r="N479" s="51">
        <f>VLOOKUP(A479,'[1]ناتج ملف Excel'!$A:$AV,47,0)</f>
        <v>2563.25</v>
      </c>
      <c r="O479" s="42"/>
      <c r="P479" s="47">
        <v>0</v>
      </c>
      <c r="Q479" s="48"/>
      <c r="R479" s="48">
        <v>0</v>
      </c>
      <c r="S479" s="72"/>
      <c r="T479" s="47">
        <v>3080</v>
      </c>
      <c r="U479" s="48">
        <f t="shared" si="52"/>
        <v>554.84375</v>
      </c>
      <c r="V479" s="47">
        <v>700</v>
      </c>
      <c r="W479" s="42">
        <v>0</v>
      </c>
      <c r="X479" s="42">
        <v>0</v>
      </c>
      <c r="Y479" s="42">
        <v>0</v>
      </c>
      <c r="Z479" s="42">
        <v>0</v>
      </c>
      <c r="AA479" s="4">
        <f t="shared" si="54"/>
        <v>6298.09375</v>
      </c>
      <c r="AB479" s="4">
        <f t="shared" si="53"/>
        <v>75577.125</v>
      </c>
      <c r="AC479" s="4">
        <f t="shared" si="55"/>
        <v>207013.125</v>
      </c>
    </row>
    <row r="480" spans="1:29" x14ac:dyDescent="0.2">
      <c r="A480" s="42">
        <v>400504</v>
      </c>
      <c r="B480" s="43">
        <v>4</v>
      </c>
      <c r="C480" s="42" t="s">
        <v>300</v>
      </c>
      <c r="D480" s="43" t="s">
        <v>33</v>
      </c>
      <c r="E480" s="43"/>
      <c r="F480" s="42" t="s">
        <v>107</v>
      </c>
      <c r="G480" s="43" t="s">
        <v>41</v>
      </c>
      <c r="H480" s="42">
        <v>42</v>
      </c>
      <c r="I480" s="44">
        <v>45901</v>
      </c>
      <c r="J480" s="43" t="s">
        <v>54</v>
      </c>
      <c r="K480" s="49">
        <v>13505</v>
      </c>
      <c r="L480" s="42"/>
      <c r="M480" s="51">
        <f>VLOOKUP(A480,'[1]ناتج ملف Excel'!$A:$AV,46,0)</f>
        <v>650.5</v>
      </c>
      <c r="N480" s="51">
        <f>VLOOKUP(A480,'[1]ناتج ملف Excel'!$A:$AV,47,0)</f>
        <v>3376.25</v>
      </c>
      <c r="O480" s="42"/>
      <c r="P480" s="47">
        <v>0</v>
      </c>
      <c r="Q480" s="48"/>
      <c r="R480" s="48">
        <v>0</v>
      </c>
      <c r="S480" s="72"/>
      <c r="T480" s="47">
        <v>3080</v>
      </c>
      <c r="U480" s="48">
        <f t="shared" si="52"/>
        <v>838.90625</v>
      </c>
      <c r="V480" s="47">
        <v>700</v>
      </c>
      <c r="W480" s="42">
        <v>750</v>
      </c>
      <c r="X480" s="42">
        <v>2281.125</v>
      </c>
      <c r="Y480" s="42">
        <v>0</v>
      </c>
      <c r="Z480" s="42">
        <v>0</v>
      </c>
      <c r="AA480" s="4">
        <f t="shared" si="54"/>
        <v>7945.65625</v>
      </c>
      <c r="AB480" s="4">
        <f t="shared" si="53"/>
        <v>95347.875</v>
      </c>
      <c r="AC480" s="4">
        <f t="shared" si="55"/>
        <v>302181.375</v>
      </c>
    </row>
    <row r="481" spans="1:29" x14ac:dyDescent="0.2">
      <c r="A481" s="42">
        <v>400505</v>
      </c>
      <c r="B481" s="43">
        <v>4</v>
      </c>
      <c r="C481" s="42" t="s">
        <v>300</v>
      </c>
      <c r="D481" s="43" t="s">
        <v>33</v>
      </c>
      <c r="E481" s="43"/>
      <c r="F481" s="42" t="s">
        <v>108</v>
      </c>
      <c r="G481" s="43" t="s">
        <v>41</v>
      </c>
      <c r="H481" s="42">
        <v>43</v>
      </c>
      <c r="I481" s="44">
        <v>45901</v>
      </c>
      <c r="J481" s="43" t="s">
        <v>54</v>
      </c>
      <c r="K481" s="49">
        <v>15885</v>
      </c>
      <c r="L481" s="42"/>
      <c r="M481" s="51">
        <f>VLOOKUP(A481,'[1]ناتج ملف Excel'!$A:$AV,46,0)</f>
        <v>888.5</v>
      </c>
      <c r="N481" s="51">
        <f>VLOOKUP(A481,'[1]ناتج ملف Excel'!$A:$AV,47,0)</f>
        <v>3971.25</v>
      </c>
      <c r="O481" s="42"/>
      <c r="P481" s="47">
        <v>0</v>
      </c>
      <c r="Q481" s="48"/>
      <c r="R481" s="48">
        <v>0</v>
      </c>
      <c r="S481" s="72"/>
      <c r="T481" s="47">
        <v>3080</v>
      </c>
      <c r="U481" s="48">
        <f t="shared" si="52"/>
        <v>1012.4479166666666</v>
      </c>
      <c r="V481" s="47">
        <v>700</v>
      </c>
      <c r="W481" s="42">
        <v>750</v>
      </c>
      <c r="X481" s="42">
        <v>2690.625</v>
      </c>
      <c r="Y481" s="42">
        <v>0</v>
      </c>
      <c r="Z481" s="42">
        <v>0</v>
      </c>
      <c r="AA481" s="4">
        <f t="shared" si="54"/>
        <v>8952.1979166666661</v>
      </c>
      <c r="AB481" s="4">
        <f t="shared" si="53"/>
        <v>107426.375</v>
      </c>
      <c r="AC481" s="4">
        <f t="shared" si="55"/>
        <v>347733.875</v>
      </c>
    </row>
    <row r="482" spans="1:29" x14ac:dyDescent="0.2">
      <c r="A482" s="42">
        <v>400506</v>
      </c>
      <c r="B482" s="43">
        <v>4</v>
      </c>
      <c r="C482" s="42" t="s">
        <v>300</v>
      </c>
      <c r="D482" s="43" t="s">
        <v>33</v>
      </c>
      <c r="E482" s="43"/>
      <c r="F482" s="42" t="s">
        <v>108</v>
      </c>
      <c r="G482" s="43" t="s">
        <v>41</v>
      </c>
      <c r="H482" s="42">
        <v>33</v>
      </c>
      <c r="I482" s="44">
        <v>45901</v>
      </c>
      <c r="J482" s="43" t="s">
        <v>54</v>
      </c>
      <c r="K482" s="49">
        <v>12565</v>
      </c>
      <c r="L482" s="42"/>
      <c r="M482" s="51">
        <f>VLOOKUP(A482,'[1]ناتج ملف Excel'!$A:$AV,46,0)</f>
        <v>556.5</v>
      </c>
      <c r="N482" s="51">
        <f>VLOOKUP(A482,'[1]ناتج ملف Excel'!$A:$AV,47,0)</f>
        <v>3141.25</v>
      </c>
      <c r="O482" s="42"/>
      <c r="P482" s="47">
        <v>0</v>
      </c>
      <c r="Q482" s="48"/>
      <c r="R482" s="48">
        <v>0</v>
      </c>
      <c r="S482" s="72"/>
      <c r="T482" s="47">
        <v>3080</v>
      </c>
      <c r="U482" s="48">
        <f t="shared" si="52"/>
        <v>770.36458333333337</v>
      </c>
      <c r="V482" s="47">
        <v>700</v>
      </c>
      <c r="W482" s="42">
        <v>0</v>
      </c>
      <c r="X482" s="42">
        <v>2116.625</v>
      </c>
      <c r="Y482" s="42">
        <v>0</v>
      </c>
      <c r="Z482" s="42">
        <v>0</v>
      </c>
      <c r="AA482" s="4">
        <f t="shared" si="54"/>
        <v>7548.1145833333339</v>
      </c>
      <c r="AB482" s="4">
        <f t="shared" si="53"/>
        <v>90577.375</v>
      </c>
      <c r="AC482" s="4">
        <f t="shared" si="55"/>
        <v>275156.875</v>
      </c>
    </row>
    <row r="483" spans="1:29" x14ac:dyDescent="0.2">
      <c r="A483" s="42">
        <v>400507</v>
      </c>
      <c r="B483" s="43">
        <v>4</v>
      </c>
      <c r="C483" s="42" t="s">
        <v>300</v>
      </c>
      <c r="D483" s="43" t="s">
        <v>33</v>
      </c>
      <c r="E483" s="43"/>
      <c r="F483" s="42" t="s">
        <v>108</v>
      </c>
      <c r="G483" s="43" t="s">
        <v>41</v>
      </c>
      <c r="H483" s="42">
        <v>37</v>
      </c>
      <c r="I483" s="44">
        <v>45901</v>
      </c>
      <c r="J483" s="43" t="s">
        <v>54</v>
      </c>
      <c r="K483" s="49">
        <v>13035</v>
      </c>
      <c r="L483" s="42"/>
      <c r="M483" s="51">
        <f>VLOOKUP(A483,'[1]ناتج ملف Excel'!$A:$AV,46,0)</f>
        <v>603.5</v>
      </c>
      <c r="N483" s="51">
        <f>VLOOKUP(A483,'[1]ناتج ملف Excel'!$A:$AV,47,0)</f>
        <v>3258.75</v>
      </c>
      <c r="O483" s="42"/>
      <c r="P483" s="47">
        <v>0</v>
      </c>
      <c r="Q483" s="48"/>
      <c r="R483" s="48">
        <v>0</v>
      </c>
      <c r="S483" s="72"/>
      <c r="T483" s="47">
        <v>3080</v>
      </c>
      <c r="U483" s="48">
        <f t="shared" si="52"/>
        <v>804.63541666666663</v>
      </c>
      <c r="V483" s="47">
        <v>700</v>
      </c>
      <c r="W483" s="42">
        <v>750</v>
      </c>
      <c r="X483" s="42">
        <v>2198.875</v>
      </c>
      <c r="Y483" s="42">
        <v>0</v>
      </c>
      <c r="Z483" s="42">
        <v>0</v>
      </c>
      <c r="AA483" s="4">
        <f t="shared" si="54"/>
        <v>7746.8854166666661</v>
      </c>
      <c r="AB483" s="4">
        <f t="shared" si="53"/>
        <v>92962.625</v>
      </c>
      <c r="AC483" s="4">
        <f t="shared" si="55"/>
        <v>293169.125</v>
      </c>
    </row>
    <row r="484" spans="1:29" x14ac:dyDescent="0.2">
      <c r="A484" s="42">
        <v>400508</v>
      </c>
      <c r="B484" s="43">
        <v>4</v>
      </c>
      <c r="C484" s="42" t="s">
        <v>300</v>
      </c>
      <c r="D484" s="43" t="s">
        <v>33</v>
      </c>
      <c r="E484" s="43"/>
      <c r="F484" s="42" t="s">
        <v>108</v>
      </c>
      <c r="G484" s="43" t="s">
        <v>41</v>
      </c>
      <c r="H484" s="42">
        <v>46</v>
      </c>
      <c r="I484" s="44">
        <v>45901</v>
      </c>
      <c r="J484" s="43" t="s">
        <v>54</v>
      </c>
      <c r="K484" s="49">
        <v>15885</v>
      </c>
      <c r="L484" s="42"/>
      <c r="M484" s="51">
        <f>VLOOKUP(A484,'[1]ناتج ملف Excel'!$A:$AV,46,0)</f>
        <v>888.5</v>
      </c>
      <c r="N484" s="51">
        <f>VLOOKUP(A484,'[1]ناتج ملف Excel'!$A:$AV,47,0)</f>
        <v>3971.25</v>
      </c>
      <c r="O484" s="42"/>
      <c r="P484" s="47">
        <v>0</v>
      </c>
      <c r="Q484" s="48"/>
      <c r="R484" s="48">
        <v>0</v>
      </c>
      <c r="S484" s="72"/>
      <c r="T484" s="47">
        <v>3080</v>
      </c>
      <c r="U484" s="48">
        <f t="shared" si="52"/>
        <v>1012.4479166666666</v>
      </c>
      <c r="V484" s="47">
        <v>700</v>
      </c>
      <c r="W484" s="42">
        <v>0</v>
      </c>
      <c r="X484" s="42">
        <v>2690.625</v>
      </c>
      <c r="Y484" s="42">
        <v>0</v>
      </c>
      <c r="Z484" s="42">
        <v>0</v>
      </c>
      <c r="AA484" s="4">
        <f t="shared" si="54"/>
        <v>8952.1979166666661</v>
      </c>
      <c r="AB484" s="4">
        <f t="shared" si="53"/>
        <v>107426.375</v>
      </c>
      <c r="AC484" s="4">
        <f t="shared" si="55"/>
        <v>338733.875</v>
      </c>
    </row>
    <row r="485" spans="1:29" x14ac:dyDescent="0.2">
      <c r="A485" s="42">
        <v>400509</v>
      </c>
      <c r="B485" s="43">
        <v>4</v>
      </c>
      <c r="C485" s="42" t="s">
        <v>300</v>
      </c>
      <c r="D485" s="43" t="s">
        <v>33</v>
      </c>
      <c r="E485" s="43"/>
      <c r="F485" s="42" t="s">
        <v>91</v>
      </c>
      <c r="G485" s="43" t="s">
        <v>41</v>
      </c>
      <c r="H485" s="42">
        <v>34</v>
      </c>
      <c r="I485" s="44">
        <v>45901</v>
      </c>
      <c r="J485" s="43" t="s">
        <v>54</v>
      </c>
      <c r="K485" s="46">
        <v>9102</v>
      </c>
      <c r="L485" s="42"/>
      <c r="M485" s="51">
        <f>VLOOKUP(A485,'[1]ناتج ملف Excel'!$A:$AV,46,0)</f>
        <v>410.2</v>
      </c>
      <c r="N485" s="51">
        <f>VLOOKUP(A485,'[1]ناتج ملف Excel'!$A:$AV,47,0)</f>
        <v>2275.5</v>
      </c>
      <c r="O485" s="42"/>
      <c r="P485" s="47">
        <v>0</v>
      </c>
      <c r="Q485" s="48"/>
      <c r="R485" s="48">
        <v>0</v>
      </c>
      <c r="S485" s="72"/>
      <c r="T485" s="47">
        <v>3080</v>
      </c>
      <c r="U485" s="48">
        <f t="shared" si="52"/>
        <v>559.52083333333337</v>
      </c>
      <c r="V485" s="47">
        <v>500</v>
      </c>
      <c r="W485" s="42">
        <v>0</v>
      </c>
      <c r="X485" s="42">
        <v>0</v>
      </c>
      <c r="Y485" s="42">
        <v>0</v>
      </c>
      <c r="Z485" s="42">
        <v>0</v>
      </c>
      <c r="AA485" s="4">
        <f t="shared" si="54"/>
        <v>6325.2208333333338</v>
      </c>
      <c r="AB485" s="4">
        <f t="shared" si="53"/>
        <v>75902.650000000009</v>
      </c>
      <c r="AC485" s="4">
        <f t="shared" si="55"/>
        <v>191126.65000000002</v>
      </c>
    </row>
    <row r="486" spans="1:29" x14ac:dyDescent="0.2">
      <c r="A486" s="42">
        <v>400510</v>
      </c>
      <c r="B486" s="43">
        <v>4</v>
      </c>
      <c r="C486" s="42" t="s">
        <v>300</v>
      </c>
      <c r="D486" s="43" t="s">
        <v>33</v>
      </c>
      <c r="E486" s="43"/>
      <c r="F486" s="42" t="s">
        <v>109</v>
      </c>
      <c r="G486" s="43" t="s">
        <v>41</v>
      </c>
      <c r="H486" s="42">
        <v>29</v>
      </c>
      <c r="I486" s="44">
        <v>45901</v>
      </c>
      <c r="J486" s="43" t="s">
        <v>54</v>
      </c>
      <c r="K486" s="46">
        <v>9552</v>
      </c>
      <c r="L486" s="42"/>
      <c r="M486" s="51">
        <f>VLOOKUP(A486,'[1]ناتج ملف Excel'!$A:$AV,46,0)</f>
        <v>455.2</v>
      </c>
      <c r="N486" s="51">
        <f>VLOOKUP(A486,'[1]ناتج ملف Excel'!$A:$AV,47,0)</f>
        <v>2388</v>
      </c>
      <c r="O486" s="42"/>
      <c r="P486" s="47">
        <v>0</v>
      </c>
      <c r="Q486" s="48"/>
      <c r="R486" s="48">
        <v>0</v>
      </c>
      <c r="S486" s="72"/>
      <c r="T486" s="47">
        <v>3080</v>
      </c>
      <c r="U486" s="48">
        <f t="shared" si="52"/>
        <v>592.33333333333337</v>
      </c>
      <c r="V486" s="47">
        <v>500</v>
      </c>
      <c r="W486" s="42">
        <v>0</v>
      </c>
      <c r="X486" s="42">
        <v>0</v>
      </c>
      <c r="Y486" s="42">
        <v>0</v>
      </c>
      <c r="Z486" s="42">
        <v>0</v>
      </c>
      <c r="AA486" s="4">
        <f t="shared" si="54"/>
        <v>6515.5333333333338</v>
      </c>
      <c r="AB486" s="4">
        <f t="shared" si="53"/>
        <v>78186.400000000009</v>
      </c>
      <c r="AC486" s="4">
        <f t="shared" si="55"/>
        <v>198810.40000000002</v>
      </c>
    </row>
    <row r="487" spans="1:29" x14ac:dyDescent="0.2">
      <c r="A487" s="42">
        <v>400511</v>
      </c>
      <c r="B487" s="43">
        <v>4</v>
      </c>
      <c r="C487" s="42" t="s">
        <v>300</v>
      </c>
      <c r="D487" s="43" t="s">
        <v>33</v>
      </c>
      <c r="E487" s="43"/>
      <c r="F487" s="42" t="s">
        <v>109</v>
      </c>
      <c r="G487" s="43" t="s">
        <v>41</v>
      </c>
      <c r="H487" s="42">
        <v>35</v>
      </c>
      <c r="I487" s="44">
        <v>45901</v>
      </c>
      <c r="J487" s="43" t="s">
        <v>54</v>
      </c>
      <c r="K487" s="49">
        <v>13035</v>
      </c>
      <c r="L487" s="42"/>
      <c r="M487" s="51">
        <f>VLOOKUP(A487,'[1]ناتج ملف Excel'!$A:$AV,46,0)</f>
        <v>603.5</v>
      </c>
      <c r="N487" s="51">
        <f>VLOOKUP(A487,'[1]ناتج ملف Excel'!$A:$AV,47,0)</f>
        <v>3258.75</v>
      </c>
      <c r="O487" s="42"/>
      <c r="P487" s="47">
        <v>0</v>
      </c>
      <c r="Q487" s="48"/>
      <c r="R487" s="48">
        <v>0</v>
      </c>
      <c r="S487" s="72"/>
      <c r="T487" s="47">
        <v>3080</v>
      </c>
      <c r="U487" s="48">
        <f t="shared" si="52"/>
        <v>804.63541666666663</v>
      </c>
      <c r="V487" s="47">
        <v>700</v>
      </c>
      <c r="W487" s="42">
        <v>750</v>
      </c>
      <c r="X487" s="42">
        <v>2198.875</v>
      </c>
      <c r="Y487" s="42">
        <v>0</v>
      </c>
      <c r="Z487" s="42">
        <v>0</v>
      </c>
      <c r="AA487" s="4">
        <f t="shared" si="54"/>
        <v>7746.8854166666661</v>
      </c>
      <c r="AB487" s="4">
        <f t="shared" si="53"/>
        <v>92962.625</v>
      </c>
      <c r="AC487" s="4">
        <f t="shared" si="55"/>
        <v>293169.125</v>
      </c>
    </row>
    <row r="488" spans="1:29" x14ac:dyDescent="0.2">
      <c r="A488" s="42">
        <v>400512</v>
      </c>
      <c r="B488" s="43">
        <v>4</v>
      </c>
      <c r="C488" s="42" t="s">
        <v>300</v>
      </c>
      <c r="D488" s="43" t="s">
        <v>33</v>
      </c>
      <c r="E488" s="43"/>
      <c r="F488" s="42" t="s">
        <v>95</v>
      </c>
      <c r="G488" s="43" t="s">
        <v>41</v>
      </c>
      <c r="H488" s="42">
        <v>42</v>
      </c>
      <c r="I488" s="44">
        <v>45901</v>
      </c>
      <c r="J488" s="43" t="s">
        <v>54</v>
      </c>
      <c r="K488" s="49">
        <v>14445</v>
      </c>
      <c r="L488" s="42"/>
      <c r="M488" s="51">
        <f>VLOOKUP(A488,'[1]ناتج ملف Excel'!$A:$AV,46,0)</f>
        <v>744.5</v>
      </c>
      <c r="N488" s="51">
        <f>VLOOKUP(A488,'[1]ناتج ملف Excel'!$A:$AV,47,0)</f>
        <v>3611.25</v>
      </c>
      <c r="O488" s="42"/>
      <c r="P488" s="47">
        <v>0</v>
      </c>
      <c r="Q488" s="48"/>
      <c r="R488" s="48">
        <v>0</v>
      </c>
      <c r="S488" s="72"/>
      <c r="T488" s="47">
        <v>3080</v>
      </c>
      <c r="U488" s="48">
        <f t="shared" si="52"/>
        <v>907.44791666666663</v>
      </c>
      <c r="V488" s="47">
        <v>700</v>
      </c>
      <c r="W488" s="42">
        <v>0</v>
      </c>
      <c r="X488" s="42">
        <v>2445.625</v>
      </c>
      <c r="Y488" s="42">
        <v>0</v>
      </c>
      <c r="Z488" s="42">
        <v>0</v>
      </c>
      <c r="AA488" s="4">
        <f t="shared" si="54"/>
        <v>8343.1979166666661</v>
      </c>
      <c r="AB488" s="4">
        <f t="shared" si="53"/>
        <v>100118.375</v>
      </c>
      <c r="AC488" s="4">
        <f t="shared" si="55"/>
        <v>311205.875</v>
      </c>
    </row>
    <row r="489" spans="1:29" x14ac:dyDescent="0.2">
      <c r="A489" s="42">
        <v>400513</v>
      </c>
      <c r="B489" s="43">
        <v>4</v>
      </c>
      <c r="C489" s="42" t="s">
        <v>300</v>
      </c>
      <c r="D489" s="43" t="s">
        <v>33</v>
      </c>
      <c r="E489" s="43"/>
      <c r="F489" s="42" t="s">
        <v>95</v>
      </c>
      <c r="G489" s="43" t="s">
        <v>41</v>
      </c>
      <c r="H489" s="42">
        <v>42</v>
      </c>
      <c r="I489" s="44">
        <v>45901</v>
      </c>
      <c r="J489" s="43" t="s">
        <v>54</v>
      </c>
      <c r="K489" s="49">
        <v>12565</v>
      </c>
      <c r="L489" s="42"/>
      <c r="M489" s="51">
        <f>VLOOKUP(A489,'[1]ناتج ملف Excel'!$A:$AV,46,0)</f>
        <v>556.5</v>
      </c>
      <c r="N489" s="51">
        <f>VLOOKUP(A489,'[1]ناتج ملف Excel'!$A:$AV,47,0)</f>
        <v>3141.25</v>
      </c>
      <c r="O489" s="42"/>
      <c r="P489" s="47">
        <v>0</v>
      </c>
      <c r="Q489" s="48"/>
      <c r="R489" s="48">
        <v>0</v>
      </c>
      <c r="S489" s="72"/>
      <c r="T489" s="47">
        <v>3080</v>
      </c>
      <c r="U489" s="48">
        <f t="shared" si="52"/>
        <v>770.36458333333337</v>
      </c>
      <c r="V489" s="47">
        <v>700</v>
      </c>
      <c r="W489" s="42">
        <v>750</v>
      </c>
      <c r="X489" s="42">
        <v>2116.625</v>
      </c>
      <c r="Y489" s="42">
        <v>0</v>
      </c>
      <c r="Z489" s="42">
        <v>0</v>
      </c>
      <c r="AA489" s="4">
        <f t="shared" si="54"/>
        <v>7548.1145833333339</v>
      </c>
      <c r="AB489" s="4">
        <f t="shared" si="53"/>
        <v>90577.375</v>
      </c>
      <c r="AC489" s="4">
        <f t="shared" si="55"/>
        <v>284156.875</v>
      </c>
    </row>
    <row r="490" spans="1:29" x14ac:dyDescent="0.2">
      <c r="A490" s="42">
        <v>400514</v>
      </c>
      <c r="B490" s="43" t="s">
        <v>267</v>
      </c>
      <c r="C490" s="42" t="s">
        <v>300</v>
      </c>
      <c r="D490" s="43" t="s">
        <v>33</v>
      </c>
      <c r="E490" s="43"/>
      <c r="F490" s="42" t="s">
        <v>110</v>
      </c>
      <c r="G490" s="43" t="s">
        <v>41</v>
      </c>
      <c r="H490" s="42">
        <v>41</v>
      </c>
      <c r="I490" s="44">
        <v>45901</v>
      </c>
      <c r="J490" s="43" t="s">
        <v>54</v>
      </c>
      <c r="K490" s="49">
        <v>11330</v>
      </c>
      <c r="L490" s="42"/>
      <c r="M490" s="51">
        <f>VLOOKUP(A490,'[1]ناتج ملف Excel'!$A:$AV,46,0)</f>
        <v>100</v>
      </c>
      <c r="N490" s="51">
        <f>VLOOKUP(A490,'[1]ناتج ملف Excel'!$A:$AV,47,0)</f>
        <v>2832.5</v>
      </c>
      <c r="O490" s="42"/>
      <c r="P490" s="47">
        <v>0</v>
      </c>
      <c r="Q490" s="48"/>
      <c r="R490" s="48">
        <v>0</v>
      </c>
      <c r="S490" s="72"/>
      <c r="T490" s="47">
        <v>3080</v>
      </c>
      <c r="U490" s="48">
        <f t="shared" si="52"/>
        <v>610.9375</v>
      </c>
      <c r="V490" s="47">
        <v>700</v>
      </c>
      <c r="W490" s="42">
        <v>750</v>
      </c>
      <c r="X490" s="42">
        <v>0</v>
      </c>
      <c r="Y490" s="42">
        <v>0</v>
      </c>
      <c r="Z490" s="42">
        <v>0</v>
      </c>
      <c r="AA490" s="4">
        <f t="shared" si="54"/>
        <v>6623.4375</v>
      </c>
      <c r="AB490" s="4">
        <f t="shared" si="53"/>
        <v>79481.25</v>
      </c>
      <c r="AC490" s="4">
        <f t="shared" si="55"/>
        <v>232841.25</v>
      </c>
    </row>
    <row r="491" spans="1:29" x14ac:dyDescent="0.2">
      <c r="A491" s="42">
        <v>400515</v>
      </c>
      <c r="B491" s="43">
        <v>4</v>
      </c>
      <c r="C491" s="42" t="s">
        <v>300</v>
      </c>
      <c r="D491" s="43" t="s">
        <v>33</v>
      </c>
      <c r="E491" s="43"/>
      <c r="F491" s="42" t="s">
        <v>110</v>
      </c>
      <c r="G491" s="43" t="s">
        <v>41</v>
      </c>
      <c r="H491" s="42">
        <v>50</v>
      </c>
      <c r="I491" s="44">
        <v>45901</v>
      </c>
      <c r="J491" s="43" t="s">
        <v>54</v>
      </c>
      <c r="K491" s="49">
        <v>18705</v>
      </c>
      <c r="L491" s="42"/>
      <c r="M491" s="51">
        <f>VLOOKUP(A491,'[1]ناتج ملف Excel'!$A:$AV,46,0)</f>
        <v>970.5</v>
      </c>
      <c r="N491" s="51">
        <f>VLOOKUP(A491,'[1]ناتج ملف Excel'!$A:$AV,47,0)</f>
        <v>4676.25</v>
      </c>
      <c r="O491" s="42"/>
      <c r="P491" s="47">
        <v>0</v>
      </c>
      <c r="Q491" s="48"/>
      <c r="R491" s="48">
        <v>0</v>
      </c>
      <c r="S491" s="72"/>
      <c r="T491" s="47">
        <v>3080</v>
      </c>
      <c r="U491" s="48">
        <f t="shared" si="52"/>
        <v>1176.40625</v>
      </c>
      <c r="V491" s="47">
        <v>900</v>
      </c>
      <c r="W491" s="42">
        <v>750</v>
      </c>
      <c r="X491" s="42">
        <v>3180.625</v>
      </c>
      <c r="Y491" s="42">
        <v>0</v>
      </c>
      <c r="Z491" s="42">
        <v>0</v>
      </c>
      <c r="AA491" s="4">
        <f t="shared" si="54"/>
        <v>9903.15625</v>
      </c>
      <c r="AB491" s="4">
        <f t="shared" si="53"/>
        <v>118837.875</v>
      </c>
      <c r="AC491" s="4">
        <f t="shared" si="55"/>
        <v>401265.375</v>
      </c>
    </row>
    <row r="492" spans="1:29" x14ac:dyDescent="0.2">
      <c r="A492" s="42">
        <v>400516</v>
      </c>
      <c r="B492" s="43" t="s">
        <v>267</v>
      </c>
      <c r="C492" s="42" t="s">
        <v>300</v>
      </c>
      <c r="D492" s="43" t="s">
        <v>33</v>
      </c>
      <c r="E492" s="43"/>
      <c r="F492" s="42" t="s">
        <v>111</v>
      </c>
      <c r="G492" s="43" t="s">
        <v>41</v>
      </c>
      <c r="H492" s="42">
        <v>50</v>
      </c>
      <c r="I492" s="44">
        <v>45901</v>
      </c>
      <c r="J492" s="43" t="s">
        <v>54</v>
      </c>
      <c r="K492" s="49">
        <v>15375</v>
      </c>
      <c r="L492" s="42"/>
      <c r="M492" s="51">
        <f>VLOOKUP(A492,'[1]ناتج ملف Excel'!$A:$AV,46,0)</f>
        <v>100</v>
      </c>
      <c r="N492" s="51">
        <f>VLOOKUP(A492,'[1]ناتج ملف Excel'!$A:$AV,47,0)</f>
        <v>3843.75</v>
      </c>
      <c r="O492" s="42"/>
      <c r="P492" s="47">
        <v>0</v>
      </c>
      <c r="Q492" s="48"/>
      <c r="R492" s="48">
        <v>0</v>
      </c>
      <c r="S492" s="72"/>
      <c r="T492" s="47">
        <v>3080</v>
      </c>
      <c r="U492" s="48">
        <f t="shared" si="52"/>
        <v>821.61458333333337</v>
      </c>
      <c r="V492" s="47">
        <v>700</v>
      </c>
      <c r="W492" s="42">
        <v>750</v>
      </c>
      <c r="X492" s="42">
        <v>0</v>
      </c>
      <c r="Y492" s="42">
        <v>0</v>
      </c>
      <c r="Z492" s="42">
        <v>0</v>
      </c>
      <c r="AA492" s="4">
        <f t="shared" si="54"/>
        <v>7845.3645833333339</v>
      </c>
      <c r="AB492" s="4">
        <f t="shared" si="53"/>
        <v>94144.375</v>
      </c>
      <c r="AC492" s="4">
        <f t="shared" si="55"/>
        <v>296044.375</v>
      </c>
    </row>
    <row r="493" spans="1:29" x14ac:dyDescent="0.2">
      <c r="A493" s="42">
        <v>400517</v>
      </c>
      <c r="B493" s="43">
        <v>4</v>
      </c>
      <c r="C493" s="42" t="s">
        <v>300</v>
      </c>
      <c r="D493" s="43" t="s">
        <v>33</v>
      </c>
      <c r="E493" s="43"/>
      <c r="F493" s="42" t="s">
        <v>111</v>
      </c>
      <c r="G493" s="43" t="s">
        <v>41</v>
      </c>
      <c r="H493" s="42">
        <v>33</v>
      </c>
      <c r="I493" s="44">
        <v>45901</v>
      </c>
      <c r="J493" s="43" t="s">
        <v>54</v>
      </c>
      <c r="K493" s="49">
        <v>11625</v>
      </c>
      <c r="L493" s="42"/>
      <c r="M493" s="51">
        <f>VLOOKUP(A493,'[1]ناتج ملف Excel'!$A:$AV,46,0)</f>
        <v>462.5</v>
      </c>
      <c r="N493" s="51">
        <f>VLOOKUP(A493,'[1]ناتج ملف Excel'!$A:$AV,47,0)</f>
        <v>2906.25</v>
      </c>
      <c r="O493" s="42"/>
      <c r="P493" s="47">
        <v>0</v>
      </c>
      <c r="Q493" s="48"/>
      <c r="R493" s="48">
        <v>0</v>
      </c>
      <c r="S493" s="72"/>
      <c r="T493" s="47">
        <v>3080</v>
      </c>
      <c r="U493" s="48">
        <f t="shared" si="52"/>
        <v>701.82291666666663</v>
      </c>
      <c r="V493" s="47">
        <v>700</v>
      </c>
      <c r="W493" s="42">
        <v>0</v>
      </c>
      <c r="X493" s="42">
        <v>1952.125</v>
      </c>
      <c r="Y493" s="42">
        <v>0</v>
      </c>
      <c r="Z493" s="42">
        <v>0</v>
      </c>
      <c r="AA493" s="4">
        <f t="shared" si="54"/>
        <v>7150.5729166666661</v>
      </c>
      <c r="AB493" s="4">
        <f t="shared" si="53"/>
        <v>85806.875</v>
      </c>
      <c r="AC493" s="4">
        <f t="shared" si="55"/>
        <v>257132.375</v>
      </c>
    </row>
    <row r="494" spans="1:29" x14ac:dyDescent="0.2">
      <c r="A494" s="42">
        <v>400518</v>
      </c>
      <c r="B494" s="43" t="s">
        <v>267</v>
      </c>
      <c r="C494" s="42" t="s">
        <v>300</v>
      </c>
      <c r="D494" s="43" t="s">
        <v>33</v>
      </c>
      <c r="E494" s="43"/>
      <c r="F494" s="42" t="s">
        <v>111</v>
      </c>
      <c r="G494" s="43" t="s">
        <v>41</v>
      </c>
      <c r="H494" s="42">
        <v>29</v>
      </c>
      <c r="I494" s="44">
        <v>45901</v>
      </c>
      <c r="J494" s="43" t="s">
        <v>54</v>
      </c>
      <c r="K494" s="46">
        <v>6131</v>
      </c>
      <c r="L494" s="42"/>
      <c r="M494" s="51">
        <f>VLOOKUP(A494,'[1]ناتج ملف Excel'!$A:$AV,46,0)</f>
        <v>113.1</v>
      </c>
      <c r="N494" s="51">
        <f>VLOOKUP(A494,'[1]ناتج ملف Excel'!$A:$AV,47,0)</f>
        <v>1532.75</v>
      </c>
      <c r="O494" s="42"/>
      <c r="P494" s="47">
        <v>0</v>
      </c>
      <c r="Q494" s="48"/>
      <c r="R494" s="48">
        <v>0</v>
      </c>
      <c r="S494" s="72"/>
      <c r="T494" s="47">
        <v>3080</v>
      </c>
      <c r="U494" s="48">
        <f t="shared" si="52"/>
        <v>342.88541666666669</v>
      </c>
      <c r="V494" s="47">
        <v>500</v>
      </c>
      <c r="W494" s="42">
        <v>0</v>
      </c>
      <c r="X494" s="42">
        <v>0</v>
      </c>
      <c r="Y494" s="42">
        <v>0</v>
      </c>
      <c r="Z494" s="42">
        <v>0</v>
      </c>
      <c r="AA494" s="4">
        <f t="shared" si="54"/>
        <v>5068.7354166666664</v>
      </c>
      <c r="AB494" s="4">
        <f t="shared" si="53"/>
        <v>60824.824999999997</v>
      </c>
      <c r="AC494" s="4">
        <f t="shared" si="55"/>
        <v>140396.82500000001</v>
      </c>
    </row>
    <row r="495" spans="1:29" x14ac:dyDescent="0.2">
      <c r="A495" s="42">
        <v>400519</v>
      </c>
      <c r="B495" s="43" t="s">
        <v>267</v>
      </c>
      <c r="C495" s="42" t="s">
        <v>300</v>
      </c>
      <c r="D495" s="43" t="s">
        <v>33</v>
      </c>
      <c r="E495" s="43"/>
      <c r="F495" s="42" t="s">
        <v>112</v>
      </c>
      <c r="G495" s="43" t="s">
        <v>41</v>
      </c>
      <c r="H495" s="42">
        <v>53</v>
      </c>
      <c r="I495" s="44">
        <v>45901</v>
      </c>
      <c r="J495" s="43" t="s">
        <v>54</v>
      </c>
      <c r="K495" s="49">
        <v>16395</v>
      </c>
      <c r="L495" s="42"/>
      <c r="M495" s="51">
        <f>VLOOKUP(A495,'[1]ناتج ملف Excel'!$A:$AV,46,0)</f>
        <v>100</v>
      </c>
      <c r="N495" s="51">
        <f>VLOOKUP(A495,'[1]ناتج ملف Excel'!$A:$AV,47,0)</f>
        <v>4098.75</v>
      </c>
      <c r="O495" s="42"/>
      <c r="P495" s="47">
        <v>0</v>
      </c>
      <c r="Q495" s="48"/>
      <c r="R495" s="48">
        <v>0</v>
      </c>
      <c r="S495" s="72"/>
      <c r="T495" s="47">
        <v>3080</v>
      </c>
      <c r="U495" s="48">
        <f t="shared" si="52"/>
        <v>874.73958333333337</v>
      </c>
      <c r="V495" s="47">
        <v>700</v>
      </c>
      <c r="W495" s="42">
        <v>750</v>
      </c>
      <c r="X495" s="42">
        <v>0</v>
      </c>
      <c r="Y495" s="42">
        <v>0</v>
      </c>
      <c r="Z495" s="42">
        <v>0</v>
      </c>
      <c r="AA495" s="4">
        <f t="shared" si="54"/>
        <v>8153.4895833333339</v>
      </c>
      <c r="AB495" s="4">
        <f t="shared" si="53"/>
        <v>97841.875</v>
      </c>
      <c r="AC495" s="4">
        <f t="shared" si="55"/>
        <v>311981.875</v>
      </c>
    </row>
    <row r="496" spans="1:29" x14ac:dyDescent="0.2">
      <c r="A496" s="42">
        <v>400520</v>
      </c>
      <c r="B496" s="43">
        <v>4</v>
      </c>
      <c r="C496" s="42" t="s">
        <v>300</v>
      </c>
      <c r="D496" s="43" t="s">
        <v>33</v>
      </c>
      <c r="E496" s="43"/>
      <c r="F496" s="42" t="s">
        <v>112</v>
      </c>
      <c r="G496" s="43" t="s">
        <v>41</v>
      </c>
      <c r="H496" s="42">
        <v>36</v>
      </c>
      <c r="I496" s="44">
        <v>45901</v>
      </c>
      <c r="J496" s="43" t="s">
        <v>54</v>
      </c>
      <c r="K496" s="49">
        <v>13505</v>
      </c>
      <c r="L496" s="42"/>
      <c r="M496" s="51">
        <f>VLOOKUP(A496,'[1]ناتج ملف Excel'!$A:$AV,46,0)</f>
        <v>650.5</v>
      </c>
      <c r="N496" s="51">
        <f>VLOOKUP(A496,'[1]ناتج ملف Excel'!$A:$AV,47,0)</f>
        <v>3376.25</v>
      </c>
      <c r="O496" s="42"/>
      <c r="P496" s="47">
        <v>0</v>
      </c>
      <c r="Q496" s="48"/>
      <c r="R496" s="48">
        <v>0</v>
      </c>
      <c r="S496" s="72"/>
      <c r="T496" s="47">
        <v>3080</v>
      </c>
      <c r="U496" s="48">
        <f t="shared" si="52"/>
        <v>838.90625</v>
      </c>
      <c r="V496" s="47">
        <v>700</v>
      </c>
      <c r="W496" s="42">
        <v>750</v>
      </c>
      <c r="X496" s="42">
        <v>2281.125</v>
      </c>
      <c r="Y496" s="42">
        <v>0</v>
      </c>
      <c r="Z496" s="42">
        <v>0</v>
      </c>
      <c r="AA496" s="4">
        <f t="shared" si="54"/>
        <v>7945.65625</v>
      </c>
      <c r="AB496" s="4">
        <f t="shared" si="53"/>
        <v>95347.875</v>
      </c>
      <c r="AC496" s="4">
        <f t="shared" si="55"/>
        <v>302181.375</v>
      </c>
    </row>
    <row r="497" spans="1:29" x14ac:dyDescent="0.2">
      <c r="A497" s="42">
        <v>400521</v>
      </c>
      <c r="B497" s="43" t="s">
        <v>267</v>
      </c>
      <c r="C497" s="42" t="s">
        <v>300</v>
      </c>
      <c r="D497" s="43" t="s">
        <v>33</v>
      </c>
      <c r="E497" s="43"/>
      <c r="F497" s="42" t="s">
        <v>113</v>
      </c>
      <c r="G497" s="43" t="s">
        <v>41</v>
      </c>
      <c r="H497" s="42">
        <v>54</v>
      </c>
      <c r="I497" s="44">
        <v>45901</v>
      </c>
      <c r="J497" s="43" t="s">
        <v>54</v>
      </c>
      <c r="K497" s="49">
        <v>14445</v>
      </c>
      <c r="L497" s="42"/>
      <c r="M497" s="51">
        <f>VLOOKUP(A497,'[1]ناتج ملف Excel'!$A:$AV,46,0)</f>
        <v>100</v>
      </c>
      <c r="N497" s="51">
        <f>VLOOKUP(A497,'[1]ناتج ملف Excel'!$A:$AV,47,0)</f>
        <v>3611.25</v>
      </c>
      <c r="O497" s="42"/>
      <c r="P497" s="47">
        <v>0</v>
      </c>
      <c r="Q497" s="48"/>
      <c r="R497" s="48">
        <v>0</v>
      </c>
      <c r="S497" s="72"/>
      <c r="T497" s="47">
        <v>3080</v>
      </c>
      <c r="U497" s="48">
        <f t="shared" si="52"/>
        <v>773.17708333333337</v>
      </c>
      <c r="V497" s="47">
        <v>700</v>
      </c>
      <c r="W497" s="42">
        <v>0</v>
      </c>
      <c r="X497" s="42">
        <v>0</v>
      </c>
      <c r="Y497" s="42">
        <v>0</v>
      </c>
      <c r="Z497" s="42">
        <v>0</v>
      </c>
      <c r="AA497" s="4">
        <f t="shared" si="54"/>
        <v>7564.4270833333339</v>
      </c>
      <c r="AB497" s="4">
        <f t="shared" si="53"/>
        <v>90773.125</v>
      </c>
      <c r="AC497" s="4">
        <f t="shared" si="55"/>
        <v>272513.125</v>
      </c>
    </row>
    <row r="498" spans="1:29" x14ac:dyDescent="0.2">
      <c r="A498" s="42">
        <v>400522</v>
      </c>
      <c r="B498" s="43">
        <v>4</v>
      </c>
      <c r="C498" s="42" t="s">
        <v>300</v>
      </c>
      <c r="D498" s="43" t="s">
        <v>33</v>
      </c>
      <c r="E498" s="43"/>
      <c r="F498" s="42" t="s">
        <v>113</v>
      </c>
      <c r="G498" s="43" t="s">
        <v>41</v>
      </c>
      <c r="H498" s="42">
        <v>43</v>
      </c>
      <c r="I498" s="44">
        <v>45901</v>
      </c>
      <c r="J498" s="43" t="s">
        <v>54</v>
      </c>
      <c r="K498" s="49">
        <v>16585</v>
      </c>
      <c r="L498" s="42"/>
      <c r="M498" s="51">
        <f>VLOOKUP(A498,'[1]ناتج ملف Excel'!$A:$AV,46,0)</f>
        <v>758.5</v>
      </c>
      <c r="N498" s="51">
        <f>VLOOKUP(A498,'[1]ناتج ملف Excel'!$A:$AV,47,0)</f>
        <v>4146.25</v>
      </c>
      <c r="O498" s="42"/>
      <c r="P498" s="47">
        <v>0</v>
      </c>
      <c r="Q498" s="48"/>
      <c r="R498" s="48">
        <v>0</v>
      </c>
      <c r="S498" s="72"/>
      <c r="T498" s="47">
        <v>3080</v>
      </c>
      <c r="U498" s="48">
        <f t="shared" si="52"/>
        <v>1021.8229166666666</v>
      </c>
      <c r="V498" s="47">
        <v>900</v>
      </c>
      <c r="W498" s="42">
        <v>750</v>
      </c>
      <c r="X498" s="42">
        <v>2809.625</v>
      </c>
      <c r="Y498" s="42">
        <v>0</v>
      </c>
      <c r="Z498" s="42">
        <v>0</v>
      </c>
      <c r="AA498" s="4">
        <f t="shared" si="54"/>
        <v>9006.5729166666679</v>
      </c>
      <c r="AB498" s="4">
        <f t="shared" si="53"/>
        <v>108078.87500000001</v>
      </c>
      <c r="AC498" s="4">
        <f t="shared" si="55"/>
        <v>360614.375</v>
      </c>
    </row>
    <row r="499" spans="1:29" x14ac:dyDescent="0.2">
      <c r="A499" s="42">
        <v>400523</v>
      </c>
      <c r="B499" s="43" t="s">
        <v>267</v>
      </c>
      <c r="C499" s="42" t="s">
        <v>300</v>
      </c>
      <c r="D499" s="43" t="s">
        <v>33</v>
      </c>
      <c r="E499" s="43"/>
      <c r="F499" s="42" t="s">
        <v>114</v>
      </c>
      <c r="G499" s="43" t="s">
        <v>41</v>
      </c>
      <c r="H499" s="42">
        <v>27</v>
      </c>
      <c r="I499" s="44">
        <v>45901</v>
      </c>
      <c r="J499" s="43" t="s">
        <v>54</v>
      </c>
      <c r="K499" s="46">
        <v>6189</v>
      </c>
      <c r="L499" s="42"/>
      <c r="M499" s="51">
        <f>VLOOKUP(A499,'[1]ناتج ملف Excel'!$A:$AV,46,0)</f>
        <v>118.9</v>
      </c>
      <c r="N499" s="51">
        <f>VLOOKUP(A499,'[1]ناتج ملف Excel'!$A:$AV,47,0)</f>
        <v>1547.25</v>
      </c>
      <c r="O499" s="42"/>
      <c r="P499" s="47">
        <v>0</v>
      </c>
      <c r="Q499" s="48"/>
      <c r="R499" s="48">
        <v>0</v>
      </c>
      <c r="S499" s="72"/>
      <c r="T499" s="47">
        <v>3080</v>
      </c>
      <c r="U499" s="48">
        <f t="shared" si="52"/>
        <v>347.11458333333331</v>
      </c>
      <c r="V499" s="47">
        <v>500</v>
      </c>
      <c r="W499" s="42">
        <v>0</v>
      </c>
      <c r="X499" s="42">
        <v>0</v>
      </c>
      <c r="Y499" s="42">
        <v>0</v>
      </c>
      <c r="Z499" s="42">
        <v>0</v>
      </c>
      <c r="AA499" s="4">
        <f t="shared" si="54"/>
        <v>5093.2645833333336</v>
      </c>
      <c r="AB499" s="4">
        <f t="shared" si="53"/>
        <v>61119.175000000003</v>
      </c>
      <c r="AC499" s="4">
        <f t="shared" si="55"/>
        <v>141387.17499999999</v>
      </c>
    </row>
    <row r="500" spans="1:29" x14ac:dyDescent="0.2">
      <c r="A500" s="42">
        <v>400524</v>
      </c>
      <c r="B500" s="43">
        <v>4</v>
      </c>
      <c r="C500" s="42" t="s">
        <v>300</v>
      </c>
      <c r="D500" s="43" t="s">
        <v>33</v>
      </c>
      <c r="E500" s="43"/>
      <c r="F500" s="42" t="s">
        <v>114</v>
      </c>
      <c r="G500" s="43" t="s">
        <v>41</v>
      </c>
      <c r="H500" s="42">
        <v>31</v>
      </c>
      <c r="I500" s="44">
        <v>45901</v>
      </c>
      <c r="J500" s="43" t="s">
        <v>54</v>
      </c>
      <c r="K500" s="46">
        <v>9744</v>
      </c>
      <c r="L500" s="42"/>
      <c r="M500" s="51">
        <f>VLOOKUP(A500,'[1]ناتج ملف Excel'!$A:$AV,46,0)</f>
        <v>474.4</v>
      </c>
      <c r="N500" s="51">
        <f>VLOOKUP(A500,'[1]ناتج ملف Excel'!$A:$AV,47,0)</f>
        <v>2436</v>
      </c>
      <c r="O500" s="42"/>
      <c r="P500" s="47">
        <v>0</v>
      </c>
      <c r="Q500" s="48"/>
      <c r="R500" s="48">
        <v>0</v>
      </c>
      <c r="S500" s="72"/>
      <c r="T500" s="47">
        <v>3080</v>
      </c>
      <c r="U500" s="48">
        <f t="shared" si="52"/>
        <v>606.33333333333337</v>
      </c>
      <c r="V500" s="47">
        <v>500</v>
      </c>
      <c r="W500" s="42">
        <v>0</v>
      </c>
      <c r="X500" s="42">
        <v>0</v>
      </c>
      <c r="Y500" s="42">
        <v>0</v>
      </c>
      <c r="Z500" s="42">
        <v>0</v>
      </c>
      <c r="AA500" s="4">
        <f t="shared" si="54"/>
        <v>6596.7333333333336</v>
      </c>
      <c r="AB500" s="4">
        <f t="shared" si="53"/>
        <v>79160.800000000003</v>
      </c>
      <c r="AC500" s="4">
        <f t="shared" si="55"/>
        <v>202088.8</v>
      </c>
    </row>
    <row r="501" spans="1:29" x14ac:dyDescent="0.2">
      <c r="A501" s="42">
        <v>400525</v>
      </c>
      <c r="B501" s="43">
        <v>4</v>
      </c>
      <c r="C501" s="42" t="s">
        <v>300</v>
      </c>
      <c r="D501" s="43" t="s">
        <v>33</v>
      </c>
      <c r="E501" s="43"/>
      <c r="F501" s="42" t="s">
        <v>115</v>
      </c>
      <c r="G501" s="43" t="s">
        <v>41</v>
      </c>
      <c r="H501" s="42">
        <v>33</v>
      </c>
      <c r="I501" s="44">
        <v>45901</v>
      </c>
      <c r="J501" s="43" t="s">
        <v>54</v>
      </c>
      <c r="K501" s="46">
        <v>9191</v>
      </c>
      <c r="L501" s="42"/>
      <c r="M501" s="51">
        <f>VLOOKUP(A501,'[1]ناتج ملف Excel'!$A:$AV,46,0)</f>
        <v>419.1</v>
      </c>
      <c r="N501" s="51">
        <f>VLOOKUP(A501,'[1]ناتج ملف Excel'!$A:$AV,47,0)</f>
        <v>2297.75</v>
      </c>
      <c r="O501" s="42"/>
      <c r="P501" s="47">
        <v>0</v>
      </c>
      <c r="Q501" s="48"/>
      <c r="R501" s="48">
        <v>0</v>
      </c>
      <c r="S501" s="72"/>
      <c r="T501" s="47">
        <v>3080</v>
      </c>
      <c r="U501" s="48">
        <f t="shared" si="52"/>
        <v>566.01041666666663</v>
      </c>
      <c r="V501" s="47">
        <v>500</v>
      </c>
      <c r="W501" s="42">
        <v>0</v>
      </c>
      <c r="X501" s="42">
        <v>0</v>
      </c>
      <c r="Y501" s="42">
        <v>0</v>
      </c>
      <c r="Z501" s="42">
        <v>0</v>
      </c>
      <c r="AA501" s="4">
        <f t="shared" si="54"/>
        <v>6362.8604166666664</v>
      </c>
      <c r="AB501" s="4">
        <f t="shared" si="53"/>
        <v>76354.324999999997</v>
      </c>
      <c r="AC501" s="4">
        <f t="shared" si="55"/>
        <v>192646.32500000001</v>
      </c>
    </row>
    <row r="502" spans="1:29" x14ac:dyDescent="0.2">
      <c r="A502" s="42">
        <v>400526</v>
      </c>
      <c r="B502" s="43">
        <v>4</v>
      </c>
      <c r="C502" s="42" t="s">
        <v>300</v>
      </c>
      <c r="D502" s="43" t="s">
        <v>33</v>
      </c>
      <c r="E502" s="43"/>
      <c r="F502" s="42" t="s">
        <v>115</v>
      </c>
      <c r="G502" s="43" t="s">
        <v>41</v>
      </c>
      <c r="H502" s="42">
        <v>31</v>
      </c>
      <c r="I502" s="44">
        <v>45901</v>
      </c>
      <c r="J502" s="43" t="s">
        <v>54</v>
      </c>
      <c r="K502" s="46">
        <v>9191</v>
      </c>
      <c r="L502" s="42"/>
      <c r="M502" s="51">
        <f>VLOOKUP(A502,'[1]ناتج ملف Excel'!$A:$AV,46,0)</f>
        <v>419.1</v>
      </c>
      <c r="N502" s="51">
        <f>VLOOKUP(A502,'[1]ناتج ملف Excel'!$A:$AV,47,0)</f>
        <v>2297.75</v>
      </c>
      <c r="O502" s="42"/>
      <c r="P502" s="47">
        <v>0</v>
      </c>
      <c r="Q502" s="48"/>
      <c r="R502" s="48">
        <v>0</v>
      </c>
      <c r="S502" s="72"/>
      <c r="T502" s="47">
        <v>3080</v>
      </c>
      <c r="U502" s="48">
        <f t="shared" ref="U502:U564" si="56">(L502+M502+N502+O502)*2.5/12</f>
        <v>566.01041666666663</v>
      </c>
      <c r="V502" s="47">
        <v>500</v>
      </c>
      <c r="W502" s="42">
        <v>0</v>
      </c>
      <c r="X502" s="42">
        <v>0</v>
      </c>
      <c r="Y502" s="42">
        <v>0</v>
      </c>
      <c r="Z502" s="42">
        <v>0</v>
      </c>
      <c r="AA502" s="4">
        <f t="shared" si="54"/>
        <v>6362.8604166666664</v>
      </c>
      <c r="AB502" s="4">
        <f t="shared" ref="AB502:AB564" si="57">AA502*12</f>
        <v>76354.324999999997</v>
      </c>
      <c r="AC502" s="4">
        <f t="shared" si="55"/>
        <v>192646.32500000001</v>
      </c>
    </row>
    <row r="503" spans="1:29" x14ac:dyDescent="0.2">
      <c r="A503" s="42">
        <v>400527</v>
      </c>
      <c r="B503" s="43" t="s">
        <v>267</v>
      </c>
      <c r="C503" s="42" t="s">
        <v>300</v>
      </c>
      <c r="D503" s="43" t="s">
        <v>33</v>
      </c>
      <c r="E503" s="43"/>
      <c r="F503" s="42" t="s">
        <v>115</v>
      </c>
      <c r="G503" s="43" t="s">
        <v>41</v>
      </c>
      <c r="H503" s="42">
        <v>50</v>
      </c>
      <c r="I503" s="44">
        <v>45901</v>
      </c>
      <c r="J503" s="43" t="s">
        <v>54</v>
      </c>
      <c r="K503" s="49">
        <v>15375</v>
      </c>
      <c r="L503" s="42"/>
      <c r="M503" s="51">
        <f>VLOOKUP(A503,'[1]ناتج ملف Excel'!$A:$AV,46,0)</f>
        <v>100</v>
      </c>
      <c r="N503" s="51">
        <f>VLOOKUP(A503,'[1]ناتج ملف Excel'!$A:$AV,47,0)</f>
        <v>3843.75</v>
      </c>
      <c r="O503" s="42"/>
      <c r="P503" s="47">
        <v>0</v>
      </c>
      <c r="Q503" s="48"/>
      <c r="R503" s="48">
        <v>0</v>
      </c>
      <c r="S503" s="72"/>
      <c r="T503" s="47">
        <v>3080</v>
      </c>
      <c r="U503" s="48">
        <f t="shared" si="56"/>
        <v>821.61458333333337</v>
      </c>
      <c r="V503" s="47">
        <v>700</v>
      </c>
      <c r="W503" s="42">
        <v>0</v>
      </c>
      <c r="X503" s="42">
        <v>0</v>
      </c>
      <c r="Y503" s="42">
        <v>0</v>
      </c>
      <c r="Z503" s="42">
        <v>0</v>
      </c>
      <c r="AA503" s="4">
        <f t="shared" si="54"/>
        <v>7845.3645833333339</v>
      </c>
      <c r="AB503" s="4">
        <f t="shared" si="57"/>
        <v>94144.375</v>
      </c>
      <c r="AC503" s="4">
        <f t="shared" si="55"/>
        <v>287044.375</v>
      </c>
    </row>
    <row r="504" spans="1:29" x14ac:dyDescent="0.2">
      <c r="A504" s="42">
        <v>400528</v>
      </c>
      <c r="B504" s="43" t="s">
        <v>267</v>
      </c>
      <c r="C504" s="42" t="s">
        <v>300</v>
      </c>
      <c r="D504" s="43" t="s">
        <v>33</v>
      </c>
      <c r="E504" s="43"/>
      <c r="F504" s="42" t="s">
        <v>116</v>
      </c>
      <c r="G504" s="43" t="s">
        <v>41</v>
      </c>
      <c r="H504" s="42">
        <v>46</v>
      </c>
      <c r="I504" s="44">
        <v>45901</v>
      </c>
      <c r="J504" s="43" t="s">
        <v>54</v>
      </c>
      <c r="K504" s="49">
        <v>13505</v>
      </c>
      <c r="L504" s="42"/>
      <c r="M504" s="51">
        <f>VLOOKUP(A504,'[1]ناتج ملف Excel'!$A:$AV,46,0)</f>
        <v>100</v>
      </c>
      <c r="N504" s="51">
        <f>VLOOKUP(A504,'[1]ناتج ملف Excel'!$A:$AV,47,0)</f>
        <v>3376.25</v>
      </c>
      <c r="O504" s="42"/>
      <c r="P504" s="47">
        <v>0</v>
      </c>
      <c r="Q504" s="48"/>
      <c r="R504" s="48">
        <v>0</v>
      </c>
      <c r="S504" s="72"/>
      <c r="T504" s="47">
        <v>3080</v>
      </c>
      <c r="U504" s="48">
        <f t="shared" si="56"/>
        <v>724.21875</v>
      </c>
      <c r="V504" s="47">
        <v>700</v>
      </c>
      <c r="W504" s="42">
        <v>0</v>
      </c>
      <c r="X504" s="42">
        <v>0</v>
      </c>
      <c r="Y504" s="42">
        <v>0</v>
      </c>
      <c r="Z504" s="42">
        <v>0</v>
      </c>
      <c r="AA504" s="4">
        <f t="shared" si="54"/>
        <v>7280.46875</v>
      </c>
      <c r="AB504" s="4">
        <f t="shared" si="57"/>
        <v>87365.625</v>
      </c>
      <c r="AC504" s="4">
        <f t="shared" si="55"/>
        <v>257825.625</v>
      </c>
    </row>
    <row r="505" spans="1:29" x14ac:dyDescent="0.2">
      <c r="A505" s="42">
        <v>400529</v>
      </c>
      <c r="B505" s="43" t="s">
        <v>267</v>
      </c>
      <c r="C505" s="42" t="s">
        <v>300</v>
      </c>
      <c r="D505" s="43" t="s">
        <v>33</v>
      </c>
      <c r="E505" s="43"/>
      <c r="F505" s="42" t="s">
        <v>116</v>
      </c>
      <c r="G505" s="43" t="s">
        <v>41</v>
      </c>
      <c r="H505" s="42">
        <v>44</v>
      </c>
      <c r="I505" s="44">
        <v>45901</v>
      </c>
      <c r="J505" s="43" t="s">
        <v>54</v>
      </c>
      <c r="K505" s="49">
        <v>11330</v>
      </c>
      <c r="L505" s="42"/>
      <c r="M505" s="51">
        <f>VLOOKUP(A505,'[1]ناتج ملف Excel'!$A:$AV,46,0)</f>
        <v>100</v>
      </c>
      <c r="N505" s="51">
        <f>VLOOKUP(A505,'[1]ناتج ملف Excel'!$A:$AV,47,0)</f>
        <v>2832.5</v>
      </c>
      <c r="O505" s="42"/>
      <c r="P505" s="47">
        <v>0</v>
      </c>
      <c r="Q505" s="48"/>
      <c r="R505" s="48">
        <v>0</v>
      </c>
      <c r="S505" s="72"/>
      <c r="T505" s="47">
        <v>3080</v>
      </c>
      <c r="U505" s="48">
        <f t="shared" si="56"/>
        <v>610.9375</v>
      </c>
      <c r="V505" s="47">
        <v>700</v>
      </c>
      <c r="W505" s="42">
        <v>750</v>
      </c>
      <c r="X505" s="42">
        <v>0</v>
      </c>
      <c r="Y505" s="42">
        <v>0</v>
      </c>
      <c r="Z505" s="42">
        <v>0</v>
      </c>
      <c r="AA505" s="4">
        <f t="shared" si="54"/>
        <v>6623.4375</v>
      </c>
      <c r="AB505" s="4">
        <f t="shared" si="57"/>
        <v>79481.25</v>
      </c>
      <c r="AC505" s="4">
        <f t="shared" si="55"/>
        <v>232841.25</v>
      </c>
    </row>
    <row r="506" spans="1:29" x14ac:dyDescent="0.2">
      <c r="A506" s="42">
        <v>400531</v>
      </c>
      <c r="B506" s="43" t="s">
        <v>267</v>
      </c>
      <c r="C506" s="42" t="s">
        <v>300</v>
      </c>
      <c r="D506" s="43" t="s">
        <v>33</v>
      </c>
      <c r="E506" s="43"/>
      <c r="F506" s="42" t="s">
        <v>117</v>
      </c>
      <c r="G506" s="43" t="s">
        <v>41</v>
      </c>
      <c r="H506" s="42">
        <v>46</v>
      </c>
      <c r="I506" s="44">
        <v>45901</v>
      </c>
      <c r="J506" s="43" t="s">
        <v>54</v>
      </c>
      <c r="K506" s="49">
        <v>11745</v>
      </c>
      <c r="L506" s="42"/>
      <c r="M506" s="51">
        <f>VLOOKUP(A506,'[1]ناتج ملف Excel'!$A:$AV,46,0)</f>
        <v>100</v>
      </c>
      <c r="N506" s="51">
        <f>VLOOKUP(A506,'[1]ناتج ملف Excel'!$A:$AV,47,0)</f>
        <v>2936.25</v>
      </c>
      <c r="O506" s="42"/>
      <c r="P506" s="47">
        <v>0</v>
      </c>
      <c r="Q506" s="48"/>
      <c r="R506" s="48">
        <v>0</v>
      </c>
      <c r="S506" s="72"/>
      <c r="T506" s="47">
        <v>3080</v>
      </c>
      <c r="U506" s="48">
        <f t="shared" si="56"/>
        <v>632.55208333333337</v>
      </c>
      <c r="V506" s="47">
        <v>700</v>
      </c>
      <c r="W506" s="42">
        <v>750</v>
      </c>
      <c r="X506" s="42">
        <v>0</v>
      </c>
      <c r="Y506" s="42">
        <v>0</v>
      </c>
      <c r="Z506" s="42">
        <v>0</v>
      </c>
      <c r="AA506" s="4">
        <f t="shared" si="54"/>
        <v>6748.8020833333339</v>
      </c>
      <c r="AB506" s="4">
        <f t="shared" si="57"/>
        <v>80985.625</v>
      </c>
      <c r="AC506" s="4">
        <f t="shared" si="55"/>
        <v>239325.625</v>
      </c>
    </row>
    <row r="507" spans="1:29" x14ac:dyDescent="0.2">
      <c r="A507" s="42">
        <v>400532</v>
      </c>
      <c r="B507" s="43">
        <v>4</v>
      </c>
      <c r="C507" s="42" t="s">
        <v>300</v>
      </c>
      <c r="D507" s="43" t="s">
        <v>33</v>
      </c>
      <c r="E507" s="43"/>
      <c r="F507" s="42" t="s">
        <v>93</v>
      </c>
      <c r="G507" s="43" t="s">
        <v>41</v>
      </c>
      <c r="H507" s="42">
        <v>42</v>
      </c>
      <c r="I507" s="44">
        <v>45901</v>
      </c>
      <c r="J507" s="43" t="s">
        <v>54</v>
      </c>
      <c r="K507" s="49">
        <v>15885</v>
      </c>
      <c r="L507" s="42"/>
      <c r="M507" s="51">
        <f>VLOOKUP(A507,'[1]ناتج ملف Excel'!$A:$AV,46,0)</f>
        <v>888.5</v>
      </c>
      <c r="N507" s="51">
        <f>VLOOKUP(A507,'[1]ناتج ملف Excel'!$A:$AV,47,0)</f>
        <v>3971.25</v>
      </c>
      <c r="O507" s="42"/>
      <c r="P507" s="47">
        <v>0</v>
      </c>
      <c r="Q507" s="48"/>
      <c r="R507" s="48">
        <v>0</v>
      </c>
      <c r="S507" s="72"/>
      <c r="T507" s="47">
        <v>3080</v>
      </c>
      <c r="U507" s="48">
        <f t="shared" si="56"/>
        <v>1012.4479166666666</v>
      </c>
      <c r="V507" s="47">
        <v>700</v>
      </c>
      <c r="W507" s="42">
        <v>750</v>
      </c>
      <c r="X507" s="42">
        <v>2690.625</v>
      </c>
      <c r="Y507" s="42">
        <v>0</v>
      </c>
      <c r="Z507" s="42">
        <v>0</v>
      </c>
      <c r="AA507" s="4">
        <f t="shared" si="54"/>
        <v>8952.1979166666661</v>
      </c>
      <c r="AB507" s="4">
        <f t="shared" si="57"/>
        <v>107426.375</v>
      </c>
      <c r="AC507" s="4">
        <f t="shared" si="55"/>
        <v>347733.875</v>
      </c>
    </row>
    <row r="508" spans="1:29" x14ac:dyDescent="0.2">
      <c r="A508" s="42">
        <v>400533</v>
      </c>
      <c r="B508" s="43" t="s">
        <v>267</v>
      </c>
      <c r="C508" s="42" t="s">
        <v>300</v>
      </c>
      <c r="D508" s="43" t="s">
        <v>33</v>
      </c>
      <c r="E508" s="43"/>
      <c r="F508" s="42" t="s">
        <v>118</v>
      </c>
      <c r="G508" s="43" t="s">
        <v>41</v>
      </c>
      <c r="H508" s="42">
        <v>26</v>
      </c>
      <c r="I508" s="44">
        <v>45901</v>
      </c>
      <c r="J508" s="43" t="s">
        <v>54</v>
      </c>
      <c r="K508" s="46">
        <v>6131</v>
      </c>
      <c r="L508" s="42"/>
      <c r="M508" s="51">
        <f>VLOOKUP(A508,'[1]ناتج ملف Excel'!$A:$AV,46,0)</f>
        <v>113.1</v>
      </c>
      <c r="N508" s="51">
        <f>VLOOKUP(A508,'[1]ناتج ملف Excel'!$A:$AV,47,0)</f>
        <v>1532.75</v>
      </c>
      <c r="O508" s="42"/>
      <c r="P508" s="47">
        <v>0</v>
      </c>
      <c r="Q508" s="48"/>
      <c r="R508" s="48">
        <v>0</v>
      </c>
      <c r="S508" s="72"/>
      <c r="T508" s="47">
        <v>3080</v>
      </c>
      <c r="U508" s="48">
        <f t="shared" si="56"/>
        <v>342.88541666666669</v>
      </c>
      <c r="V508" s="47">
        <v>500</v>
      </c>
      <c r="W508" s="42">
        <v>0</v>
      </c>
      <c r="X508" s="42">
        <v>0</v>
      </c>
      <c r="Y508" s="42">
        <v>0</v>
      </c>
      <c r="Z508" s="42">
        <v>0</v>
      </c>
      <c r="AA508" s="4">
        <f t="shared" si="54"/>
        <v>5068.7354166666664</v>
      </c>
      <c r="AB508" s="4">
        <f t="shared" si="57"/>
        <v>60824.824999999997</v>
      </c>
      <c r="AC508" s="4">
        <f t="shared" si="55"/>
        <v>140396.82500000001</v>
      </c>
    </row>
    <row r="509" spans="1:29" x14ac:dyDescent="0.2">
      <c r="A509" s="42">
        <v>400534</v>
      </c>
      <c r="B509" s="43">
        <v>4</v>
      </c>
      <c r="C509" s="42" t="s">
        <v>300</v>
      </c>
      <c r="D509" s="43" t="s">
        <v>33</v>
      </c>
      <c r="E509" s="43"/>
      <c r="F509" s="42" t="s">
        <v>119</v>
      </c>
      <c r="G509" s="43" t="s">
        <v>41</v>
      </c>
      <c r="H509" s="42">
        <v>33</v>
      </c>
      <c r="I509" s="44">
        <v>45901</v>
      </c>
      <c r="J509" s="43" t="s">
        <v>54</v>
      </c>
      <c r="K509" s="49">
        <v>11155</v>
      </c>
      <c r="L509" s="42"/>
      <c r="M509" s="51">
        <f>VLOOKUP(A509,'[1]ناتج ملف Excel'!$A:$AV,46,0)</f>
        <v>415.5</v>
      </c>
      <c r="N509" s="51">
        <f>VLOOKUP(A509,'[1]ناتج ملف Excel'!$A:$AV,47,0)</f>
        <v>2788.75</v>
      </c>
      <c r="O509" s="42"/>
      <c r="P509" s="47">
        <v>0</v>
      </c>
      <c r="Q509" s="48"/>
      <c r="R509" s="48">
        <v>0</v>
      </c>
      <c r="S509" s="72"/>
      <c r="T509" s="47">
        <v>3080</v>
      </c>
      <c r="U509" s="48">
        <f t="shared" si="56"/>
        <v>667.55208333333337</v>
      </c>
      <c r="V509" s="47">
        <v>700</v>
      </c>
      <c r="W509" s="42">
        <v>750</v>
      </c>
      <c r="X509" s="42">
        <v>1869.875</v>
      </c>
      <c r="Y509" s="42">
        <v>0</v>
      </c>
      <c r="Z509" s="42">
        <v>0</v>
      </c>
      <c r="AA509" s="4">
        <f t="shared" si="54"/>
        <v>6951.8020833333339</v>
      </c>
      <c r="AB509" s="4">
        <f t="shared" si="57"/>
        <v>83421.625</v>
      </c>
      <c r="AC509" s="4">
        <f t="shared" si="55"/>
        <v>257120.125</v>
      </c>
    </row>
    <row r="510" spans="1:29" x14ac:dyDescent="0.2">
      <c r="A510" s="42">
        <v>400536</v>
      </c>
      <c r="B510" s="43">
        <v>4</v>
      </c>
      <c r="C510" s="42" t="s">
        <v>300</v>
      </c>
      <c r="D510" s="43" t="s">
        <v>33</v>
      </c>
      <c r="E510" s="43"/>
      <c r="F510" s="42" t="s">
        <v>120</v>
      </c>
      <c r="G510" s="43" t="s">
        <v>41</v>
      </c>
      <c r="H510" s="42">
        <v>36</v>
      </c>
      <c r="I510" s="44">
        <v>45901</v>
      </c>
      <c r="J510" s="43" t="s">
        <v>54</v>
      </c>
      <c r="K510" s="49">
        <v>14865</v>
      </c>
      <c r="L510" s="42"/>
      <c r="M510" s="51">
        <f>VLOOKUP(A510,'[1]ناتج ملف Excel'!$A:$AV,46,0)</f>
        <v>786.5</v>
      </c>
      <c r="N510" s="51">
        <f>VLOOKUP(A510,'[1]ناتج ملف Excel'!$A:$AV,47,0)</f>
        <v>3716.25</v>
      </c>
      <c r="O510" s="42"/>
      <c r="P510" s="47">
        <v>0</v>
      </c>
      <c r="Q510" s="48"/>
      <c r="R510" s="48">
        <v>0</v>
      </c>
      <c r="S510" s="72"/>
      <c r="T510" s="47">
        <v>3080</v>
      </c>
      <c r="U510" s="48">
        <f t="shared" si="56"/>
        <v>938.07291666666663</v>
      </c>
      <c r="V510" s="47">
        <v>700</v>
      </c>
      <c r="W510" s="42">
        <v>0</v>
      </c>
      <c r="X510" s="42">
        <v>2512.125</v>
      </c>
      <c r="Y510" s="42">
        <v>0</v>
      </c>
      <c r="Z510" s="42">
        <v>0</v>
      </c>
      <c r="AA510" s="4">
        <f t="shared" si="54"/>
        <v>8520.8229166666661</v>
      </c>
      <c r="AB510" s="4">
        <f t="shared" si="57"/>
        <v>102249.875</v>
      </c>
      <c r="AC510" s="4">
        <f t="shared" si="55"/>
        <v>319175.375</v>
      </c>
    </row>
    <row r="511" spans="1:29" x14ac:dyDescent="0.2">
      <c r="A511" s="42">
        <v>400537</v>
      </c>
      <c r="B511" s="43">
        <v>4</v>
      </c>
      <c r="C511" s="42" t="s">
        <v>300</v>
      </c>
      <c r="D511" s="43" t="s">
        <v>33</v>
      </c>
      <c r="E511" s="43"/>
      <c r="F511" s="42" t="s">
        <v>120</v>
      </c>
      <c r="G511" s="43" t="s">
        <v>41</v>
      </c>
      <c r="H511" s="42">
        <v>31</v>
      </c>
      <c r="I511" s="44">
        <v>45901</v>
      </c>
      <c r="J511" s="43" t="s">
        <v>54</v>
      </c>
      <c r="K511" s="49">
        <v>11155</v>
      </c>
      <c r="L511" s="42"/>
      <c r="M511" s="51">
        <f>VLOOKUP(A511,'[1]ناتج ملف Excel'!$A:$AV,46,0)</f>
        <v>415.5</v>
      </c>
      <c r="N511" s="51">
        <f>VLOOKUP(A511,'[1]ناتج ملف Excel'!$A:$AV,47,0)</f>
        <v>2788.75</v>
      </c>
      <c r="O511" s="42"/>
      <c r="P511" s="47">
        <v>0</v>
      </c>
      <c r="Q511" s="48"/>
      <c r="R511" s="48">
        <v>0</v>
      </c>
      <c r="S511" s="72"/>
      <c r="T511" s="47">
        <v>3080</v>
      </c>
      <c r="U511" s="48">
        <f t="shared" si="56"/>
        <v>667.55208333333337</v>
      </c>
      <c r="V511" s="47">
        <v>700</v>
      </c>
      <c r="W511" s="42">
        <v>750</v>
      </c>
      <c r="X511" s="42">
        <v>1869.875</v>
      </c>
      <c r="Y511" s="42">
        <v>0</v>
      </c>
      <c r="Z511" s="42">
        <v>0</v>
      </c>
      <c r="AA511" s="4">
        <f t="shared" ref="AA511:AA573" si="58">U511+T511+N511+M511+O511</f>
        <v>6951.8020833333339</v>
      </c>
      <c r="AB511" s="4">
        <f t="shared" si="57"/>
        <v>83421.625</v>
      </c>
      <c r="AC511" s="4">
        <f t="shared" ref="AC511:AC573" si="59">AB511+((K511+V511+W511+X511)*12)</f>
        <v>257120.125</v>
      </c>
    </row>
    <row r="512" spans="1:29" x14ac:dyDescent="0.2">
      <c r="A512" s="42">
        <v>400539</v>
      </c>
      <c r="B512" s="43">
        <v>4</v>
      </c>
      <c r="C512" s="42" t="s">
        <v>300</v>
      </c>
      <c r="D512" s="43" t="s">
        <v>33</v>
      </c>
      <c r="E512" s="43"/>
      <c r="F512" s="42" t="s">
        <v>121</v>
      </c>
      <c r="G512" s="43" t="s">
        <v>41</v>
      </c>
      <c r="H512" s="42">
        <v>36</v>
      </c>
      <c r="I512" s="44">
        <v>45901</v>
      </c>
      <c r="J512" s="43" t="s">
        <v>54</v>
      </c>
      <c r="K512" s="49">
        <v>12565</v>
      </c>
      <c r="L512" s="42"/>
      <c r="M512" s="51">
        <f>VLOOKUP(A512,'[1]ناتج ملف Excel'!$A:$AV,46,0)</f>
        <v>556.5</v>
      </c>
      <c r="N512" s="51">
        <f>VLOOKUP(A512,'[1]ناتج ملف Excel'!$A:$AV,47,0)</f>
        <v>3141.25</v>
      </c>
      <c r="O512" s="42"/>
      <c r="P512" s="47">
        <v>0</v>
      </c>
      <c r="Q512" s="48"/>
      <c r="R512" s="48">
        <v>0</v>
      </c>
      <c r="S512" s="72"/>
      <c r="T512" s="47">
        <v>3080</v>
      </c>
      <c r="U512" s="48">
        <f t="shared" si="56"/>
        <v>770.36458333333337</v>
      </c>
      <c r="V512" s="47">
        <v>700</v>
      </c>
      <c r="W512" s="42">
        <v>0</v>
      </c>
      <c r="X512" s="42">
        <v>2116.625</v>
      </c>
      <c r="Y512" s="42">
        <v>0</v>
      </c>
      <c r="Z512" s="42">
        <v>0</v>
      </c>
      <c r="AA512" s="4">
        <f t="shared" si="58"/>
        <v>7548.1145833333339</v>
      </c>
      <c r="AB512" s="4">
        <f t="shared" si="57"/>
        <v>90577.375</v>
      </c>
      <c r="AC512" s="4">
        <f t="shared" si="59"/>
        <v>275156.875</v>
      </c>
    </row>
    <row r="513" spans="1:29" x14ac:dyDescent="0.2">
      <c r="A513" s="42">
        <v>400540</v>
      </c>
      <c r="B513" s="43">
        <v>4</v>
      </c>
      <c r="C513" s="42" t="s">
        <v>300</v>
      </c>
      <c r="D513" s="43" t="s">
        <v>33</v>
      </c>
      <c r="E513" s="43"/>
      <c r="F513" s="42" t="s">
        <v>122</v>
      </c>
      <c r="G513" s="43" t="s">
        <v>41</v>
      </c>
      <c r="H513" s="42">
        <v>39</v>
      </c>
      <c r="I513" s="44">
        <v>45901</v>
      </c>
      <c r="J513" s="43" t="s">
        <v>54</v>
      </c>
      <c r="K513" s="46">
        <v>9375</v>
      </c>
      <c r="L513" s="42"/>
      <c r="M513" s="51">
        <f>VLOOKUP(A513,'[1]ناتج ملف Excel'!$A:$AV,46,0)</f>
        <v>437.5</v>
      </c>
      <c r="N513" s="51">
        <f>VLOOKUP(A513,'[1]ناتج ملف Excel'!$A:$AV,47,0)</f>
        <v>2343.75</v>
      </c>
      <c r="O513" s="42"/>
      <c r="P513" s="47">
        <v>0</v>
      </c>
      <c r="Q513" s="48"/>
      <c r="R513" s="48">
        <v>0</v>
      </c>
      <c r="S513" s="72"/>
      <c r="T513" s="47">
        <v>3080</v>
      </c>
      <c r="U513" s="48">
        <f t="shared" si="56"/>
        <v>579.42708333333337</v>
      </c>
      <c r="V513" s="47">
        <v>500</v>
      </c>
      <c r="W513" s="42">
        <v>0</v>
      </c>
      <c r="X513" s="42">
        <v>0</v>
      </c>
      <c r="Y513" s="42">
        <v>0</v>
      </c>
      <c r="Z513" s="42">
        <v>0</v>
      </c>
      <c r="AA513" s="4">
        <f t="shared" si="58"/>
        <v>6440.6770833333339</v>
      </c>
      <c r="AB513" s="4">
        <f t="shared" si="57"/>
        <v>77288.125</v>
      </c>
      <c r="AC513" s="4">
        <f t="shared" si="59"/>
        <v>195788.125</v>
      </c>
    </row>
    <row r="514" spans="1:29" x14ac:dyDescent="0.2">
      <c r="A514" s="42">
        <v>400541</v>
      </c>
      <c r="B514" s="43">
        <v>4</v>
      </c>
      <c r="C514" s="42" t="s">
        <v>300</v>
      </c>
      <c r="D514" s="43" t="s">
        <v>33</v>
      </c>
      <c r="E514" s="43"/>
      <c r="F514" s="42" t="s">
        <v>123</v>
      </c>
      <c r="G514" s="43" t="s">
        <v>41</v>
      </c>
      <c r="H514" s="42">
        <v>36</v>
      </c>
      <c r="I514" s="44">
        <v>45901</v>
      </c>
      <c r="J514" s="43" t="s">
        <v>54</v>
      </c>
      <c r="K514" s="46">
        <v>9839</v>
      </c>
      <c r="L514" s="42"/>
      <c r="M514" s="51">
        <f>VLOOKUP(A514,'[1]ناتج ملف Excel'!$A:$AV,46,0)</f>
        <v>483.9</v>
      </c>
      <c r="N514" s="51">
        <f>VLOOKUP(A514,'[1]ناتج ملف Excel'!$A:$AV,47,0)</f>
        <v>2459.75</v>
      </c>
      <c r="O514" s="42"/>
      <c r="P514" s="47">
        <v>0</v>
      </c>
      <c r="Q514" s="48"/>
      <c r="R514" s="48">
        <v>0</v>
      </c>
      <c r="S514" s="72"/>
      <c r="T514" s="47">
        <v>3080</v>
      </c>
      <c r="U514" s="48">
        <f t="shared" si="56"/>
        <v>613.26041666666663</v>
      </c>
      <c r="V514" s="47">
        <v>500</v>
      </c>
      <c r="W514" s="42">
        <v>0</v>
      </c>
      <c r="X514" s="42">
        <v>0</v>
      </c>
      <c r="Y514" s="42">
        <v>0</v>
      </c>
      <c r="Z514" s="42">
        <v>0</v>
      </c>
      <c r="AA514" s="4">
        <f t="shared" si="58"/>
        <v>6636.9104166666657</v>
      </c>
      <c r="AB514" s="4">
        <f t="shared" si="57"/>
        <v>79642.924999999988</v>
      </c>
      <c r="AC514" s="4">
        <f t="shared" si="59"/>
        <v>203710.92499999999</v>
      </c>
    </row>
    <row r="515" spans="1:29" x14ac:dyDescent="0.2">
      <c r="A515" s="42">
        <v>400542</v>
      </c>
      <c r="B515" s="43">
        <v>4</v>
      </c>
      <c r="C515" s="42" t="s">
        <v>300</v>
      </c>
      <c r="D515" s="43" t="s">
        <v>33</v>
      </c>
      <c r="E515" s="43"/>
      <c r="F515" s="42" t="s">
        <v>123</v>
      </c>
      <c r="G515" s="43" t="s">
        <v>41</v>
      </c>
      <c r="H515" s="42">
        <v>32</v>
      </c>
      <c r="I515" s="44">
        <v>45901</v>
      </c>
      <c r="J515" s="43" t="s">
        <v>54</v>
      </c>
      <c r="K515" s="46">
        <v>9467</v>
      </c>
      <c r="L515" s="42"/>
      <c r="M515" s="51">
        <f>VLOOKUP(A515,'[1]ناتج ملف Excel'!$A:$AV,46,0)</f>
        <v>446.7</v>
      </c>
      <c r="N515" s="51">
        <f>VLOOKUP(A515,'[1]ناتج ملف Excel'!$A:$AV,47,0)</f>
        <v>2366.75</v>
      </c>
      <c r="O515" s="42"/>
      <c r="P515" s="47">
        <v>0</v>
      </c>
      <c r="Q515" s="48"/>
      <c r="R515" s="48">
        <v>0</v>
      </c>
      <c r="S515" s="72"/>
      <c r="T515" s="47">
        <v>3080</v>
      </c>
      <c r="U515" s="48">
        <f t="shared" si="56"/>
        <v>586.13541666666663</v>
      </c>
      <c r="V515" s="47">
        <v>500</v>
      </c>
      <c r="W515" s="42">
        <v>0</v>
      </c>
      <c r="X515" s="42">
        <v>0</v>
      </c>
      <c r="Y515" s="42">
        <v>0</v>
      </c>
      <c r="Z515" s="42">
        <v>0</v>
      </c>
      <c r="AA515" s="4">
        <f t="shared" si="58"/>
        <v>6479.5854166666659</v>
      </c>
      <c r="AB515" s="4">
        <f t="shared" si="57"/>
        <v>77755.024999999994</v>
      </c>
      <c r="AC515" s="4">
        <f t="shared" si="59"/>
        <v>197359.02499999999</v>
      </c>
    </row>
    <row r="516" spans="1:29" x14ac:dyDescent="0.2">
      <c r="A516" s="42">
        <v>400543</v>
      </c>
      <c r="B516" s="43" t="s">
        <v>267</v>
      </c>
      <c r="C516" s="42" t="s">
        <v>300</v>
      </c>
      <c r="D516" s="43" t="s">
        <v>33</v>
      </c>
      <c r="E516" s="43"/>
      <c r="F516" s="42" t="s">
        <v>106</v>
      </c>
      <c r="G516" s="43" t="s">
        <v>41</v>
      </c>
      <c r="H516" s="42">
        <v>40</v>
      </c>
      <c r="I516" s="44">
        <v>45901</v>
      </c>
      <c r="J516" s="43" t="s">
        <v>54</v>
      </c>
      <c r="K516" s="49">
        <v>10295</v>
      </c>
      <c r="L516" s="42"/>
      <c r="M516" s="51">
        <f>VLOOKUP(A516,'[1]ناتج ملف Excel'!$A:$AV,46,0)</f>
        <v>100</v>
      </c>
      <c r="N516" s="51">
        <f>VLOOKUP(A516,'[1]ناتج ملف Excel'!$A:$AV,47,0)</f>
        <v>2573.75</v>
      </c>
      <c r="O516" s="42"/>
      <c r="P516" s="47">
        <v>0</v>
      </c>
      <c r="Q516" s="48"/>
      <c r="R516" s="48">
        <v>0</v>
      </c>
      <c r="S516" s="72"/>
      <c r="T516" s="47">
        <v>3080</v>
      </c>
      <c r="U516" s="48">
        <f t="shared" si="56"/>
        <v>557.03125</v>
      </c>
      <c r="V516" s="47">
        <v>700</v>
      </c>
      <c r="W516" s="42">
        <v>750</v>
      </c>
      <c r="X516" s="42">
        <v>0</v>
      </c>
      <c r="Y516" s="42">
        <v>0</v>
      </c>
      <c r="Z516" s="42">
        <v>0</v>
      </c>
      <c r="AA516" s="4">
        <f t="shared" si="58"/>
        <v>6310.78125</v>
      </c>
      <c r="AB516" s="4">
        <f t="shared" si="57"/>
        <v>75729.375</v>
      </c>
      <c r="AC516" s="4">
        <f t="shared" si="59"/>
        <v>216669.375</v>
      </c>
    </row>
    <row r="517" spans="1:29" x14ac:dyDescent="0.2">
      <c r="A517" s="42">
        <v>400544</v>
      </c>
      <c r="B517" s="43">
        <v>4</v>
      </c>
      <c r="C517" s="42" t="s">
        <v>300</v>
      </c>
      <c r="D517" s="43" t="s">
        <v>33</v>
      </c>
      <c r="E517" s="43"/>
      <c r="F517" s="42" t="s">
        <v>109</v>
      </c>
      <c r="G517" s="43" t="s">
        <v>41</v>
      </c>
      <c r="H517" s="42">
        <v>31</v>
      </c>
      <c r="I517" s="44">
        <v>45901</v>
      </c>
      <c r="J517" s="43" t="s">
        <v>54</v>
      </c>
      <c r="K517" s="49">
        <v>12095</v>
      </c>
      <c r="L517" s="42"/>
      <c r="M517" s="51">
        <f>VLOOKUP(A517,'[1]ناتج ملف Excel'!$A:$AV,46,0)</f>
        <v>509.5</v>
      </c>
      <c r="N517" s="51">
        <f>VLOOKUP(A517,'[1]ناتج ملف Excel'!$A:$AV,47,0)</f>
        <v>3023.75</v>
      </c>
      <c r="O517" s="42"/>
      <c r="P517" s="47">
        <v>0</v>
      </c>
      <c r="Q517" s="48"/>
      <c r="R517" s="48">
        <v>0</v>
      </c>
      <c r="S517" s="72"/>
      <c r="T517" s="47">
        <v>3080</v>
      </c>
      <c r="U517" s="48">
        <f t="shared" si="56"/>
        <v>736.09375</v>
      </c>
      <c r="V517" s="47">
        <v>700</v>
      </c>
      <c r="W517" s="42">
        <v>750</v>
      </c>
      <c r="X517" s="42">
        <v>2034.375</v>
      </c>
      <c r="Y517" s="42">
        <v>0</v>
      </c>
      <c r="Z517" s="42">
        <v>0</v>
      </c>
      <c r="AA517" s="4">
        <f t="shared" si="58"/>
        <v>7349.34375</v>
      </c>
      <c r="AB517" s="4">
        <f t="shared" si="57"/>
        <v>88192.125</v>
      </c>
      <c r="AC517" s="4">
        <f t="shared" si="59"/>
        <v>275144.625</v>
      </c>
    </row>
    <row r="518" spans="1:29" x14ac:dyDescent="0.2">
      <c r="A518" s="42">
        <v>400545</v>
      </c>
      <c r="B518" s="43">
        <v>4</v>
      </c>
      <c r="C518" s="42" t="s">
        <v>300</v>
      </c>
      <c r="D518" s="43" t="s">
        <v>33</v>
      </c>
      <c r="E518" s="43"/>
      <c r="F518" s="42" t="s">
        <v>109</v>
      </c>
      <c r="G518" s="43" t="s">
        <v>41</v>
      </c>
      <c r="H518" s="42">
        <v>38</v>
      </c>
      <c r="I518" s="44">
        <v>45901</v>
      </c>
      <c r="J518" s="43" t="s">
        <v>54</v>
      </c>
      <c r="K518" s="49">
        <v>11745</v>
      </c>
      <c r="L518" s="42"/>
      <c r="M518" s="51">
        <f>VLOOKUP(A518,'[1]ناتج ملف Excel'!$A:$AV,46,0)</f>
        <v>474.5</v>
      </c>
      <c r="N518" s="51">
        <f>VLOOKUP(A518,'[1]ناتج ملف Excel'!$A:$AV,47,0)</f>
        <v>2936.25</v>
      </c>
      <c r="O518" s="42"/>
      <c r="P518" s="47">
        <v>0</v>
      </c>
      <c r="Q518" s="48"/>
      <c r="R518" s="48">
        <v>0</v>
      </c>
      <c r="S518" s="72"/>
      <c r="T518" s="47">
        <v>3080</v>
      </c>
      <c r="U518" s="48">
        <f t="shared" si="56"/>
        <v>710.57291666666663</v>
      </c>
      <c r="V518" s="47">
        <v>700</v>
      </c>
      <c r="W518" s="42">
        <v>750</v>
      </c>
      <c r="X518" s="42">
        <v>1982.75</v>
      </c>
      <c r="Y518" s="42">
        <v>0</v>
      </c>
      <c r="Z518" s="42">
        <v>0</v>
      </c>
      <c r="AA518" s="4">
        <f t="shared" si="58"/>
        <v>7201.3229166666661</v>
      </c>
      <c r="AB518" s="4">
        <f t="shared" si="57"/>
        <v>86415.875</v>
      </c>
      <c r="AC518" s="4">
        <f t="shared" si="59"/>
        <v>268548.875</v>
      </c>
    </row>
    <row r="519" spans="1:29" x14ac:dyDescent="0.2">
      <c r="A519" s="42">
        <v>400546</v>
      </c>
      <c r="B519" s="43">
        <v>4</v>
      </c>
      <c r="C519" s="42" t="s">
        <v>300</v>
      </c>
      <c r="D519" s="43" t="s">
        <v>33</v>
      </c>
      <c r="E519" s="43"/>
      <c r="F519" s="42" t="s">
        <v>95</v>
      </c>
      <c r="G519" s="43" t="s">
        <v>41</v>
      </c>
      <c r="H519" s="42">
        <v>47</v>
      </c>
      <c r="I519" s="44">
        <v>45901</v>
      </c>
      <c r="J519" s="43" t="s">
        <v>54</v>
      </c>
      <c r="K519" s="49">
        <v>17415</v>
      </c>
      <c r="L519" s="42"/>
      <c r="M519" s="51">
        <f>VLOOKUP(A519,'[1]ناتج ملف Excel'!$A:$AV,46,0)</f>
        <v>1041.5</v>
      </c>
      <c r="N519" s="51">
        <f>VLOOKUP(A519,'[1]ناتج ملف Excel'!$A:$AV,47,0)</f>
        <v>4353.75</v>
      </c>
      <c r="O519" s="42"/>
      <c r="P519" s="47">
        <v>0</v>
      </c>
      <c r="Q519" s="48"/>
      <c r="R519" s="48">
        <v>0</v>
      </c>
      <c r="S519" s="72"/>
      <c r="T519" s="47">
        <v>3080</v>
      </c>
      <c r="U519" s="48">
        <f t="shared" si="56"/>
        <v>1124.0104166666667</v>
      </c>
      <c r="V519" s="47">
        <v>700</v>
      </c>
      <c r="W519" s="42">
        <v>0</v>
      </c>
      <c r="X519" s="42">
        <v>3047.625</v>
      </c>
      <c r="Y519" s="42">
        <v>0</v>
      </c>
      <c r="Z519" s="42">
        <v>0</v>
      </c>
      <c r="AA519" s="4">
        <f t="shared" si="58"/>
        <v>9599.2604166666679</v>
      </c>
      <c r="AB519" s="4">
        <f t="shared" si="57"/>
        <v>115191.12500000001</v>
      </c>
      <c r="AC519" s="4">
        <f t="shared" si="59"/>
        <v>369142.625</v>
      </c>
    </row>
    <row r="520" spans="1:29" x14ac:dyDescent="0.2">
      <c r="A520" s="42">
        <v>400548</v>
      </c>
      <c r="B520" s="43">
        <v>4</v>
      </c>
      <c r="C520" s="42" t="s">
        <v>300</v>
      </c>
      <c r="D520" s="43" t="s">
        <v>33</v>
      </c>
      <c r="E520" s="43"/>
      <c r="F520" s="42" t="s">
        <v>102</v>
      </c>
      <c r="G520" s="43" t="s">
        <v>41</v>
      </c>
      <c r="H520" s="42">
        <v>45</v>
      </c>
      <c r="I520" s="44">
        <v>45901</v>
      </c>
      <c r="J520" s="43" t="s">
        <v>54</v>
      </c>
      <c r="K520" s="49">
        <v>19705</v>
      </c>
      <c r="L520" s="42"/>
      <c r="M520" s="51">
        <f>VLOOKUP(A520,'[1]ناتج ملف Excel'!$A:$AV,46,0)</f>
        <v>1070.5</v>
      </c>
      <c r="N520" s="51">
        <f>VLOOKUP(A520,'[1]ناتج ملف Excel'!$A:$AV,47,0)</f>
        <v>4926.25</v>
      </c>
      <c r="O520" s="42"/>
      <c r="P520" s="47">
        <v>0</v>
      </c>
      <c r="Q520" s="48"/>
      <c r="R520" s="48">
        <v>0</v>
      </c>
      <c r="S520" s="72"/>
      <c r="T520" s="47">
        <v>3080</v>
      </c>
      <c r="U520" s="48">
        <f t="shared" si="56"/>
        <v>1249.3229166666667</v>
      </c>
      <c r="V520" s="47">
        <v>900</v>
      </c>
      <c r="W520" s="42">
        <v>750</v>
      </c>
      <c r="X520" s="42">
        <v>3348.625</v>
      </c>
      <c r="Y520" s="42">
        <v>0</v>
      </c>
      <c r="Z520" s="42">
        <v>0</v>
      </c>
      <c r="AA520" s="4">
        <f t="shared" si="58"/>
        <v>10326.072916666668</v>
      </c>
      <c r="AB520" s="4">
        <f t="shared" si="57"/>
        <v>123912.87500000001</v>
      </c>
      <c r="AC520" s="4">
        <f t="shared" si="59"/>
        <v>420356.375</v>
      </c>
    </row>
    <row r="521" spans="1:29" x14ac:dyDescent="0.2">
      <c r="A521" s="42">
        <v>400549</v>
      </c>
      <c r="B521" s="43" t="s">
        <v>267</v>
      </c>
      <c r="C521" s="42" t="s">
        <v>300</v>
      </c>
      <c r="D521" s="43" t="s">
        <v>33</v>
      </c>
      <c r="E521" s="43"/>
      <c r="F521" s="42" t="s">
        <v>114</v>
      </c>
      <c r="G521" s="43" t="s">
        <v>41</v>
      </c>
      <c r="H521" s="42">
        <v>28</v>
      </c>
      <c r="I521" s="44">
        <v>45901</v>
      </c>
      <c r="J521" s="43" t="s">
        <v>54</v>
      </c>
      <c r="K521" s="46">
        <v>6248</v>
      </c>
      <c r="L521" s="42"/>
      <c r="M521" s="51">
        <f>VLOOKUP(A521,'[1]ناتج ملف Excel'!$A:$AV,46,0)</f>
        <v>124.8</v>
      </c>
      <c r="N521" s="51">
        <f>VLOOKUP(A521,'[1]ناتج ملف Excel'!$A:$AV,47,0)</f>
        <v>1562</v>
      </c>
      <c r="O521" s="42"/>
      <c r="P521" s="47">
        <v>0</v>
      </c>
      <c r="Q521" s="48"/>
      <c r="R521" s="48">
        <v>0</v>
      </c>
      <c r="S521" s="72"/>
      <c r="T521" s="47">
        <v>3080</v>
      </c>
      <c r="U521" s="48">
        <f t="shared" si="56"/>
        <v>351.41666666666669</v>
      </c>
      <c r="V521" s="47">
        <v>500</v>
      </c>
      <c r="W521" s="42">
        <v>0</v>
      </c>
      <c r="X521" s="42">
        <v>0</v>
      </c>
      <c r="Y521" s="42">
        <v>0</v>
      </c>
      <c r="Z521" s="42">
        <v>0</v>
      </c>
      <c r="AA521" s="4">
        <f t="shared" si="58"/>
        <v>5118.2166666666662</v>
      </c>
      <c r="AB521" s="4">
        <f t="shared" si="57"/>
        <v>61418.599999999991</v>
      </c>
      <c r="AC521" s="4">
        <f t="shared" si="59"/>
        <v>142394.59999999998</v>
      </c>
    </row>
    <row r="522" spans="1:29" x14ac:dyDescent="0.2">
      <c r="A522" s="42">
        <v>400553</v>
      </c>
      <c r="B522" s="43">
        <v>4</v>
      </c>
      <c r="C522" s="42" t="s">
        <v>300</v>
      </c>
      <c r="D522" s="43" t="s">
        <v>33</v>
      </c>
      <c r="E522" s="43"/>
      <c r="F522" s="42" t="s">
        <v>120</v>
      </c>
      <c r="G522" s="43" t="s">
        <v>41</v>
      </c>
      <c r="H522" s="42">
        <v>46</v>
      </c>
      <c r="I522" s="44">
        <v>45901</v>
      </c>
      <c r="J522" s="43" t="s">
        <v>54</v>
      </c>
      <c r="K522" s="49">
        <v>17415</v>
      </c>
      <c r="L522" s="42"/>
      <c r="M522" s="51">
        <f>VLOOKUP(A522,'[1]ناتج ملف Excel'!$A:$AV,46,0)</f>
        <v>1041.5</v>
      </c>
      <c r="N522" s="51">
        <f>VLOOKUP(A522,'[1]ناتج ملف Excel'!$A:$AV,47,0)</f>
        <v>4353.75</v>
      </c>
      <c r="O522" s="42"/>
      <c r="P522" s="47">
        <v>0</v>
      </c>
      <c r="Q522" s="48"/>
      <c r="R522" s="48">
        <v>0</v>
      </c>
      <c r="S522" s="72"/>
      <c r="T522" s="47">
        <v>3080</v>
      </c>
      <c r="U522" s="48">
        <f t="shared" si="56"/>
        <v>1124.0104166666667</v>
      </c>
      <c r="V522" s="47">
        <v>700</v>
      </c>
      <c r="W522" s="42">
        <v>0</v>
      </c>
      <c r="X522" s="42">
        <v>2958.375</v>
      </c>
      <c r="Y522" s="42">
        <v>0</v>
      </c>
      <c r="Z522" s="42">
        <v>0</v>
      </c>
      <c r="AA522" s="4">
        <f t="shared" si="58"/>
        <v>9599.2604166666679</v>
      </c>
      <c r="AB522" s="4">
        <f t="shared" si="57"/>
        <v>115191.12500000001</v>
      </c>
      <c r="AC522" s="4">
        <f t="shared" si="59"/>
        <v>368071.625</v>
      </c>
    </row>
    <row r="523" spans="1:29" x14ac:dyDescent="0.2">
      <c r="A523" s="42">
        <v>400554</v>
      </c>
      <c r="B523" s="43">
        <v>4</v>
      </c>
      <c r="C523" s="42" t="s">
        <v>300</v>
      </c>
      <c r="D523" s="43" t="s">
        <v>33</v>
      </c>
      <c r="E523" s="43"/>
      <c r="F523" s="42" t="s">
        <v>121</v>
      </c>
      <c r="G523" s="43" t="s">
        <v>41</v>
      </c>
      <c r="H523" s="42">
        <v>28</v>
      </c>
      <c r="I523" s="44">
        <v>45901</v>
      </c>
      <c r="J523" s="43" t="s">
        <v>54</v>
      </c>
      <c r="K523" s="46">
        <v>9191</v>
      </c>
      <c r="L523" s="42"/>
      <c r="M523" s="51">
        <f>VLOOKUP(A523,'[1]ناتج ملف Excel'!$A:$AV,46,0)</f>
        <v>419.1</v>
      </c>
      <c r="N523" s="51">
        <f>VLOOKUP(A523,'[1]ناتج ملف Excel'!$A:$AV,47,0)</f>
        <v>2297.75</v>
      </c>
      <c r="O523" s="42"/>
      <c r="P523" s="47">
        <v>0</v>
      </c>
      <c r="Q523" s="48"/>
      <c r="R523" s="48">
        <v>0</v>
      </c>
      <c r="S523" s="72"/>
      <c r="T523" s="47">
        <v>3080</v>
      </c>
      <c r="U523" s="48">
        <f t="shared" si="56"/>
        <v>566.01041666666663</v>
      </c>
      <c r="V523" s="47">
        <v>500</v>
      </c>
      <c r="W523" s="42">
        <v>0</v>
      </c>
      <c r="X523" s="42">
        <v>0</v>
      </c>
      <c r="Y523" s="42">
        <v>0</v>
      </c>
      <c r="Z523" s="42">
        <v>0</v>
      </c>
      <c r="AA523" s="4">
        <f t="shared" si="58"/>
        <v>6362.8604166666664</v>
      </c>
      <c r="AB523" s="4">
        <f t="shared" si="57"/>
        <v>76354.324999999997</v>
      </c>
      <c r="AC523" s="4">
        <f t="shared" si="59"/>
        <v>192646.32500000001</v>
      </c>
    </row>
    <row r="524" spans="1:29" x14ac:dyDescent="0.2">
      <c r="A524" s="42">
        <v>400555</v>
      </c>
      <c r="B524" s="43">
        <v>4</v>
      </c>
      <c r="C524" s="42" t="s">
        <v>300</v>
      </c>
      <c r="D524" s="43" t="s">
        <v>33</v>
      </c>
      <c r="E524" s="43"/>
      <c r="F524" s="42" t="s">
        <v>124</v>
      </c>
      <c r="G524" s="43" t="s">
        <v>41</v>
      </c>
      <c r="H524" s="42">
        <v>49</v>
      </c>
      <c r="I524" s="44">
        <v>45924</v>
      </c>
      <c r="J524" s="43" t="s">
        <v>54</v>
      </c>
      <c r="K524" s="49">
        <v>20275</v>
      </c>
      <c r="L524" s="42"/>
      <c r="M524" s="51">
        <f>VLOOKUP(A524,'[1]ناتج ملف Excel'!$A:$AV,46,0)</f>
        <v>1100</v>
      </c>
      <c r="N524" s="51">
        <f>VLOOKUP(A524,'[1]ناتج ملف Excel'!$A:$AV,47,0)</f>
        <v>5068.75</v>
      </c>
      <c r="O524" s="42"/>
      <c r="P524" s="47">
        <v>0</v>
      </c>
      <c r="Q524" s="48"/>
      <c r="R524" s="48">
        <v>0</v>
      </c>
      <c r="S524" s="72"/>
      <c r="T524" s="47">
        <v>3080</v>
      </c>
      <c r="U524" s="48">
        <f t="shared" si="56"/>
        <v>1285.15625</v>
      </c>
      <c r="V524" s="47">
        <v>900</v>
      </c>
      <c r="W524" s="42">
        <v>750</v>
      </c>
      <c r="X524" s="42">
        <v>3448.375</v>
      </c>
      <c r="Y524" s="42">
        <v>0</v>
      </c>
      <c r="Z524" s="42">
        <v>0</v>
      </c>
      <c r="AA524" s="4">
        <f t="shared" si="58"/>
        <v>10533.90625</v>
      </c>
      <c r="AB524" s="4">
        <f t="shared" si="57"/>
        <v>126406.875</v>
      </c>
      <c r="AC524" s="4">
        <f t="shared" si="59"/>
        <v>430887.375</v>
      </c>
    </row>
    <row r="525" spans="1:29" x14ac:dyDescent="0.2">
      <c r="A525" s="42">
        <v>400556</v>
      </c>
      <c r="B525" s="43">
        <v>4</v>
      </c>
      <c r="C525" s="42" t="s">
        <v>300</v>
      </c>
      <c r="D525" s="43" t="s">
        <v>33</v>
      </c>
      <c r="E525" s="43"/>
      <c r="F525" s="42" t="s">
        <v>125</v>
      </c>
      <c r="G525" s="43" t="s">
        <v>41</v>
      </c>
      <c r="H525" s="42">
        <v>42</v>
      </c>
      <c r="I525" s="44">
        <v>45963</v>
      </c>
      <c r="J525" s="43" t="s">
        <v>54</v>
      </c>
      <c r="K525" s="49">
        <v>14445</v>
      </c>
      <c r="L525" s="42"/>
      <c r="M525" s="51">
        <f>VLOOKUP(A525,'[1]ناتج ملف Excel'!$A:$AV,46,0)</f>
        <v>744.5</v>
      </c>
      <c r="N525" s="51">
        <f>VLOOKUP(A525,'[1]ناتج ملف Excel'!$A:$AV,47,0)</f>
        <v>3611.25</v>
      </c>
      <c r="O525" s="42"/>
      <c r="P525" s="47">
        <v>0</v>
      </c>
      <c r="Q525" s="48"/>
      <c r="R525" s="48">
        <v>0</v>
      </c>
      <c r="S525" s="72"/>
      <c r="T525" s="47">
        <v>3080</v>
      </c>
      <c r="U525" s="48">
        <f t="shared" si="56"/>
        <v>907.44791666666663</v>
      </c>
      <c r="V525" s="47">
        <v>700</v>
      </c>
      <c r="W525" s="42">
        <v>750</v>
      </c>
      <c r="X525" s="42">
        <v>2445.625</v>
      </c>
      <c r="Y525" s="42">
        <v>0</v>
      </c>
      <c r="Z525" s="42">
        <v>0</v>
      </c>
      <c r="AA525" s="4">
        <f t="shared" si="58"/>
        <v>8343.1979166666661</v>
      </c>
      <c r="AB525" s="4">
        <f t="shared" si="57"/>
        <v>100118.375</v>
      </c>
      <c r="AC525" s="4">
        <f t="shared" si="59"/>
        <v>320205.875</v>
      </c>
    </row>
    <row r="526" spans="1:29" x14ac:dyDescent="0.2">
      <c r="A526" s="42">
        <v>400557</v>
      </c>
      <c r="B526" s="43" t="s">
        <v>267</v>
      </c>
      <c r="C526" s="42" t="s">
        <v>300</v>
      </c>
      <c r="D526" s="43" t="s">
        <v>33</v>
      </c>
      <c r="E526" s="43"/>
      <c r="F526" s="42" t="s">
        <v>125</v>
      </c>
      <c r="G526" s="43" t="s">
        <v>41</v>
      </c>
      <c r="H526" s="42">
        <v>54</v>
      </c>
      <c r="I526" s="44">
        <v>45963</v>
      </c>
      <c r="J526" s="43" t="s">
        <v>54</v>
      </c>
      <c r="K526" s="49">
        <v>13975</v>
      </c>
      <c r="L526" s="42"/>
      <c r="M526" s="51">
        <f>VLOOKUP(A526,'[1]ناتج ملف Excel'!$A:$AV,46,0)</f>
        <v>100</v>
      </c>
      <c r="N526" s="51">
        <f>VLOOKUP(A526,'[1]ناتج ملف Excel'!$A:$AV,47,0)</f>
        <v>3493.75</v>
      </c>
      <c r="O526" s="42"/>
      <c r="P526" s="47">
        <v>0</v>
      </c>
      <c r="Q526" s="48"/>
      <c r="R526" s="48">
        <v>0</v>
      </c>
      <c r="S526" s="72"/>
      <c r="T526" s="47">
        <v>3080</v>
      </c>
      <c r="U526" s="48">
        <f t="shared" si="56"/>
        <v>748.69791666666663</v>
      </c>
      <c r="V526" s="47">
        <v>700</v>
      </c>
      <c r="W526" s="42">
        <v>750</v>
      </c>
      <c r="X526" s="42">
        <v>0</v>
      </c>
      <c r="Y526" s="42">
        <v>0</v>
      </c>
      <c r="Z526" s="42">
        <v>0</v>
      </c>
      <c r="AA526" s="4">
        <f t="shared" si="58"/>
        <v>7422.4479166666661</v>
      </c>
      <c r="AB526" s="4">
        <f t="shared" si="57"/>
        <v>89069.375</v>
      </c>
      <c r="AC526" s="4">
        <f t="shared" si="59"/>
        <v>274169.375</v>
      </c>
    </row>
    <row r="527" spans="1:29" x14ac:dyDescent="0.2">
      <c r="A527" s="42">
        <v>400558</v>
      </c>
      <c r="B527" s="43">
        <v>4</v>
      </c>
      <c r="C527" s="42" t="s">
        <v>300</v>
      </c>
      <c r="D527" s="43" t="s">
        <v>33</v>
      </c>
      <c r="E527" s="43"/>
      <c r="F527" s="42" t="s">
        <v>125</v>
      </c>
      <c r="G527" s="43" t="s">
        <v>41</v>
      </c>
      <c r="H527" s="42">
        <v>55</v>
      </c>
      <c r="I527" s="44">
        <v>45963</v>
      </c>
      <c r="J527" s="43" t="s">
        <v>54</v>
      </c>
      <c r="K527" s="49">
        <v>18705</v>
      </c>
      <c r="L527" s="42"/>
      <c r="M527" s="51">
        <f>VLOOKUP(A527,'[1]ناتج ملف Excel'!$A:$AV,46,0)</f>
        <v>970.5</v>
      </c>
      <c r="N527" s="51">
        <f>VLOOKUP(A527,'[1]ناتج ملف Excel'!$A:$AV,47,0)</f>
        <v>4676.25</v>
      </c>
      <c r="O527" s="42"/>
      <c r="P527" s="47">
        <v>0</v>
      </c>
      <c r="Q527" s="48"/>
      <c r="R527" s="48">
        <v>0</v>
      </c>
      <c r="S527" s="72"/>
      <c r="T527" s="47">
        <v>3080</v>
      </c>
      <c r="U527" s="48">
        <f t="shared" si="56"/>
        <v>1176.40625</v>
      </c>
      <c r="V527" s="47">
        <v>900</v>
      </c>
      <c r="W527" s="42">
        <v>0</v>
      </c>
      <c r="X527" s="42">
        <v>3273.375</v>
      </c>
      <c r="Y527" s="42">
        <v>0</v>
      </c>
      <c r="Z527" s="42">
        <v>0</v>
      </c>
      <c r="AA527" s="4">
        <f t="shared" si="58"/>
        <v>9903.15625</v>
      </c>
      <c r="AB527" s="4">
        <f t="shared" si="57"/>
        <v>118837.875</v>
      </c>
      <c r="AC527" s="4">
        <f t="shared" si="59"/>
        <v>393378.375</v>
      </c>
    </row>
    <row r="528" spans="1:29" x14ac:dyDescent="0.2">
      <c r="A528" s="42">
        <v>400559</v>
      </c>
      <c r="B528" s="43" t="s">
        <v>267</v>
      </c>
      <c r="C528" s="42" t="s">
        <v>300</v>
      </c>
      <c r="D528" s="43" t="s">
        <v>33</v>
      </c>
      <c r="E528" s="43"/>
      <c r="F528" s="42" t="s">
        <v>76</v>
      </c>
      <c r="G528" s="43" t="s">
        <v>41</v>
      </c>
      <c r="H528" s="42">
        <v>33</v>
      </c>
      <c r="I528" s="44">
        <v>45963</v>
      </c>
      <c r="J528" s="43" t="s">
        <v>54</v>
      </c>
      <c r="K528" s="46">
        <v>6072</v>
      </c>
      <c r="L528" s="42"/>
      <c r="M528" s="51">
        <f>VLOOKUP(A528,'[1]ناتج ملف Excel'!$A:$AV,46,0)</f>
        <v>107.2</v>
      </c>
      <c r="N528" s="51">
        <f>VLOOKUP(A528,'[1]ناتج ملف Excel'!$A:$AV,47,0)</f>
        <v>1518</v>
      </c>
      <c r="O528" s="42"/>
      <c r="P528" s="47">
        <v>0</v>
      </c>
      <c r="Q528" s="48"/>
      <c r="R528" s="48">
        <v>0</v>
      </c>
      <c r="S528" s="72"/>
      <c r="T528" s="47">
        <v>3080</v>
      </c>
      <c r="U528" s="48">
        <f t="shared" si="56"/>
        <v>338.58333333333331</v>
      </c>
      <c r="V528" s="47">
        <v>500</v>
      </c>
      <c r="W528" s="42">
        <v>0</v>
      </c>
      <c r="X528" s="42">
        <v>0</v>
      </c>
      <c r="Y528" s="42">
        <v>0</v>
      </c>
      <c r="Z528" s="42">
        <v>0</v>
      </c>
      <c r="AA528" s="4">
        <f t="shared" si="58"/>
        <v>5043.7833333333338</v>
      </c>
      <c r="AB528" s="4">
        <f t="shared" si="57"/>
        <v>60525.400000000009</v>
      </c>
      <c r="AC528" s="4">
        <f t="shared" si="59"/>
        <v>139389.40000000002</v>
      </c>
    </row>
    <row r="529" spans="1:29" x14ac:dyDescent="0.2">
      <c r="A529" s="42">
        <v>400560</v>
      </c>
      <c r="B529" s="43" t="s">
        <v>267</v>
      </c>
      <c r="C529" s="42" t="s">
        <v>300</v>
      </c>
      <c r="D529" s="43" t="s">
        <v>33</v>
      </c>
      <c r="E529" s="43"/>
      <c r="F529" s="42" t="s">
        <v>76</v>
      </c>
      <c r="G529" s="43" t="s">
        <v>41</v>
      </c>
      <c r="H529" s="42">
        <v>47</v>
      </c>
      <c r="I529" s="44">
        <v>45963</v>
      </c>
      <c r="J529" s="43" t="s">
        <v>54</v>
      </c>
      <c r="K529" s="49">
        <v>10915</v>
      </c>
      <c r="L529" s="42"/>
      <c r="M529" s="51">
        <f>VLOOKUP(A529,'[1]ناتج ملف Excel'!$A:$AV,46,0)</f>
        <v>100</v>
      </c>
      <c r="N529" s="51">
        <f>VLOOKUP(A529,'[1]ناتج ملف Excel'!$A:$AV,47,0)</f>
        <v>2728.75</v>
      </c>
      <c r="O529" s="42"/>
      <c r="P529" s="47">
        <v>0</v>
      </c>
      <c r="Q529" s="48"/>
      <c r="R529" s="48">
        <v>0</v>
      </c>
      <c r="S529" s="72"/>
      <c r="T529" s="47">
        <v>3080</v>
      </c>
      <c r="U529" s="48">
        <f t="shared" si="56"/>
        <v>589.32291666666663</v>
      </c>
      <c r="V529" s="47">
        <v>700</v>
      </c>
      <c r="W529" s="42">
        <v>750</v>
      </c>
      <c r="X529" s="42">
        <v>0</v>
      </c>
      <c r="Y529" s="42">
        <v>0</v>
      </c>
      <c r="Z529" s="42">
        <v>0</v>
      </c>
      <c r="AA529" s="4">
        <f t="shared" si="58"/>
        <v>6498.0729166666661</v>
      </c>
      <c r="AB529" s="4">
        <f t="shared" si="57"/>
        <v>77976.875</v>
      </c>
      <c r="AC529" s="4">
        <f t="shared" si="59"/>
        <v>226356.875</v>
      </c>
    </row>
    <row r="530" spans="1:29" x14ac:dyDescent="0.2">
      <c r="A530" s="42">
        <v>400562</v>
      </c>
      <c r="B530" s="43">
        <v>4</v>
      </c>
      <c r="C530" s="42" t="s">
        <v>300</v>
      </c>
      <c r="D530" s="43" t="s">
        <v>33</v>
      </c>
      <c r="E530" s="43"/>
      <c r="F530" s="42" t="s">
        <v>126</v>
      </c>
      <c r="G530" s="43" t="s">
        <v>41</v>
      </c>
      <c r="H530" s="42">
        <v>40</v>
      </c>
      <c r="I530" s="44">
        <v>45963</v>
      </c>
      <c r="J530" s="43" t="s">
        <v>54</v>
      </c>
      <c r="K530" s="49">
        <v>13975</v>
      </c>
      <c r="L530" s="42"/>
      <c r="M530" s="51">
        <f>VLOOKUP(A530,'[1]ناتج ملف Excel'!$A:$AV,46,0)</f>
        <v>697.5</v>
      </c>
      <c r="N530" s="51">
        <f>VLOOKUP(A530,'[1]ناتج ملف Excel'!$A:$AV,47,0)</f>
        <v>3493.75</v>
      </c>
      <c r="O530" s="42"/>
      <c r="P530" s="47">
        <v>0</v>
      </c>
      <c r="Q530" s="48"/>
      <c r="R530" s="48">
        <v>0</v>
      </c>
      <c r="S530" s="72"/>
      <c r="T530" s="47">
        <v>3080</v>
      </c>
      <c r="U530" s="48">
        <f t="shared" si="56"/>
        <v>873.17708333333337</v>
      </c>
      <c r="V530" s="47">
        <v>700</v>
      </c>
      <c r="W530" s="42">
        <v>750</v>
      </c>
      <c r="X530" s="42">
        <v>2363.375</v>
      </c>
      <c r="Y530" s="42">
        <v>0</v>
      </c>
      <c r="Z530" s="42">
        <v>0</v>
      </c>
      <c r="AA530" s="4">
        <f t="shared" si="58"/>
        <v>8144.4270833333339</v>
      </c>
      <c r="AB530" s="4">
        <f t="shared" si="57"/>
        <v>97733.125</v>
      </c>
      <c r="AC530" s="4">
        <f t="shared" si="59"/>
        <v>311193.625</v>
      </c>
    </row>
    <row r="531" spans="1:29" x14ac:dyDescent="0.2">
      <c r="A531" s="42">
        <v>400563</v>
      </c>
      <c r="B531" s="43">
        <v>4</v>
      </c>
      <c r="C531" s="42" t="s">
        <v>300</v>
      </c>
      <c r="D531" s="43" t="s">
        <v>33</v>
      </c>
      <c r="E531" s="43"/>
      <c r="F531" s="42" t="s">
        <v>126</v>
      </c>
      <c r="G531" s="43" t="s">
        <v>41</v>
      </c>
      <c r="H531" s="42">
        <v>46</v>
      </c>
      <c r="I531" s="44">
        <v>45963</v>
      </c>
      <c r="J531" s="43" t="s">
        <v>54</v>
      </c>
      <c r="K531" s="49">
        <v>16905</v>
      </c>
      <c r="L531" s="42"/>
      <c r="M531" s="51">
        <f>VLOOKUP(A531,'[1]ناتج ملف Excel'!$A:$AV,46,0)</f>
        <v>990.5</v>
      </c>
      <c r="N531" s="51">
        <f>VLOOKUP(A531,'[1]ناتج ملف Excel'!$A:$AV,47,0)</f>
        <v>4226.25</v>
      </c>
      <c r="O531" s="42"/>
      <c r="P531" s="47">
        <v>0</v>
      </c>
      <c r="Q531" s="48"/>
      <c r="R531" s="48">
        <v>0</v>
      </c>
      <c r="S531" s="72"/>
      <c r="T531" s="47">
        <v>3080</v>
      </c>
      <c r="U531" s="48">
        <f t="shared" si="56"/>
        <v>1086.8229166666667</v>
      </c>
      <c r="V531" s="47">
        <v>700</v>
      </c>
      <c r="W531" s="42">
        <v>0</v>
      </c>
      <c r="X531" s="42">
        <v>2869.125</v>
      </c>
      <c r="Y531" s="42">
        <v>0</v>
      </c>
      <c r="Z531" s="42">
        <v>0</v>
      </c>
      <c r="AA531" s="4">
        <f t="shared" si="58"/>
        <v>9383.5729166666679</v>
      </c>
      <c r="AB531" s="4">
        <f t="shared" si="57"/>
        <v>112602.87500000001</v>
      </c>
      <c r="AC531" s="4">
        <f t="shared" si="59"/>
        <v>358292.375</v>
      </c>
    </row>
    <row r="532" spans="1:29" x14ac:dyDescent="0.2">
      <c r="A532" s="42">
        <v>400564</v>
      </c>
      <c r="B532" s="43">
        <v>4</v>
      </c>
      <c r="C532" s="42" t="s">
        <v>300</v>
      </c>
      <c r="D532" s="43" t="s">
        <v>33</v>
      </c>
      <c r="E532" s="43"/>
      <c r="F532" s="42" t="s">
        <v>91</v>
      </c>
      <c r="G532" s="43" t="s">
        <v>41</v>
      </c>
      <c r="H532" s="42">
        <v>38</v>
      </c>
      <c r="I532" s="44">
        <v>45963</v>
      </c>
      <c r="J532" s="43" t="s">
        <v>54</v>
      </c>
      <c r="K532" s="49">
        <v>12095</v>
      </c>
      <c r="L532" s="42"/>
      <c r="M532" s="51">
        <f>VLOOKUP(A532,'[1]ناتج ملف Excel'!$A:$AV,46,0)</f>
        <v>509.5</v>
      </c>
      <c r="N532" s="51">
        <f>VLOOKUP(A532,'[1]ناتج ملف Excel'!$A:$AV,47,0)</f>
        <v>3023.75</v>
      </c>
      <c r="O532" s="42"/>
      <c r="P532" s="47">
        <v>0</v>
      </c>
      <c r="Q532" s="48"/>
      <c r="R532" s="48">
        <v>0</v>
      </c>
      <c r="S532" s="72"/>
      <c r="T532" s="47">
        <v>3080</v>
      </c>
      <c r="U532" s="48">
        <f t="shared" si="56"/>
        <v>736.09375</v>
      </c>
      <c r="V532" s="47">
        <v>700</v>
      </c>
      <c r="W532" s="42">
        <v>750</v>
      </c>
      <c r="X532" s="42">
        <v>2034.375</v>
      </c>
      <c r="Y532" s="42">
        <v>0</v>
      </c>
      <c r="Z532" s="42">
        <v>0</v>
      </c>
      <c r="AA532" s="4">
        <f t="shared" si="58"/>
        <v>7349.34375</v>
      </c>
      <c r="AB532" s="4">
        <f t="shared" si="57"/>
        <v>88192.125</v>
      </c>
      <c r="AC532" s="4">
        <f t="shared" si="59"/>
        <v>275144.625</v>
      </c>
    </row>
    <row r="533" spans="1:29" x14ac:dyDescent="0.2">
      <c r="A533" s="42">
        <v>400565</v>
      </c>
      <c r="B533" s="43">
        <v>4</v>
      </c>
      <c r="C533" s="42" t="s">
        <v>300</v>
      </c>
      <c r="D533" s="43" t="s">
        <v>33</v>
      </c>
      <c r="E533" s="43"/>
      <c r="F533" s="42" t="s">
        <v>109</v>
      </c>
      <c r="G533" s="43" t="s">
        <v>41</v>
      </c>
      <c r="H533" s="42">
        <v>28</v>
      </c>
      <c r="I533" s="44">
        <v>45963</v>
      </c>
      <c r="J533" s="43" t="s">
        <v>54</v>
      </c>
      <c r="K533" s="46">
        <v>9280</v>
      </c>
      <c r="L533" s="42"/>
      <c r="M533" s="51">
        <f>VLOOKUP(A533,'[1]ناتج ملف Excel'!$A:$AV,46,0)</f>
        <v>428</v>
      </c>
      <c r="N533" s="51">
        <f>VLOOKUP(A533,'[1]ناتج ملف Excel'!$A:$AV,47,0)</f>
        <v>2320</v>
      </c>
      <c r="O533" s="42"/>
      <c r="P533" s="47">
        <v>0</v>
      </c>
      <c r="Q533" s="48"/>
      <c r="R533" s="48">
        <v>0</v>
      </c>
      <c r="S533" s="72"/>
      <c r="T533" s="47">
        <v>3080</v>
      </c>
      <c r="U533" s="48">
        <f t="shared" si="56"/>
        <v>572.5</v>
      </c>
      <c r="V533" s="47">
        <v>500</v>
      </c>
      <c r="W533" s="42">
        <v>0</v>
      </c>
      <c r="X533" s="42">
        <v>0</v>
      </c>
      <c r="Y533" s="42">
        <v>0</v>
      </c>
      <c r="Z533" s="42">
        <v>0</v>
      </c>
      <c r="AA533" s="4">
        <f t="shared" si="58"/>
        <v>6400.5</v>
      </c>
      <c r="AB533" s="4">
        <f t="shared" si="57"/>
        <v>76806</v>
      </c>
      <c r="AC533" s="4">
        <f t="shared" si="59"/>
        <v>194166</v>
      </c>
    </row>
    <row r="534" spans="1:29" x14ac:dyDescent="0.2">
      <c r="A534" s="42">
        <v>400566</v>
      </c>
      <c r="B534" s="43">
        <v>4</v>
      </c>
      <c r="C534" s="42" t="s">
        <v>300</v>
      </c>
      <c r="D534" s="43" t="s">
        <v>33</v>
      </c>
      <c r="E534" s="43"/>
      <c r="F534" s="42" t="s">
        <v>127</v>
      </c>
      <c r="G534" s="43" t="s">
        <v>41</v>
      </c>
      <c r="H534" s="42">
        <v>31</v>
      </c>
      <c r="I534" s="44">
        <v>45963</v>
      </c>
      <c r="J534" s="43" t="s">
        <v>54</v>
      </c>
      <c r="K534" s="46">
        <v>8927</v>
      </c>
      <c r="L534" s="42"/>
      <c r="M534" s="51">
        <f>VLOOKUP(A534,'[1]ناتج ملف Excel'!$A:$AV,46,0)</f>
        <v>392.7</v>
      </c>
      <c r="N534" s="51">
        <f>VLOOKUP(A534,'[1]ناتج ملف Excel'!$A:$AV,47,0)</f>
        <v>2231.75</v>
      </c>
      <c r="O534" s="42"/>
      <c r="P534" s="47">
        <v>0</v>
      </c>
      <c r="Q534" s="48"/>
      <c r="R534" s="48">
        <v>0</v>
      </c>
      <c r="S534" s="72"/>
      <c r="T534" s="47">
        <v>3080</v>
      </c>
      <c r="U534" s="48">
        <f t="shared" si="56"/>
        <v>546.76041666666663</v>
      </c>
      <c r="V534" s="47">
        <v>500</v>
      </c>
      <c r="W534" s="42">
        <v>0</v>
      </c>
      <c r="X534" s="42">
        <v>0</v>
      </c>
      <c r="Y534" s="42">
        <v>0</v>
      </c>
      <c r="Z534" s="42">
        <v>0</v>
      </c>
      <c r="AA534" s="4">
        <f t="shared" si="58"/>
        <v>6251.2104166666659</v>
      </c>
      <c r="AB534" s="4">
        <f t="shared" si="57"/>
        <v>75014.524999999994</v>
      </c>
      <c r="AC534" s="4">
        <f t="shared" si="59"/>
        <v>188138.52499999999</v>
      </c>
    </row>
    <row r="535" spans="1:29" x14ac:dyDescent="0.2">
      <c r="A535" s="42">
        <v>400567</v>
      </c>
      <c r="B535" s="43">
        <v>4</v>
      </c>
      <c r="C535" s="42" t="s">
        <v>300</v>
      </c>
      <c r="D535" s="43" t="s">
        <v>33</v>
      </c>
      <c r="E535" s="43"/>
      <c r="F535" s="42" t="s">
        <v>127</v>
      </c>
      <c r="G535" s="43" t="s">
        <v>41</v>
      </c>
      <c r="H535" s="42">
        <v>35</v>
      </c>
      <c r="I535" s="44">
        <v>45963</v>
      </c>
      <c r="J535" s="43" t="s">
        <v>54</v>
      </c>
      <c r="K535" s="49">
        <v>12565</v>
      </c>
      <c r="L535" s="42"/>
      <c r="M535" s="51">
        <f>VLOOKUP(A535,'[1]ناتج ملف Excel'!$A:$AV,46,0)</f>
        <v>556.5</v>
      </c>
      <c r="N535" s="51">
        <f>VLOOKUP(A535,'[1]ناتج ملف Excel'!$A:$AV,47,0)</f>
        <v>3141.25</v>
      </c>
      <c r="O535" s="42"/>
      <c r="P535" s="47">
        <v>0</v>
      </c>
      <c r="Q535" s="48"/>
      <c r="R535" s="48">
        <v>0</v>
      </c>
      <c r="S535" s="72"/>
      <c r="T535" s="47">
        <v>3080</v>
      </c>
      <c r="U535" s="48">
        <f t="shared" si="56"/>
        <v>770.36458333333337</v>
      </c>
      <c r="V535" s="47">
        <v>700</v>
      </c>
      <c r="W535" s="42">
        <v>750</v>
      </c>
      <c r="X535" s="42">
        <v>2116.625</v>
      </c>
      <c r="Y535" s="42">
        <v>0</v>
      </c>
      <c r="Z535" s="42">
        <v>0</v>
      </c>
      <c r="AA535" s="4">
        <f t="shared" si="58"/>
        <v>7548.1145833333339</v>
      </c>
      <c r="AB535" s="4">
        <f t="shared" si="57"/>
        <v>90577.375</v>
      </c>
      <c r="AC535" s="4">
        <f t="shared" si="59"/>
        <v>284156.875</v>
      </c>
    </row>
    <row r="536" spans="1:29" x14ac:dyDescent="0.2">
      <c r="A536" s="42">
        <v>400568</v>
      </c>
      <c r="B536" s="43" t="s">
        <v>267</v>
      </c>
      <c r="C536" s="42" t="s">
        <v>300</v>
      </c>
      <c r="D536" s="43" t="s">
        <v>33</v>
      </c>
      <c r="E536" s="43"/>
      <c r="F536" s="42" t="s">
        <v>128</v>
      </c>
      <c r="G536" s="43" t="s">
        <v>41</v>
      </c>
      <c r="H536" s="42">
        <v>39</v>
      </c>
      <c r="I536" s="44">
        <v>45963</v>
      </c>
      <c r="J536" s="43" t="s">
        <v>54</v>
      </c>
      <c r="K536" s="46">
        <v>9565</v>
      </c>
      <c r="L536" s="42"/>
      <c r="M536" s="51">
        <f>VLOOKUP(A536,'[1]ناتج ملف Excel'!$A:$AV,46,0)</f>
        <v>100</v>
      </c>
      <c r="N536" s="51">
        <f>VLOOKUP(A536,'[1]ناتج ملف Excel'!$A:$AV,47,0)</f>
        <v>2391.25</v>
      </c>
      <c r="O536" s="42"/>
      <c r="P536" s="47">
        <v>0</v>
      </c>
      <c r="Q536" s="48"/>
      <c r="R536" s="48">
        <v>0</v>
      </c>
      <c r="S536" s="72"/>
      <c r="T536" s="47">
        <v>3080</v>
      </c>
      <c r="U536" s="48">
        <f t="shared" si="56"/>
        <v>519.01041666666663</v>
      </c>
      <c r="V536" s="47">
        <v>700</v>
      </c>
      <c r="W536" s="42">
        <v>750</v>
      </c>
      <c r="X536" s="42">
        <v>0</v>
      </c>
      <c r="Y536" s="42">
        <v>0</v>
      </c>
      <c r="Z536" s="42">
        <v>0</v>
      </c>
      <c r="AA536" s="4">
        <f t="shared" si="58"/>
        <v>6090.2604166666661</v>
      </c>
      <c r="AB536" s="4">
        <f t="shared" si="57"/>
        <v>73083.125</v>
      </c>
      <c r="AC536" s="4">
        <f t="shared" si="59"/>
        <v>205263.125</v>
      </c>
    </row>
    <row r="537" spans="1:29" x14ac:dyDescent="0.2">
      <c r="A537" s="42">
        <v>400569</v>
      </c>
      <c r="B537" s="43">
        <v>4</v>
      </c>
      <c r="C537" s="42" t="s">
        <v>300</v>
      </c>
      <c r="D537" s="43" t="s">
        <v>33</v>
      </c>
      <c r="E537" s="43"/>
      <c r="F537" s="42" t="s">
        <v>128</v>
      </c>
      <c r="G537" s="43" t="s">
        <v>41</v>
      </c>
      <c r="H537" s="42">
        <v>42</v>
      </c>
      <c r="I537" s="44">
        <v>45963</v>
      </c>
      <c r="J537" s="43" t="s">
        <v>54</v>
      </c>
      <c r="K537" s="49">
        <v>16585</v>
      </c>
      <c r="L537" s="42"/>
      <c r="M537" s="51">
        <f>VLOOKUP(A537,'[1]ناتج ملف Excel'!$A:$AV,46,0)</f>
        <v>758.5</v>
      </c>
      <c r="N537" s="51">
        <f>VLOOKUP(A537,'[1]ناتج ملف Excel'!$A:$AV,47,0)</f>
        <v>4146.25</v>
      </c>
      <c r="O537" s="42"/>
      <c r="P537" s="47">
        <v>0</v>
      </c>
      <c r="Q537" s="48"/>
      <c r="R537" s="48">
        <v>0</v>
      </c>
      <c r="S537" s="72"/>
      <c r="T537" s="47">
        <v>3080</v>
      </c>
      <c r="U537" s="48">
        <f t="shared" si="56"/>
        <v>1021.8229166666666</v>
      </c>
      <c r="V537" s="47">
        <v>900</v>
      </c>
      <c r="W537" s="42">
        <v>0</v>
      </c>
      <c r="X537" s="42">
        <v>2809.625</v>
      </c>
      <c r="Y537" s="42">
        <v>0</v>
      </c>
      <c r="Z537" s="42">
        <v>0</v>
      </c>
      <c r="AA537" s="4">
        <f t="shared" si="58"/>
        <v>9006.5729166666679</v>
      </c>
      <c r="AB537" s="4">
        <f t="shared" si="57"/>
        <v>108078.87500000001</v>
      </c>
      <c r="AC537" s="4">
        <f t="shared" si="59"/>
        <v>351614.375</v>
      </c>
    </row>
    <row r="538" spans="1:29" x14ac:dyDescent="0.2">
      <c r="A538" s="42">
        <v>400570</v>
      </c>
      <c r="B538" s="43">
        <v>4</v>
      </c>
      <c r="C538" s="42" t="s">
        <v>300</v>
      </c>
      <c r="D538" s="43" t="s">
        <v>33</v>
      </c>
      <c r="E538" s="43"/>
      <c r="F538" s="42" t="s">
        <v>129</v>
      </c>
      <c r="G538" s="43" t="s">
        <v>41</v>
      </c>
      <c r="H538" s="42">
        <v>34</v>
      </c>
      <c r="I538" s="44">
        <v>45963</v>
      </c>
      <c r="J538" s="43" t="s">
        <v>54</v>
      </c>
      <c r="K538" s="46">
        <v>9744</v>
      </c>
      <c r="L538" s="42"/>
      <c r="M538" s="51">
        <f>VLOOKUP(A538,'[1]ناتج ملف Excel'!$A:$AV,46,0)</f>
        <v>474.4</v>
      </c>
      <c r="N538" s="51">
        <f>VLOOKUP(A538,'[1]ناتج ملف Excel'!$A:$AV,47,0)</f>
        <v>2436</v>
      </c>
      <c r="O538" s="42"/>
      <c r="P538" s="47">
        <v>0</v>
      </c>
      <c r="Q538" s="48"/>
      <c r="R538" s="48">
        <v>0</v>
      </c>
      <c r="S538" s="72"/>
      <c r="T538" s="47">
        <v>3080</v>
      </c>
      <c r="U538" s="48">
        <f t="shared" si="56"/>
        <v>606.33333333333337</v>
      </c>
      <c r="V538" s="47">
        <v>500</v>
      </c>
      <c r="W538" s="42">
        <v>0</v>
      </c>
      <c r="X538" s="42">
        <v>0</v>
      </c>
      <c r="Y538" s="42">
        <v>0</v>
      </c>
      <c r="Z538" s="42">
        <v>0</v>
      </c>
      <c r="AA538" s="4">
        <f t="shared" si="58"/>
        <v>6596.7333333333336</v>
      </c>
      <c r="AB538" s="4">
        <f t="shared" si="57"/>
        <v>79160.800000000003</v>
      </c>
      <c r="AC538" s="4">
        <f t="shared" si="59"/>
        <v>202088.8</v>
      </c>
    </row>
    <row r="539" spans="1:29" x14ac:dyDescent="0.2">
      <c r="A539" s="42">
        <v>400571</v>
      </c>
      <c r="B539" s="43">
        <v>4</v>
      </c>
      <c r="C539" s="42" t="s">
        <v>300</v>
      </c>
      <c r="D539" s="43" t="s">
        <v>33</v>
      </c>
      <c r="E539" s="43"/>
      <c r="F539" s="42" t="s">
        <v>130</v>
      </c>
      <c r="G539" s="43" t="s">
        <v>41</v>
      </c>
      <c r="H539" s="42">
        <v>34</v>
      </c>
      <c r="I539" s="44">
        <v>45963</v>
      </c>
      <c r="J539" s="43" t="s">
        <v>54</v>
      </c>
      <c r="K539" s="46">
        <v>9745</v>
      </c>
      <c r="L539" s="42"/>
      <c r="M539" s="51">
        <f>VLOOKUP(A539,'[1]ناتج ملف Excel'!$A:$AV,46,0)</f>
        <v>474.5</v>
      </c>
      <c r="N539" s="51">
        <f>VLOOKUP(A539,'[1]ناتج ملف Excel'!$A:$AV,47,0)</f>
        <v>2436.25</v>
      </c>
      <c r="O539" s="42"/>
      <c r="P539" s="47">
        <v>0</v>
      </c>
      <c r="Q539" s="48"/>
      <c r="R539" s="48">
        <v>0</v>
      </c>
      <c r="S539" s="72"/>
      <c r="T539" s="47">
        <v>3080</v>
      </c>
      <c r="U539" s="48">
        <f t="shared" si="56"/>
        <v>606.40625</v>
      </c>
      <c r="V539" s="47">
        <v>500</v>
      </c>
      <c r="W539" s="42">
        <v>0</v>
      </c>
      <c r="X539" s="42">
        <v>0</v>
      </c>
      <c r="Y539" s="42">
        <v>0</v>
      </c>
      <c r="Z539" s="42">
        <v>0</v>
      </c>
      <c r="AA539" s="4">
        <f t="shared" si="58"/>
        <v>6597.15625</v>
      </c>
      <c r="AB539" s="4">
        <f t="shared" si="57"/>
        <v>79165.875</v>
      </c>
      <c r="AC539" s="4">
        <f t="shared" si="59"/>
        <v>202105.875</v>
      </c>
    </row>
    <row r="540" spans="1:29" x14ac:dyDescent="0.2">
      <c r="A540" s="42">
        <v>400572</v>
      </c>
      <c r="B540" s="43" t="s">
        <v>267</v>
      </c>
      <c r="C540" s="42" t="s">
        <v>300</v>
      </c>
      <c r="D540" s="43" t="s">
        <v>33</v>
      </c>
      <c r="E540" s="43"/>
      <c r="F540" s="42" t="s">
        <v>84</v>
      </c>
      <c r="G540" s="43" t="s">
        <v>41</v>
      </c>
      <c r="H540" s="42">
        <v>49</v>
      </c>
      <c r="I540" s="44">
        <v>45963</v>
      </c>
      <c r="J540" s="43" t="s">
        <v>54</v>
      </c>
      <c r="K540" s="46">
        <v>9930</v>
      </c>
      <c r="L540" s="42"/>
      <c r="M540" s="51">
        <f>VLOOKUP(A540,'[1]ناتج ملف Excel'!$A:$AV,46,0)</f>
        <v>100</v>
      </c>
      <c r="N540" s="51">
        <f>VLOOKUP(A540,'[1]ناتج ملف Excel'!$A:$AV,47,0)</f>
        <v>2482.5</v>
      </c>
      <c r="O540" s="42"/>
      <c r="P540" s="47">
        <v>0</v>
      </c>
      <c r="Q540" s="48"/>
      <c r="R540" s="48">
        <v>0</v>
      </c>
      <c r="S540" s="72"/>
      <c r="T540" s="47">
        <v>3080</v>
      </c>
      <c r="U540" s="48">
        <f t="shared" si="56"/>
        <v>538.02083333333337</v>
      </c>
      <c r="V540" s="47">
        <v>700</v>
      </c>
      <c r="W540" s="42">
        <v>750</v>
      </c>
      <c r="X540" s="42">
        <v>0</v>
      </c>
      <c r="Y540" s="42">
        <v>0</v>
      </c>
      <c r="Z540" s="42">
        <v>0</v>
      </c>
      <c r="AA540" s="4">
        <f t="shared" si="58"/>
        <v>6200.5208333333339</v>
      </c>
      <c r="AB540" s="4">
        <f t="shared" si="57"/>
        <v>74406.25</v>
      </c>
      <c r="AC540" s="4">
        <f t="shared" si="59"/>
        <v>210966.25</v>
      </c>
    </row>
    <row r="541" spans="1:29" x14ac:dyDescent="0.2">
      <c r="A541" s="42">
        <v>400573</v>
      </c>
      <c r="B541" s="43" t="s">
        <v>267</v>
      </c>
      <c r="C541" s="42" t="s">
        <v>300</v>
      </c>
      <c r="D541" s="43" t="s">
        <v>33</v>
      </c>
      <c r="E541" s="43"/>
      <c r="F541" s="42" t="s">
        <v>84</v>
      </c>
      <c r="G541" s="43" t="s">
        <v>41</v>
      </c>
      <c r="H541" s="42">
        <v>50</v>
      </c>
      <c r="I541" s="44">
        <v>45963</v>
      </c>
      <c r="J541" s="43" t="s">
        <v>54</v>
      </c>
      <c r="K541" s="49">
        <v>14445</v>
      </c>
      <c r="L541" s="42"/>
      <c r="M541" s="51">
        <f>VLOOKUP(A541,'[1]ناتج ملف Excel'!$A:$AV,46,0)</f>
        <v>100</v>
      </c>
      <c r="N541" s="51">
        <f>VLOOKUP(A541,'[1]ناتج ملف Excel'!$A:$AV,47,0)</f>
        <v>3611.25</v>
      </c>
      <c r="O541" s="42"/>
      <c r="P541" s="47">
        <v>0</v>
      </c>
      <c r="Q541" s="48"/>
      <c r="R541" s="48">
        <v>0</v>
      </c>
      <c r="S541" s="72"/>
      <c r="T541" s="47">
        <v>3080</v>
      </c>
      <c r="U541" s="48">
        <f t="shared" si="56"/>
        <v>773.17708333333337</v>
      </c>
      <c r="V541" s="47">
        <v>700</v>
      </c>
      <c r="W541" s="42">
        <v>750</v>
      </c>
      <c r="X541" s="42">
        <v>0</v>
      </c>
      <c r="Y541" s="42">
        <v>0</v>
      </c>
      <c r="Z541" s="42">
        <v>0</v>
      </c>
      <c r="AA541" s="4">
        <f t="shared" si="58"/>
        <v>7564.4270833333339</v>
      </c>
      <c r="AB541" s="4">
        <f t="shared" si="57"/>
        <v>90773.125</v>
      </c>
      <c r="AC541" s="4">
        <f t="shared" si="59"/>
        <v>281513.125</v>
      </c>
    </row>
    <row r="542" spans="1:29" x14ac:dyDescent="0.2">
      <c r="A542" s="42">
        <v>400574</v>
      </c>
      <c r="B542" s="43">
        <v>4</v>
      </c>
      <c r="C542" s="42" t="s">
        <v>300</v>
      </c>
      <c r="D542" s="43" t="s">
        <v>33</v>
      </c>
      <c r="E542" s="43"/>
      <c r="F542" s="42" t="s">
        <v>93</v>
      </c>
      <c r="G542" s="43" t="s">
        <v>41</v>
      </c>
      <c r="H542" s="42">
        <v>48</v>
      </c>
      <c r="I542" s="44">
        <v>45963</v>
      </c>
      <c r="J542" s="43" t="s">
        <v>54</v>
      </c>
      <c r="K542" s="49">
        <v>12095</v>
      </c>
      <c r="L542" s="42"/>
      <c r="M542" s="51">
        <f>VLOOKUP(A542,'[1]ناتج ملف Excel'!$A:$AV,46,0)</f>
        <v>509.5</v>
      </c>
      <c r="N542" s="51">
        <f>VLOOKUP(A542,'[1]ناتج ملف Excel'!$A:$AV,47,0)</f>
        <v>3023.75</v>
      </c>
      <c r="O542" s="42"/>
      <c r="P542" s="47">
        <v>0</v>
      </c>
      <c r="Q542" s="48"/>
      <c r="R542" s="48">
        <v>0</v>
      </c>
      <c r="S542" s="72"/>
      <c r="T542" s="47">
        <v>3080</v>
      </c>
      <c r="U542" s="48">
        <f t="shared" si="56"/>
        <v>736.09375</v>
      </c>
      <c r="V542" s="47">
        <v>700</v>
      </c>
      <c r="W542" s="42">
        <v>0</v>
      </c>
      <c r="X542" s="42">
        <v>0</v>
      </c>
      <c r="Y542" s="42">
        <v>0</v>
      </c>
      <c r="Z542" s="42">
        <v>0</v>
      </c>
      <c r="AA542" s="4">
        <f t="shared" si="58"/>
        <v>7349.34375</v>
      </c>
      <c r="AB542" s="4">
        <f t="shared" si="57"/>
        <v>88192.125</v>
      </c>
      <c r="AC542" s="4">
        <f t="shared" si="59"/>
        <v>241732.125</v>
      </c>
    </row>
    <row r="543" spans="1:29" x14ac:dyDescent="0.2">
      <c r="A543" s="42">
        <v>400575</v>
      </c>
      <c r="B543" s="43">
        <v>4</v>
      </c>
      <c r="C543" s="42" t="s">
        <v>300</v>
      </c>
      <c r="D543" s="43" t="s">
        <v>33</v>
      </c>
      <c r="E543" s="43"/>
      <c r="F543" s="42" t="s">
        <v>131</v>
      </c>
      <c r="G543" s="43" t="s">
        <v>41</v>
      </c>
      <c r="H543" s="42">
        <v>43</v>
      </c>
      <c r="I543" s="44">
        <v>45963</v>
      </c>
      <c r="J543" s="43" t="s">
        <v>54</v>
      </c>
      <c r="K543" s="49">
        <v>17425</v>
      </c>
      <c r="L543" s="42"/>
      <c r="M543" s="51">
        <f>VLOOKUP(A543,'[1]ناتج ملف Excel'!$A:$AV,46,0)</f>
        <v>842.5</v>
      </c>
      <c r="N543" s="51">
        <f>VLOOKUP(A543,'[1]ناتج ملف Excel'!$A:$AV,47,0)</f>
        <v>4356.25</v>
      </c>
      <c r="O543" s="42"/>
      <c r="P543" s="47">
        <v>0</v>
      </c>
      <c r="Q543" s="48"/>
      <c r="R543" s="48">
        <v>0</v>
      </c>
      <c r="S543" s="72"/>
      <c r="T543" s="47">
        <v>3080</v>
      </c>
      <c r="U543" s="48">
        <f t="shared" si="56"/>
        <v>1083.0729166666667</v>
      </c>
      <c r="V543" s="47">
        <v>900</v>
      </c>
      <c r="W543" s="42">
        <v>750</v>
      </c>
      <c r="X543" s="42">
        <v>2949.625</v>
      </c>
      <c r="Y543" s="42">
        <v>0</v>
      </c>
      <c r="Z543" s="42">
        <v>0</v>
      </c>
      <c r="AA543" s="4">
        <f t="shared" si="58"/>
        <v>9361.8229166666679</v>
      </c>
      <c r="AB543" s="4">
        <f t="shared" si="57"/>
        <v>112341.87500000001</v>
      </c>
      <c r="AC543" s="4">
        <f t="shared" si="59"/>
        <v>376637.375</v>
      </c>
    </row>
    <row r="544" spans="1:29" x14ac:dyDescent="0.2">
      <c r="A544" s="42">
        <v>400576</v>
      </c>
      <c r="B544" s="43">
        <v>4</v>
      </c>
      <c r="C544" s="42" t="s">
        <v>300</v>
      </c>
      <c r="D544" s="43" t="s">
        <v>33</v>
      </c>
      <c r="E544" s="43"/>
      <c r="F544" s="42" t="s">
        <v>132</v>
      </c>
      <c r="G544" s="43" t="s">
        <v>41</v>
      </c>
      <c r="H544" s="42">
        <v>41</v>
      </c>
      <c r="I544" s="44">
        <v>45963</v>
      </c>
      <c r="J544" s="43" t="s">
        <v>54</v>
      </c>
      <c r="K544" s="49">
        <v>15375</v>
      </c>
      <c r="L544" s="42"/>
      <c r="M544" s="51">
        <f>VLOOKUP(A544,'[1]ناتج ملف Excel'!$A:$AV,46,0)</f>
        <v>837.5</v>
      </c>
      <c r="N544" s="51">
        <f>VLOOKUP(A544,'[1]ناتج ملف Excel'!$A:$AV,47,0)</f>
        <v>3843.75</v>
      </c>
      <c r="O544" s="42"/>
      <c r="P544" s="47">
        <v>0</v>
      </c>
      <c r="Q544" s="48"/>
      <c r="R544" s="48">
        <v>0</v>
      </c>
      <c r="S544" s="72"/>
      <c r="T544" s="47">
        <v>3080</v>
      </c>
      <c r="U544" s="48">
        <f t="shared" si="56"/>
        <v>975.26041666666663</v>
      </c>
      <c r="V544" s="47">
        <v>700</v>
      </c>
      <c r="W544" s="42">
        <v>0</v>
      </c>
      <c r="X544" s="42">
        <v>2601.375</v>
      </c>
      <c r="Y544" s="42">
        <v>0</v>
      </c>
      <c r="Z544" s="42">
        <v>0</v>
      </c>
      <c r="AA544" s="4">
        <f t="shared" si="58"/>
        <v>8736.5104166666661</v>
      </c>
      <c r="AB544" s="4">
        <f t="shared" si="57"/>
        <v>104838.125</v>
      </c>
      <c r="AC544" s="4">
        <f t="shared" si="59"/>
        <v>328954.625</v>
      </c>
    </row>
    <row r="545" spans="1:29" x14ac:dyDescent="0.2">
      <c r="A545" s="42">
        <v>400577</v>
      </c>
      <c r="B545" s="43">
        <v>4</v>
      </c>
      <c r="C545" s="42" t="s">
        <v>300</v>
      </c>
      <c r="D545" s="43" t="s">
        <v>33</v>
      </c>
      <c r="E545" s="43"/>
      <c r="F545" s="42" t="s">
        <v>100</v>
      </c>
      <c r="G545" s="43" t="s">
        <v>41</v>
      </c>
      <c r="H545" s="42">
        <v>37</v>
      </c>
      <c r="I545" s="44">
        <v>45963</v>
      </c>
      <c r="J545" s="43" t="s">
        <v>54</v>
      </c>
      <c r="K545" s="49">
        <v>13035</v>
      </c>
      <c r="L545" s="42"/>
      <c r="M545" s="51">
        <f>VLOOKUP(A545,'[1]ناتج ملف Excel'!$A:$AV,46,0)</f>
        <v>603.5</v>
      </c>
      <c r="N545" s="51">
        <f>VLOOKUP(A545,'[1]ناتج ملف Excel'!$A:$AV,47,0)</f>
        <v>3258.75</v>
      </c>
      <c r="O545" s="42"/>
      <c r="P545" s="47">
        <v>0</v>
      </c>
      <c r="Q545" s="48"/>
      <c r="R545" s="48">
        <v>0</v>
      </c>
      <c r="S545" s="72"/>
      <c r="T545" s="47">
        <v>3080</v>
      </c>
      <c r="U545" s="48">
        <f t="shared" si="56"/>
        <v>804.63541666666663</v>
      </c>
      <c r="V545" s="47">
        <v>700</v>
      </c>
      <c r="W545" s="42">
        <v>750</v>
      </c>
      <c r="X545" s="42">
        <v>2198.875</v>
      </c>
      <c r="Y545" s="42">
        <v>0</v>
      </c>
      <c r="Z545" s="42">
        <v>0</v>
      </c>
      <c r="AA545" s="4">
        <f t="shared" si="58"/>
        <v>7746.8854166666661</v>
      </c>
      <c r="AB545" s="4">
        <f t="shared" si="57"/>
        <v>92962.625</v>
      </c>
      <c r="AC545" s="4">
        <f t="shared" si="59"/>
        <v>293169.125</v>
      </c>
    </row>
    <row r="546" spans="1:29" x14ac:dyDescent="0.2">
      <c r="A546" s="42">
        <v>400578</v>
      </c>
      <c r="B546" s="43">
        <v>4</v>
      </c>
      <c r="C546" s="42" t="s">
        <v>300</v>
      </c>
      <c r="D546" s="43" t="s">
        <v>33</v>
      </c>
      <c r="E546" s="43"/>
      <c r="F546" s="42" t="s">
        <v>133</v>
      </c>
      <c r="G546" s="43" t="s">
        <v>41</v>
      </c>
      <c r="H546" s="42">
        <v>36</v>
      </c>
      <c r="I546" s="44">
        <v>45963</v>
      </c>
      <c r="J546" s="43" t="s">
        <v>54</v>
      </c>
      <c r="K546" s="49">
        <v>14995</v>
      </c>
      <c r="L546" s="42"/>
      <c r="M546" s="51">
        <f>VLOOKUP(A546,'[1]ناتج ملف Excel'!$A:$AV,46,0)</f>
        <v>599.5</v>
      </c>
      <c r="N546" s="51">
        <f>VLOOKUP(A546,'[1]ناتج ملف Excel'!$A:$AV,47,0)</f>
        <v>3748.75</v>
      </c>
      <c r="O546" s="42"/>
      <c r="P546" s="47">
        <v>0</v>
      </c>
      <c r="Q546" s="48"/>
      <c r="R546" s="48">
        <v>0</v>
      </c>
      <c r="S546" s="72"/>
      <c r="T546" s="47">
        <v>3080</v>
      </c>
      <c r="U546" s="48">
        <f t="shared" si="56"/>
        <v>905.88541666666663</v>
      </c>
      <c r="V546" s="47">
        <v>900</v>
      </c>
      <c r="W546" s="42">
        <v>750</v>
      </c>
      <c r="X546" s="42">
        <v>2531.375</v>
      </c>
      <c r="Y546" s="42">
        <v>0</v>
      </c>
      <c r="Z546" s="42">
        <v>0</v>
      </c>
      <c r="AA546" s="4">
        <f t="shared" si="58"/>
        <v>8334.1354166666661</v>
      </c>
      <c r="AB546" s="4">
        <f t="shared" si="57"/>
        <v>100009.625</v>
      </c>
      <c r="AC546" s="4">
        <f t="shared" si="59"/>
        <v>330126.125</v>
      </c>
    </row>
    <row r="547" spans="1:29" x14ac:dyDescent="0.2">
      <c r="A547" s="42">
        <v>400579</v>
      </c>
      <c r="B547" s="43">
        <v>4</v>
      </c>
      <c r="C547" s="42" t="s">
        <v>300</v>
      </c>
      <c r="D547" s="43" t="s">
        <v>33</v>
      </c>
      <c r="E547" s="43"/>
      <c r="F547" s="42" t="s">
        <v>133</v>
      </c>
      <c r="G547" s="43" t="s">
        <v>41</v>
      </c>
      <c r="H547" s="42">
        <v>33</v>
      </c>
      <c r="I547" s="44">
        <v>45963</v>
      </c>
      <c r="J547" s="43" t="s">
        <v>54</v>
      </c>
      <c r="K547" s="46">
        <v>9102</v>
      </c>
      <c r="L547" s="42"/>
      <c r="M547" s="51">
        <f>VLOOKUP(A547,'[1]ناتج ملف Excel'!$A:$AV,46,0)</f>
        <v>410.2</v>
      </c>
      <c r="N547" s="51">
        <f>VLOOKUP(A547,'[1]ناتج ملف Excel'!$A:$AV,47,0)</f>
        <v>2275.5</v>
      </c>
      <c r="O547" s="42"/>
      <c r="P547" s="47">
        <v>0</v>
      </c>
      <c r="Q547" s="48"/>
      <c r="R547" s="48">
        <v>0</v>
      </c>
      <c r="S547" s="72"/>
      <c r="T547" s="47">
        <v>3080</v>
      </c>
      <c r="U547" s="48">
        <f t="shared" si="56"/>
        <v>559.52083333333337</v>
      </c>
      <c r="V547" s="47">
        <v>500</v>
      </c>
      <c r="W547" s="42">
        <v>0</v>
      </c>
      <c r="X547" s="42">
        <v>0</v>
      </c>
      <c r="Y547" s="42">
        <v>0</v>
      </c>
      <c r="Z547" s="42">
        <v>0</v>
      </c>
      <c r="AA547" s="4">
        <f t="shared" si="58"/>
        <v>6325.2208333333338</v>
      </c>
      <c r="AB547" s="4">
        <f t="shared" si="57"/>
        <v>75902.650000000009</v>
      </c>
      <c r="AC547" s="4">
        <f t="shared" si="59"/>
        <v>191126.65000000002</v>
      </c>
    </row>
    <row r="548" spans="1:29" x14ac:dyDescent="0.2">
      <c r="A548" s="42">
        <v>400580</v>
      </c>
      <c r="B548" s="43">
        <v>4</v>
      </c>
      <c r="C548" s="42" t="s">
        <v>300</v>
      </c>
      <c r="D548" s="43" t="s">
        <v>33</v>
      </c>
      <c r="E548" s="43"/>
      <c r="F548" s="42" t="s">
        <v>113</v>
      </c>
      <c r="G548" s="43" t="s">
        <v>41</v>
      </c>
      <c r="H548" s="42">
        <v>47</v>
      </c>
      <c r="I548" s="44">
        <v>45963</v>
      </c>
      <c r="J548" s="43" t="s">
        <v>54</v>
      </c>
      <c r="K548" s="49">
        <v>14445</v>
      </c>
      <c r="L548" s="42"/>
      <c r="M548" s="51">
        <f>VLOOKUP(A548,'[1]ناتج ملف Excel'!$A:$AV,46,0)</f>
        <v>744.5</v>
      </c>
      <c r="N548" s="51">
        <f>VLOOKUP(A548,'[1]ناتج ملف Excel'!$A:$AV,47,0)</f>
        <v>3611.25</v>
      </c>
      <c r="O548" s="42"/>
      <c r="P548" s="47">
        <v>0</v>
      </c>
      <c r="Q548" s="48"/>
      <c r="R548" s="48">
        <v>0</v>
      </c>
      <c r="S548" s="72"/>
      <c r="T548" s="47">
        <v>3080</v>
      </c>
      <c r="U548" s="48">
        <f t="shared" si="56"/>
        <v>907.44791666666663</v>
      </c>
      <c r="V548" s="47">
        <v>700</v>
      </c>
      <c r="W548" s="42">
        <v>750</v>
      </c>
      <c r="X548" s="42">
        <v>2445.625</v>
      </c>
      <c r="Y548" s="42">
        <v>0</v>
      </c>
      <c r="Z548" s="42">
        <v>0</v>
      </c>
      <c r="AA548" s="4">
        <f t="shared" si="58"/>
        <v>8343.1979166666661</v>
      </c>
      <c r="AB548" s="4">
        <f t="shared" si="57"/>
        <v>100118.375</v>
      </c>
      <c r="AC548" s="4">
        <f t="shared" si="59"/>
        <v>320205.875</v>
      </c>
    </row>
    <row r="549" spans="1:29" x14ac:dyDescent="0.2">
      <c r="A549" s="42">
        <v>400581</v>
      </c>
      <c r="B549" s="43">
        <v>4</v>
      </c>
      <c r="C549" s="42" t="s">
        <v>300</v>
      </c>
      <c r="D549" s="43" t="s">
        <v>33</v>
      </c>
      <c r="E549" s="43"/>
      <c r="F549" s="42" t="s">
        <v>134</v>
      </c>
      <c r="G549" s="43" t="s">
        <v>41</v>
      </c>
      <c r="H549" s="42">
        <v>31</v>
      </c>
      <c r="I549" s="44">
        <v>45963</v>
      </c>
      <c r="J549" s="43" t="s">
        <v>54</v>
      </c>
      <c r="K549" s="46">
        <v>9280</v>
      </c>
      <c r="L549" s="42"/>
      <c r="M549" s="51">
        <f>VLOOKUP(A549,'[1]ناتج ملف Excel'!$A:$AV,46,0)</f>
        <v>428</v>
      </c>
      <c r="N549" s="51">
        <f>VLOOKUP(A549,'[1]ناتج ملف Excel'!$A:$AV,47,0)</f>
        <v>2320</v>
      </c>
      <c r="O549" s="42"/>
      <c r="P549" s="47">
        <v>0</v>
      </c>
      <c r="Q549" s="48"/>
      <c r="R549" s="48">
        <v>0</v>
      </c>
      <c r="S549" s="72"/>
      <c r="T549" s="47">
        <v>3080</v>
      </c>
      <c r="U549" s="48">
        <f t="shared" si="56"/>
        <v>572.5</v>
      </c>
      <c r="V549" s="47">
        <v>500</v>
      </c>
      <c r="W549" s="42">
        <v>0</v>
      </c>
      <c r="X549" s="42">
        <v>0</v>
      </c>
      <c r="Y549" s="42">
        <v>0</v>
      </c>
      <c r="Z549" s="42">
        <v>0</v>
      </c>
      <c r="AA549" s="4">
        <f t="shared" si="58"/>
        <v>6400.5</v>
      </c>
      <c r="AB549" s="4">
        <f t="shared" si="57"/>
        <v>76806</v>
      </c>
      <c r="AC549" s="4">
        <f t="shared" si="59"/>
        <v>194166</v>
      </c>
    </row>
    <row r="550" spans="1:29" x14ac:dyDescent="0.2">
      <c r="A550" s="42">
        <v>400582</v>
      </c>
      <c r="B550" s="43">
        <v>4</v>
      </c>
      <c r="C550" s="42" t="s">
        <v>300</v>
      </c>
      <c r="D550" s="43" t="s">
        <v>33</v>
      </c>
      <c r="E550" s="43"/>
      <c r="F550" s="42" t="s">
        <v>134</v>
      </c>
      <c r="G550" s="43" t="s">
        <v>41</v>
      </c>
      <c r="H550" s="42">
        <v>31</v>
      </c>
      <c r="I550" s="44">
        <v>45963</v>
      </c>
      <c r="J550" s="43" t="s">
        <v>54</v>
      </c>
      <c r="K550" s="46">
        <v>9191</v>
      </c>
      <c r="L550" s="42"/>
      <c r="M550" s="51">
        <f>VLOOKUP(A550,'[1]ناتج ملف Excel'!$A:$AV,46,0)</f>
        <v>419.1</v>
      </c>
      <c r="N550" s="51">
        <f>VLOOKUP(A550,'[1]ناتج ملف Excel'!$A:$AV,47,0)</f>
        <v>2297.75</v>
      </c>
      <c r="O550" s="42"/>
      <c r="P550" s="47">
        <v>0</v>
      </c>
      <c r="Q550" s="48"/>
      <c r="R550" s="48">
        <v>0</v>
      </c>
      <c r="S550" s="72"/>
      <c r="T550" s="47">
        <v>3080</v>
      </c>
      <c r="U550" s="48">
        <f t="shared" si="56"/>
        <v>566.01041666666663</v>
      </c>
      <c r="V550" s="47">
        <v>500</v>
      </c>
      <c r="W550" s="42">
        <v>0</v>
      </c>
      <c r="X550" s="42">
        <v>0</v>
      </c>
      <c r="Y550" s="42">
        <v>0</v>
      </c>
      <c r="Z550" s="42">
        <v>0</v>
      </c>
      <c r="AA550" s="4">
        <f t="shared" si="58"/>
        <v>6362.8604166666664</v>
      </c>
      <c r="AB550" s="4">
        <f t="shared" si="57"/>
        <v>76354.324999999997</v>
      </c>
      <c r="AC550" s="4">
        <f t="shared" si="59"/>
        <v>192646.32500000001</v>
      </c>
    </row>
    <row r="551" spans="1:29" x14ac:dyDescent="0.2">
      <c r="A551" s="42">
        <v>400584</v>
      </c>
      <c r="B551" s="43" t="s">
        <v>267</v>
      </c>
      <c r="C551" s="42" t="s">
        <v>300</v>
      </c>
      <c r="D551" s="43" t="s">
        <v>33</v>
      </c>
      <c r="E551" s="43"/>
      <c r="F551" s="42" t="s">
        <v>135</v>
      </c>
      <c r="G551" s="43" t="s">
        <v>41</v>
      </c>
      <c r="H551" s="42">
        <v>42</v>
      </c>
      <c r="I551" s="44">
        <v>45963</v>
      </c>
      <c r="J551" s="43" t="s">
        <v>54</v>
      </c>
      <c r="K551" s="49">
        <v>14865</v>
      </c>
      <c r="L551" s="42"/>
      <c r="M551" s="51">
        <f>VLOOKUP(A551,'[1]ناتج ملف Excel'!$A:$AV,46,0)</f>
        <v>100</v>
      </c>
      <c r="N551" s="51">
        <f>VLOOKUP(A551,'[1]ناتج ملف Excel'!$A:$AV,47,0)</f>
        <v>3716.25</v>
      </c>
      <c r="O551" s="42"/>
      <c r="P551" s="47">
        <v>0</v>
      </c>
      <c r="Q551" s="48"/>
      <c r="R551" s="48">
        <v>0</v>
      </c>
      <c r="S551" s="72"/>
      <c r="T551" s="47">
        <v>3080</v>
      </c>
      <c r="U551" s="48">
        <f t="shared" si="56"/>
        <v>795.05208333333337</v>
      </c>
      <c r="V551" s="47">
        <v>700</v>
      </c>
      <c r="W551" s="42">
        <v>0</v>
      </c>
      <c r="X551" s="42">
        <v>0</v>
      </c>
      <c r="Y551" s="42">
        <v>0</v>
      </c>
      <c r="Z551" s="42">
        <v>0</v>
      </c>
      <c r="AA551" s="4">
        <f t="shared" si="58"/>
        <v>7691.3020833333339</v>
      </c>
      <c r="AB551" s="4">
        <f t="shared" si="57"/>
        <v>92295.625</v>
      </c>
      <c r="AC551" s="4">
        <f t="shared" si="59"/>
        <v>279075.625</v>
      </c>
    </row>
    <row r="552" spans="1:29" x14ac:dyDescent="0.2">
      <c r="A552" s="42">
        <v>400585</v>
      </c>
      <c r="B552" s="43" t="s">
        <v>267</v>
      </c>
      <c r="C552" s="42" t="s">
        <v>300</v>
      </c>
      <c r="D552" s="43" t="s">
        <v>33</v>
      </c>
      <c r="E552" s="43"/>
      <c r="F552" s="42" t="s">
        <v>136</v>
      </c>
      <c r="G552" s="43" t="s">
        <v>41</v>
      </c>
      <c r="H552" s="42">
        <v>29</v>
      </c>
      <c r="I552" s="44">
        <v>45963</v>
      </c>
      <c r="J552" s="43" t="s">
        <v>54</v>
      </c>
      <c r="K552" s="46">
        <v>6189</v>
      </c>
      <c r="L552" s="42"/>
      <c r="M552" s="51">
        <f>VLOOKUP(A552,'[1]ناتج ملف Excel'!$A:$AV,46,0)</f>
        <v>118.9</v>
      </c>
      <c r="N552" s="51">
        <f>VLOOKUP(A552,'[1]ناتج ملف Excel'!$A:$AV,47,0)</f>
        <v>1547.25</v>
      </c>
      <c r="O552" s="42"/>
      <c r="P552" s="47">
        <v>0</v>
      </c>
      <c r="Q552" s="48"/>
      <c r="R552" s="48">
        <v>0</v>
      </c>
      <c r="S552" s="72"/>
      <c r="T552" s="47">
        <v>3080</v>
      </c>
      <c r="U552" s="48">
        <f t="shared" si="56"/>
        <v>347.11458333333331</v>
      </c>
      <c r="V552" s="47">
        <v>500</v>
      </c>
      <c r="W552" s="42">
        <v>0</v>
      </c>
      <c r="X552" s="42">
        <v>0</v>
      </c>
      <c r="Y552" s="42">
        <v>0</v>
      </c>
      <c r="Z552" s="42">
        <v>0</v>
      </c>
      <c r="AA552" s="4">
        <f t="shared" si="58"/>
        <v>5093.2645833333336</v>
      </c>
      <c r="AB552" s="4">
        <f t="shared" si="57"/>
        <v>61119.175000000003</v>
      </c>
      <c r="AC552" s="4">
        <f t="shared" si="59"/>
        <v>141387.17499999999</v>
      </c>
    </row>
    <row r="553" spans="1:29" x14ac:dyDescent="0.2">
      <c r="A553" s="42">
        <v>400586</v>
      </c>
      <c r="B553" s="43" t="s">
        <v>267</v>
      </c>
      <c r="C553" s="42" t="s">
        <v>300</v>
      </c>
      <c r="D553" s="43" t="s">
        <v>33</v>
      </c>
      <c r="E553" s="43"/>
      <c r="F553" s="42" t="s">
        <v>137</v>
      </c>
      <c r="G553" s="43" t="s">
        <v>41</v>
      </c>
      <c r="H553" s="42">
        <v>33</v>
      </c>
      <c r="I553" s="44">
        <v>45963</v>
      </c>
      <c r="J553" s="43" t="s">
        <v>54</v>
      </c>
      <c r="K553" s="46">
        <v>6013</v>
      </c>
      <c r="L553" s="42"/>
      <c r="M553" s="51">
        <f>VLOOKUP(A553,'[1]ناتج ملف Excel'!$A:$AV,46,0)</f>
        <v>101.3</v>
      </c>
      <c r="N553" s="51">
        <f>VLOOKUP(A553,'[1]ناتج ملف Excel'!$A:$AV,47,0)</f>
        <v>1503.25</v>
      </c>
      <c r="O553" s="42"/>
      <c r="P553" s="47">
        <v>0</v>
      </c>
      <c r="Q553" s="48"/>
      <c r="R553" s="48">
        <v>0</v>
      </c>
      <c r="S553" s="72"/>
      <c r="T553" s="47">
        <v>3080</v>
      </c>
      <c r="U553" s="48">
        <f t="shared" si="56"/>
        <v>334.28125</v>
      </c>
      <c r="V553" s="47">
        <v>500</v>
      </c>
      <c r="W553" s="42">
        <v>0</v>
      </c>
      <c r="X553" s="42">
        <v>0</v>
      </c>
      <c r="Y553" s="42">
        <v>0</v>
      </c>
      <c r="Z553" s="42">
        <v>0</v>
      </c>
      <c r="AA553" s="4">
        <f t="shared" si="58"/>
        <v>5018.8312500000002</v>
      </c>
      <c r="AB553" s="4">
        <f t="shared" si="57"/>
        <v>60225.975000000006</v>
      </c>
      <c r="AC553" s="4">
        <f t="shared" si="59"/>
        <v>138381.97500000001</v>
      </c>
    </row>
    <row r="554" spans="1:29" x14ac:dyDescent="0.2">
      <c r="A554" s="42">
        <v>400587</v>
      </c>
      <c r="B554" s="43" t="s">
        <v>267</v>
      </c>
      <c r="C554" s="42" t="s">
        <v>300</v>
      </c>
      <c r="D554" s="43" t="s">
        <v>33</v>
      </c>
      <c r="E554" s="43"/>
      <c r="F554" s="42" t="s">
        <v>138</v>
      </c>
      <c r="G554" s="43" t="s">
        <v>41</v>
      </c>
      <c r="H554" s="42">
        <v>24</v>
      </c>
      <c r="I554" s="44">
        <v>45963</v>
      </c>
      <c r="J554" s="43" t="s">
        <v>54</v>
      </c>
      <c r="K554" s="46">
        <v>5954</v>
      </c>
      <c r="L554" s="42"/>
      <c r="M554" s="51">
        <f>VLOOKUP(A554,'[1]ناتج ملف Excel'!$A:$AV,46,0)</f>
        <v>95.4</v>
      </c>
      <c r="N554" s="51">
        <f>VLOOKUP(A554,'[1]ناتج ملف Excel'!$A:$AV,47,0)</f>
        <v>1488.5</v>
      </c>
      <c r="O554" s="42"/>
      <c r="P554" s="47">
        <v>0</v>
      </c>
      <c r="Q554" s="48"/>
      <c r="R554" s="48">
        <v>0</v>
      </c>
      <c r="S554" s="72"/>
      <c r="T554" s="47">
        <v>3080</v>
      </c>
      <c r="U554" s="48">
        <f t="shared" si="56"/>
        <v>329.97916666666669</v>
      </c>
      <c r="V554" s="47">
        <v>500</v>
      </c>
      <c r="W554" s="42">
        <v>0</v>
      </c>
      <c r="X554" s="42">
        <v>0</v>
      </c>
      <c r="Y554" s="42">
        <v>0</v>
      </c>
      <c r="Z554" s="42">
        <v>0</v>
      </c>
      <c r="AA554" s="4">
        <f t="shared" si="58"/>
        <v>4993.8791666666657</v>
      </c>
      <c r="AB554" s="4">
        <f t="shared" si="57"/>
        <v>59926.549999999988</v>
      </c>
      <c r="AC554" s="4">
        <f t="shared" si="59"/>
        <v>137374.54999999999</v>
      </c>
    </row>
    <row r="555" spans="1:29" x14ac:dyDescent="0.2">
      <c r="A555" s="42">
        <v>400588</v>
      </c>
      <c r="B555" s="43">
        <v>4</v>
      </c>
      <c r="C555" s="42" t="s">
        <v>300</v>
      </c>
      <c r="D555" s="43" t="s">
        <v>33</v>
      </c>
      <c r="E555" s="43"/>
      <c r="F555" s="42" t="s">
        <v>139</v>
      </c>
      <c r="G555" s="43" t="s">
        <v>41</v>
      </c>
      <c r="H555" s="42">
        <v>47</v>
      </c>
      <c r="I555" s="44">
        <v>45963</v>
      </c>
      <c r="J555" s="43" t="s">
        <v>54</v>
      </c>
      <c r="K555" s="49">
        <v>21835</v>
      </c>
      <c r="L555" s="42"/>
      <c r="M555" s="51">
        <f>VLOOKUP(A555,'[1]ناتج ملف Excel'!$A:$AV,46,0)</f>
        <v>1100</v>
      </c>
      <c r="N555" s="51">
        <f>VLOOKUP(A555,'[1]ناتج ملف Excel'!$A:$AV,47,0)</f>
        <v>5458.75</v>
      </c>
      <c r="O555" s="42"/>
      <c r="P555" s="47">
        <v>0</v>
      </c>
      <c r="Q555" s="48"/>
      <c r="R555" s="48">
        <v>0</v>
      </c>
      <c r="S555" s="72"/>
      <c r="T555" s="47">
        <v>3080</v>
      </c>
      <c r="U555" s="48">
        <f t="shared" si="56"/>
        <v>1366.40625</v>
      </c>
      <c r="V555" s="47">
        <v>900</v>
      </c>
      <c r="W555" s="42">
        <v>750</v>
      </c>
      <c r="X555" s="42">
        <v>0</v>
      </c>
      <c r="Y555" s="42">
        <v>0</v>
      </c>
      <c r="Z555" s="42">
        <v>0</v>
      </c>
      <c r="AA555" s="4">
        <f t="shared" si="58"/>
        <v>11005.15625</v>
      </c>
      <c r="AB555" s="4">
        <f t="shared" si="57"/>
        <v>132061.875</v>
      </c>
      <c r="AC555" s="4">
        <f t="shared" si="59"/>
        <v>413881.875</v>
      </c>
    </row>
    <row r="556" spans="1:29" x14ac:dyDescent="0.2">
      <c r="A556" s="42">
        <v>400589</v>
      </c>
      <c r="B556" s="43">
        <v>4</v>
      </c>
      <c r="C556" s="42" t="s">
        <v>300</v>
      </c>
      <c r="D556" s="43" t="s">
        <v>33</v>
      </c>
      <c r="E556" s="43"/>
      <c r="F556" s="42" t="s">
        <v>140</v>
      </c>
      <c r="G556" s="43" t="s">
        <v>41</v>
      </c>
      <c r="H556" s="42">
        <v>32</v>
      </c>
      <c r="I556" s="44">
        <v>45963</v>
      </c>
      <c r="J556" s="43" t="s">
        <v>54</v>
      </c>
      <c r="K556" s="46">
        <v>8923</v>
      </c>
      <c r="L556" s="42"/>
      <c r="M556" s="51">
        <f>VLOOKUP(A556,'[1]ناتج ملف Excel'!$A:$AV,46,0)</f>
        <v>392.3</v>
      </c>
      <c r="N556" s="51">
        <f>VLOOKUP(A556,'[1]ناتج ملف Excel'!$A:$AV,47,0)</f>
        <v>2230.75</v>
      </c>
      <c r="O556" s="42"/>
      <c r="P556" s="47">
        <v>0</v>
      </c>
      <c r="Q556" s="48"/>
      <c r="R556" s="48">
        <v>0</v>
      </c>
      <c r="S556" s="72"/>
      <c r="T556" s="47">
        <v>3080</v>
      </c>
      <c r="U556" s="48">
        <f t="shared" si="56"/>
        <v>546.46875</v>
      </c>
      <c r="V556" s="47">
        <v>500</v>
      </c>
      <c r="W556" s="42">
        <v>0</v>
      </c>
      <c r="X556" s="42">
        <v>0</v>
      </c>
      <c r="Y556" s="42">
        <v>0</v>
      </c>
      <c r="Z556" s="42">
        <v>0</v>
      </c>
      <c r="AA556" s="4">
        <f t="shared" si="58"/>
        <v>6249.5187500000002</v>
      </c>
      <c r="AB556" s="4">
        <f t="shared" si="57"/>
        <v>74994.225000000006</v>
      </c>
      <c r="AC556" s="4">
        <f t="shared" si="59"/>
        <v>188070.22500000001</v>
      </c>
    </row>
    <row r="557" spans="1:29" x14ac:dyDescent="0.2">
      <c r="A557" s="42">
        <v>400590</v>
      </c>
      <c r="B557" s="43">
        <v>4</v>
      </c>
      <c r="C557" s="42" t="s">
        <v>300</v>
      </c>
      <c r="D557" s="43" t="s">
        <v>33</v>
      </c>
      <c r="E557" s="43"/>
      <c r="F557" s="42" t="s">
        <v>141</v>
      </c>
      <c r="G557" s="43" t="s">
        <v>41</v>
      </c>
      <c r="H557" s="42">
        <v>41</v>
      </c>
      <c r="I557" s="44">
        <v>45963</v>
      </c>
      <c r="J557" s="43" t="s">
        <v>54</v>
      </c>
      <c r="K557" s="49">
        <v>14995</v>
      </c>
      <c r="L557" s="42"/>
      <c r="M557" s="51">
        <f>VLOOKUP(A557,'[1]ناتج ملف Excel'!$A:$AV,46,0)</f>
        <v>599.5</v>
      </c>
      <c r="N557" s="51">
        <f>VLOOKUP(A557,'[1]ناتج ملف Excel'!$A:$AV,47,0)</f>
        <v>3748.75</v>
      </c>
      <c r="O557" s="42"/>
      <c r="P557" s="47">
        <v>0</v>
      </c>
      <c r="Q557" s="48"/>
      <c r="R557" s="48">
        <v>0</v>
      </c>
      <c r="S557" s="72"/>
      <c r="T557" s="47">
        <v>3080</v>
      </c>
      <c r="U557" s="48">
        <f t="shared" si="56"/>
        <v>905.88541666666663</v>
      </c>
      <c r="V557" s="47">
        <v>900</v>
      </c>
      <c r="W557" s="42">
        <v>750</v>
      </c>
      <c r="X557" s="42">
        <v>2531.375</v>
      </c>
      <c r="Y557" s="42">
        <v>0</v>
      </c>
      <c r="Z557" s="42">
        <v>0</v>
      </c>
      <c r="AA557" s="4">
        <f t="shared" si="58"/>
        <v>8334.1354166666661</v>
      </c>
      <c r="AB557" s="4">
        <f t="shared" si="57"/>
        <v>100009.625</v>
      </c>
      <c r="AC557" s="4">
        <f t="shared" si="59"/>
        <v>330126.125</v>
      </c>
    </row>
    <row r="558" spans="1:29" x14ac:dyDescent="0.2">
      <c r="A558" s="42">
        <v>400592</v>
      </c>
      <c r="B558" s="43" t="s">
        <v>267</v>
      </c>
      <c r="C558" s="42" t="s">
        <v>277</v>
      </c>
      <c r="D558" s="43" t="s">
        <v>39</v>
      </c>
      <c r="E558" s="43" t="s">
        <v>40</v>
      </c>
      <c r="F558" s="42" t="s">
        <v>248</v>
      </c>
      <c r="G558" s="43" t="s">
        <v>41</v>
      </c>
      <c r="H558" s="42">
        <v>47</v>
      </c>
      <c r="I558" s="44">
        <v>45992</v>
      </c>
      <c r="J558" s="43" t="s">
        <v>54</v>
      </c>
      <c r="K558" s="49">
        <v>16055</v>
      </c>
      <c r="L558" s="42"/>
      <c r="M558" s="51">
        <v>0</v>
      </c>
      <c r="N558" s="51">
        <f>VLOOKUP(A558,'[1]ناتج ملف Excel'!$A:$AV,47,0)</f>
        <v>4013.75</v>
      </c>
      <c r="O558" s="42"/>
      <c r="P558" s="47">
        <v>0</v>
      </c>
      <c r="Q558" s="48"/>
      <c r="R558" s="48">
        <v>0</v>
      </c>
      <c r="S558" s="72"/>
      <c r="T558" s="47">
        <v>3080</v>
      </c>
      <c r="U558" s="48">
        <f t="shared" si="56"/>
        <v>836.19791666666663</v>
      </c>
      <c r="V558" s="47">
        <v>900</v>
      </c>
      <c r="W558" s="42">
        <v>750</v>
      </c>
      <c r="X558" s="42">
        <v>0</v>
      </c>
      <c r="Y558" s="42">
        <v>0</v>
      </c>
      <c r="Z558" s="42">
        <v>0</v>
      </c>
      <c r="AA558" s="4">
        <f t="shared" si="58"/>
        <v>7929.9479166666661</v>
      </c>
      <c r="AB558" s="4">
        <f t="shared" si="57"/>
        <v>95159.375</v>
      </c>
      <c r="AC558" s="4">
        <f t="shared" si="59"/>
        <v>307619.375</v>
      </c>
    </row>
    <row r="559" spans="1:29" x14ac:dyDescent="0.2">
      <c r="A559" s="42">
        <v>400593</v>
      </c>
      <c r="B559" s="43" t="s">
        <v>267</v>
      </c>
      <c r="C559" s="42" t="s">
        <v>277</v>
      </c>
      <c r="D559" s="43" t="s">
        <v>39</v>
      </c>
      <c r="E559" s="43" t="s">
        <v>40</v>
      </c>
      <c r="F559" s="42" t="s">
        <v>248</v>
      </c>
      <c r="G559" s="43" t="s">
        <v>41</v>
      </c>
      <c r="H559" s="42">
        <v>39</v>
      </c>
      <c r="I559" s="44">
        <v>45992</v>
      </c>
      <c r="J559" s="43" t="s">
        <v>54</v>
      </c>
      <c r="K559" s="46">
        <v>9565</v>
      </c>
      <c r="L559" s="42"/>
      <c r="M559" s="51">
        <f>VLOOKUP(A559,'[1]ناتج ملف Excel'!$A:$AV,46,0)</f>
        <v>100</v>
      </c>
      <c r="N559" s="51">
        <f>VLOOKUP(A559,'[1]ناتج ملف Excel'!$A:$AV,47,0)</f>
        <v>2391.25</v>
      </c>
      <c r="O559" s="42"/>
      <c r="P559" s="47">
        <v>0</v>
      </c>
      <c r="Q559" s="48"/>
      <c r="R559" s="48">
        <v>0</v>
      </c>
      <c r="S559" s="72"/>
      <c r="T559" s="47">
        <v>3080</v>
      </c>
      <c r="U559" s="48">
        <f t="shared" si="56"/>
        <v>519.01041666666663</v>
      </c>
      <c r="V559" s="47">
        <v>700</v>
      </c>
      <c r="W559" s="42">
        <v>750</v>
      </c>
      <c r="X559" s="42">
        <v>0</v>
      </c>
      <c r="Y559" s="42">
        <v>0</v>
      </c>
      <c r="Z559" s="42">
        <v>0</v>
      </c>
      <c r="AA559" s="4">
        <f t="shared" si="58"/>
        <v>6090.2604166666661</v>
      </c>
      <c r="AB559" s="4">
        <f t="shared" si="57"/>
        <v>73083.125</v>
      </c>
      <c r="AC559" s="4">
        <f t="shared" si="59"/>
        <v>205263.125</v>
      </c>
    </row>
    <row r="560" spans="1:29" x14ac:dyDescent="0.2">
      <c r="A560" s="42">
        <v>400594</v>
      </c>
      <c r="B560" s="43">
        <v>4</v>
      </c>
      <c r="C560" s="42" t="s">
        <v>277</v>
      </c>
      <c r="D560" s="43" t="s">
        <v>39</v>
      </c>
      <c r="E560" s="43" t="s">
        <v>40</v>
      </c>
      <c r="F560" s="42" t="s">
        <v>250</v>
      </c>
      <c r="G560" s="43" t="s">
        <v>41</v>
      </c>
      <c r="H560" s="42">
        <v>45</v>
      </c>
      <c r="I560" s="44">
        <v>45992</v>
      </c>
      <c r="J560" s="43" t="s">
        <v>54</v>
      </c>
      <c r="K560" s="49">
        <v>16395</v>
      </c>
      <c r="L560" s="42"/>
      <c r="M560" s="51">
        <f>VLOOKUP(A560,'[1]ناتج ملف Excel'!$A:$AV,46,0)</f>
        <v>939.5</v>
      </c>
      <c r="N560" s="51">
        <f>VLOOKUP(A560,'[1]ناتج ملف Excel'!$A:$AV,47,0)</f>
        <v>4098.75</v>
      </c>
      <c r="O560" s="42"/>
      <c r="P560" s="47">
        <v>0</v>
      </c>
      <c r="Q560" s="48"/>
      <c r="R560" s="48">
        <v>0</v>
      </c>
      <c r="S560" s="72"/>
      <c r="T560" s="47">
        <v>3080</v>
      </c>
      <c r="U560" s="48">
        <f t="shared" si="56"/>
        <v>1049.6354166666667</v>
      </c>
      <c r="V560" s="47">
        <v>700</v>
      </c>
      <c r="W560" s="42">
        <v>750</v>
      </c>
      <c r="X560" s="42">
        <v>2779.875</v>
      </c>
      <c r="Y560" s="42">
        <v>0</v>
      </c>
      <c r="Z560" s="42">
        <v>0</v>
      </c>
      <c r="AA560" s="4">
        <f t="shared" si="58"/>
        <v>9167.8854166666679</v>
      </c>
      <c r="AB560" s="4">
        <f t="shared" si="57"/>
        <v>110014.62500000001</v>
      </c>
      <c r="AC560" s="4">
        <f t="shared" si="59"/>
        <v>357513.125</v>
      </c>
    </row>
    <row r="561" spans="1:29" x14ac:dyDescent="0.2">
      <c r="A561" s="42">
        <v>400595</v>
      </c>
      <c r="B561" s="43">
        <v>4</v>
      </c>
      <c r="C561" s="42" t="s">
        <v>277</v>
      </c>
      <c r="D561" s="43" t="s">
        <v>39</v>
      </c>
      <c r="E561" s="43" t="s">
        <v>40</v>
      </c>
      <c r="F561" s="42" t="s">
        <v>249</v>
      </c>
      <c r="G561" s="43" t="s">
        <v>41</v>
      </c>
      <c r="H561" s="42">
        <v>54</v>
      </c>
      <c r="I561" s="44">
        <v>45992</v>
      </c>
      <c r="J561" s="43" t="s">
        <v>54</v>
      </c>
      <c r="K561" s="49">
        <v>18705</v>
      </c>
      <c r="L561" s="42"/>
      <c r="M561" s="51">
        <f>VLOOKUP(A561,'[1]ناتج ملف Excel'!$A:$AV,46,0)</f>
        <v>970.5</v>
      </c>
      <c r="N561" s="51">
        <f>VLOOKUP(A561,'[1]ناتج ملف Excel'!$A:$AV,47,0)</f>
        <v>4676.25</v>
      </c>
      <c r="O561" s="42"/>
      <c r="P561" s="47">
        <v>0</v>
      </c>
      <c r="Q561" s="48"/>
      <c r="R561" s="48">
        <v>0</v>
      </c>
      <c r="S561" s="72"/>
      <c r="T561" s="47">
        <v>3080</v>
      </c>
      <c r="U561" s="48">
        <f t="shared" si="56"/>
        <v>1176.40625</v>
      </c>
      <c r="V561" s="47">
        <v>900</v>
      </c>
      <c r="W561" s="42">
        <v>750</v>
      </c>
      <c r="X561" s="42">
        <v>3273.375</v>
      </c>
      <c r="Y561" s="42">
        <v>0</v>
      </c>
      <c r="Z561" s="42">
        <v>0</v>
      </c>
      <c r="AA561" s="4">
        <f t="shared" si="58"/>
        <v>9903.15625</v>
      </c>
      <c r="AB561" s="4">
        <f t="shared" si="57"/>
        <v>118837.875</v>
      </c>
      <c r="AC561" s="4">
        <f t="shared" si="59"/>
        <v>402378.375</v>
      </c>
    </row>
    <row r="562" spans="1:29" x14ac:dyDescent="0.2">
      <c r="A562" s="42">
        <v>400596</v>
      </c>
      <c r="B562" s="43">
        <v>4</v>
      </c>
      <c r="C562" s="42" t="s">
        <v>284</v>
      </c>
      <c r="D562" s="43" t="s">
        <v>39</v>
      </c>
      <c r="E562" s="43" t="s">
        <v>40</v>
      </c>
      <c r="F562" s="42" t="s">
        <v>21</v>
      </c>
      <c r="G562" s="43" t="s">
        <v>21</v>
      </c>
      <c r="H562" s="42">
        <v>36</v>
      </c>
      <c r="I562" s="44">
        <v>45992</v>
      </c>
      <c r="J562" s="43" t="s">
        <v>54</v>
      </c>
      <c r="K562" s="46">
        <v>9102</v>
      </c>
      <c r="L562" s="42"/>
      <c r="M562" s="51">
        <f>VLOOKUP(A562,'[1]ناتج ملف Excel'!$A:$AV,46,0)</f>
        <v>410.2</v>
      </c>
      <c r="N562" s="51">
        <f>VLOOKUP(A562,'[1]ناتج ملف Excel'!$A:$AV,47,0)</f>
        <v>2275.5</v>
      </c>
      <c r="O562" s="42"/>
      <c r="P562" s="47">
        <v>0</v>
      </c>
      <c r="Q562" s="48"/>
      <c r="R562" s="48">
        <v>0</v>
      </c>
      <c r="S562" s="72"/>
      <c r="T562" s="47">
        <v>3080</v>
      </c>
      <c r="U562" s="48">
        <f t="shared" si="56"/>
        <v>559.52083333333337</v>
      </c>
      <c r="V562" s="47">
        <v>500</v>
      </c>
      <c r="W562" s="42">
        <v>0</v>
      </c>
      <c r="X562" s="42">
        <v>0</v>
      </c>
      <c r="Y562" s="42">
        <v>0</v>
      </c>
      <c r="Z562" s="42">
        <v>0</v>
      </c>
      <c r="AA562" s="4">
        <f t="shared" si="58"/>
        <v>6325.2208333333338</v>
      </c>
      <c r="AB562" s="4">
        <f t="shared" si="57"/>
        <v>75902.650000000009</v>
      </c>
      <c r="AC562" s="4">
        <f t="shared" si="59"/>
        <v>191126.65000000002</v>
      </c>
    </row>
    <row r="563" spans="1:29" x14ac:dyDescent="0.2">
      <c r="A563" s="42">
        <v>400597</v>
      </c>
      <c r="B563" s="43" t="s">
        <v>267</v>
      </c>
      <c r="C563" s="42" t="s">
        <v>284</v>
      </c>
      <c r="D563" s="43" t="s">
        <v>39</v>
      </c>
      <c r="E563" s="43" t="s">
        <v>40</v>
      </c>
      <c r="F563" s="42" t="s">
        <v>21</v>
      </c>
      <c r="G563" s="43" t="s">
        <v>21</v>
      </c>
      <c r="H563" s="42">
        <v>36</v>
      </c>
      <c r="I563" s="44">
        <v>45992</v>
      </c>
      <c r="J563" s="43" t="s">
        <v>54</v>
      </c>
      <c r="K563" s="46">
        <v>9565</v>
      </c>
      <c r="L563" s="42"/>
      <c r="M563" s="51">
        <f>VLOOKUP(A563,'[1]ناتج ملف Excel'!$A:$AV,46,0)</f>
        <v>100</v>
      </c>
      <c r="N563" s="51">
        <f>VLOOKUP(A563,'[1]ناتج ملف Excel'!$A:$AV,47,0)</f>
        <v>2391.25</v>
      </c>
      <c r="O563" s="42"/>
      <c r="P563" s="47">
        <v>0</v>
      </c>
      <c r="Q563" s="48"/>
      <c r="R563" s="48">
        <v>0</v>
      </c>
      <c r="S563" s="72"/>
      <c r="T563" s="47">
        <v>3080</v>
      </c>
      <c r="U563" s="48">
        <f t="shared" si="56"/>
        <v>519.01041666666663</v>
      </c>
      <c r="V563" s="47">
        <v>700</v>
      </c>
      <c r="W563" s="42">
        <v>0</v>
      </c>
      <c r="X563" s="42">
        <v>0</v>
      </c>
      <c r="Y563" s="42">
        <v>0</v>
      </c>
      <c r="Z563" s="42">
        <v>0</v>
      </c>
      <c r="AA563" s="4">
        <f t="shared" si="58"/>
        <v>6090.2604166666661</v>
      </c>
      <c r="AB563" s="4">
        <f t="shared" si="57"/>
        <v>73083.125</v>
      </c>
      <c r="AC563" s="4">
        <f t="shared" si="59"/>
        <v>196263.125</v>
      </c>
    </row>
    <row r="564" spans="1:29" x14ac:dyDescent="0.2">
      <c r="A564" s="42">
        <v>400598</v>
      </c>
      <c r="B564" s="43">
        <v>4</v>
      </c>
      <c r="C564" s="42" t="s">
        <v>284</v>
      </c>
      <c r="D564" s="43" t="s">
        <v>39</v>
      </c>
      <c r="E564" s="43" t="s">
        <v>40</v>
      </c>
      <c r="F564" s="42" t="s">
        <v>21</v>
      </c>
      <c r="G564" s="43" t="s">
        <v>21</v>
      </c>
      <c r="H564" s="42">
        <v>33</v>
      </c>
      <c r="I564" s="44">
        <v>45992</v>
      </c>
      <c r="J564" s="43" t="s">
        <v>54</v>
      </c>
      <c r="K564" s="46">
        <v>9376</v>
      </c>
      <c r="L564" s="42"/>
      <c r="M564" s="51">
        <f>VLOOKUP(A564,'[1]ناتج ملف Excel'!$A:$AV,46,0)</f>
        <v>437.6</v>
      </c>
      <c r="N564" s="51">
        <f>VLOOKUP(A564,'[1]ناتج ملف Excel'!$A:$AV,47,0)</f>
        <v>2344</v>
      </c>
      <c r="O564" s="42"/>
      <c r="P564" s="47">
        <v>0</v>
      </c>
      <c r="Q564" s="48"/>
      <c r="R564" s="48">
        <v>0</v>
      </c>
      <c r="S564" s="72"/>
      <c r="T564" s="47">
        <v>3080</v>
      </c>
      <c r="U564" s="48">
        <f t="shared" si="56"/>
        <v>579.5</v>
      </c>
      <c r="V564" s="47">
        <v>500</v>
      </c>
      <c r="W564" s="42">
        <v>0</v>
      </c>
      <c r="X564" s="42">
        <v>0</v>
      </c>
      <c r="Y564" s="42">
        <v>0</v>
      </c>
      <c r="Z564" s="42">
        <v>0</v>
      </c>
      <c r="AA564" s="4">
        <f t="shared" si="58"/>
        <v>6441.1</v>
      </c>
      <c r="AB564" s="4">
        <f t="shared" si="57"/>
        <v>77293.200000000012</v>
      </c>
      <c r="AC564" s="4">
        <f t="shared" si="59"/>
        <v>195805.2</v>
      </c>
    </row>
    <row r="565" spans="1:29" x14ac:dyDescent="0.2">
      <c r="A565" s="42">
        <v>400599</v>
      </c>
      <c r="B565" s="43">
        <v>4</v>
      </c>
      <c r="C565" s="42" t="s">
        <v>278</v>
      </c>
      <c r="D565" s="43" t="s">
        <v>39</v>
      </c>
      <c r="E565" s="43" t="s">
        <v>40</v>
      </c>
      <c r="F565" s="42" t="s">
        <v>21</v>
      </c>
      <c r="G565" s="43" t="s">
        <v>21</v>
      </c>
      <c r="H565" s="42">
        <v>47</v>
      </c>
      <c r="I565" s="44">
        <v>45993</v>
      </c>
      <c r="J565" s="43" t="s">
        <v>54</v>
      </c>
      <c r="K565" s="49">
        <v>15385</v>
      </c>
      <c r="L565" s="42"/>
      <c r="M565" s="51">
        <f>VLOOKUP(A565,'[1]ناتج ملف Excel'!$A:$AV,46,0)</f>
        <v>838.5</v>
      </c>
      <c r="N565" s="51">
        <f>VLOOKUP(A565,'[1]ناتج ملف Excel'!$A:$AV,47,0)</f>
        <v>3846.25</v>
      </c>
      <c r="O565" s="42"/>
      <c r="P565" s="47">
        <v>0</v>
      </c>
      <c r="Q565" s="48"/>
      <c r="R565" s="48">
        <v>0</v>
      </c>
      <c r="S565" s="72"/>
      <c r="T565" s="47">
        <v>3080</v>
      </c>
      <c r="U565" s="48">
        <f t="shared" ref="U565:U600" si="60">(L565+M565+N565+O565)*2.5/12</f>
        <v>975.98958333333337</v>
      </c>
      <c r="V565" s="47">
        <v>700</v>
      </c>
      <c r="W565" s="42">
        <v>0</v>
      </c>
      <c r="X565" s="42">
        <v>0</v>
      </c>
      <c r="Y565" s="42">
        <v>0</v>
      </c>
      <c r="Z565" s="42">
        <v>0</v>
      </c>
      <c r="AA565" s="4">
        <f t="shared" si="58"/>
        <v>8740.7395833333339</v>
      </c>
      <c r="AB565" s="4">
        <f t="shared" ref="AB565:AB600" si="61">AA565*12</f>
        <v>104888.875</v>
      </c>
      <c r="AC565" s="4">
        <f t="shared" si="59"/>
        <v>297908.875</v>
      </c>
    </row>
    <row r="566" spans="1:29" x14ac:dyDescent="0.2">
      <c r="A566" s="42">
        <v>400601</v>
      </c>
      <c r="B566" s="43" t="s">
        <v>267</v>
      </c>
      <c r="C566" s="42" t="s">
        <v>277</v>
      </c>
      <c r="D566" s="43" t="s">
        <v>39</v>
      </c>
      <c r="E566" s="43" t="s">
        <v>40</v>
      </c>
      <c r="F566" s="42" t="s">
        <v>247</v>
      </c>
      <c r="G566" s="43" t="s">
        <v>41</v>
      </c>
      <c r="H566" s="42">
        <v>40</v>
      </c>
      <c r="I566" s="44">
        <v>45992</v>
      </c>
      <c r="J566" s="43" t="s">
        <v>54</v>
      </c>
      <c r="K566" s="49">
        <v>12565</v>
      </c>
      <c r="L566" s="42"/>
      <c r="M566" s="51">
        <f>VLOOKUP(A566,'[1]ناتج ملف Excel'!$A:$AV,46,0)</f>
        <v>100</v>
      </c>
      <c r="N566" s="51">
        <f>VLOOKUP(A566,'[1]ناتج ملف Excel'!$A:$AV,47,0)</f>
        <v>3141.25</v>
      </c>
      <c r="O566" s="42"/>
      <c r="P566" s="47">
        <v>0</v>
      </c>
      <c r="Q566" s="48"/>
      <c r="R566" s="48">
        <v>0</v>
      </c>
      <c r="S566" s="72"/>
      <c r="T566" s="47">
        <v>3080</v>
      </c>
      <c r="U566" s="48">
        <f t="shared" si="60"/>
        <v>675.26041666666663</v>
      </c>
      <c r="V566" s="47">
        <v>700</v>
      </c>
      <c r="W566" s="42">
        <v>750</v>
      </c>
      <c r="X566" s="42">
        <v>0</v>
      </c>
      <c r="Y566" s="42">
        <v>0</v>
      </c>
      <c r="Z566" s="46">
        <v>2513</v>
      </c>
      <c r="AA566" s="4">
        <f t="shared" si="58"/>
        <v>6996.5104166666661</v>
      </c>
      <c r="AB566" s="4">
        <f t="shared" si="61"/>
        <v>83958.125</v>
      </c>
      <c r="AC566" s="4">
        <f t="shared" si="59"/>
        <v>252138.125</v>
      </c>
    </row>
    <row r="567" spans="1:29" x14ac:dyDescent="0.2">
      <c r="A567" s="42">
        <v>400602</v>
      </c>
      <c r="B567" s="43" t="s">
        <v>267</v>
      </c>
      <c r="C567" s="42" t="s">
        <v>277</v>
      </c>
      <c r="D567" s="43" t="s">
        <v>39</v>
      </c>
      <c r="E567" s="43" t="s">
        <v>40</v>
      </c>
      <c r="F567" s="42" t="s">
        <v>257</v>
      </c>
      <c r="G567" s="43" t="s">
        <v>41</v>
      </c>
      <c r="H567" s="42">
        <v>50</v>
      </c>
      <c r="I567" s="44">
        <v>45992</v>
      </c>
      <c r="J567" s="43" t="s">
        <v>54</v>
      </c>
      <c r="K567" s="49">
        <v>11025</v>
      </c>
      <c r="L567" s="42"/>
      <c r="M567" s="51">
        <f>VLOOKUP(A567,'[1]ناتج ملف Excel'!$A:$AV,46,0)</f>
        <v>100</v>
      </c>
      <c r="N567" s="51">
        <f>VLOOKUP(A567,'[1]ناتج ملف Excel'!$A:$AV,47,0)</f>
        <v>2756.25</v>
      </c>
      <c r="O567" s="42"/>
      <c r="P567" s="47">
        <v>0</v>
      </c>
      <c r="Q567" s="48"/>
      <c r="R567" s="48">
        <v>0</v>
      </c>
      <c r="S567" s="72"/>
      <c r="T567" s="47">
        <v>3080</v>
      </c>
      <c r="U567" s="48">
        <f t="shared" si="60"/>
        <v>595.05208333333337</v>
      </c>
      <c r="V567" s="47">
        <v>700</v>
      </c>
      <c r="W567" s="42">
        <v>750</v>
      </c>
      <c r="X567" s="42">
        <v>0</v>
      </c>
      <c r="Y567" s="42">
        <v>0</v>
      </c>
      <c r="Z567" s="46">
        <v>2205</v>
      </c>
      <c r="AA567" s="4">
        <f t="shared" si="58"/>
        <v>6531.3020833333339</v>
      </c>
      <c r="AB567" s="4">
        <f t="shared" si="61"/>
        <v>78375.625</v>
      </c>
      <c r="AC567" s="4">
        <f t="shared" si="59"/>
        <v>228075.625</v>
      </c>
    </row>
    <row r="568" spans="1:29" x14ac:dyDescent="0.2">
      <c r="A568" s="42">
        <v>400603</v>
      </c>
      <c r="B568" s="43" t="s">
        <v>267</v>
      </c>
      <c r="C568" s="42" t="s">
        <v>277</v>
      </c>
      <c r="D568" s="43" t="s">
        <v>39</v>
      </c>
      <c r="E568" s="43" t="s">
        <v>40</v>
      </c>
      <c r="F568" s="42" t="s">
        <v>240</v>
      </c>
      <c r="G568" s="43" t="s">
        <v>41</v>
      </c>
      <c r="H568" s="42">
        <v>43</v>
      </c>
      <c r="I568" s="44">
        <v>45992</v>
      </c>
      <c r="J568" s="43" t="s">
        <v>54</v>
      </c>
      <c r="K568" s="49">
        <v>12565</v>
      </c>
      <c r="L568" s="42"/>
      <c r="M568" s="51">
        <f>VLOOKUP(A568,'[1]ناتج ملف Excel'!$A:$AV,46,0)</f>
        <v>100</v>
      </c>
      <c r="N568" s="51">
        <f>VLOOKUP(A568,'[1]ناتج ملف Excel'!$A:$AV,47,0)</f>
        <v>3141.25</v>
      </c>
      <c r="O568" s="42"/>
      <c r="P568" s="47">
        <v>0</v>
      </c>
      <c r="Q568" s="48"/>
      <c r="R568" s="48">
        <v>0</v>
      </c>
      <c r="S568" s="72"/>
      <c r="T568" s="47">
        <v>3080</v>
      </c>
      <c r="U568" s="48">
        <f t="shared" si="60"/>
        <v>675.26041666666663</v>
      </c>
      <c r="V568" s="47">
        <v>700</v>
      </c>
      <c r="W568" s="42">
        <v>750</v>
      </c>
      <c r="X568" s="42">
        <v>0</v>
      </c>
      <c r="Y568" s="42">
        <v>0</v>
      </c>
      <c r="Z568" s="42">
        <v>0</v>
      </c>
      <c r="AA568" s="4">
        <f t="shared" si="58"/>
        <v>6996.5104166666661</v>
      </c>
      <c r="AB568" s="4">
        <f t="shared" si="61"/>
        <v>83958.125</v>
      </c>
      <c r="AC568" s="4">
        <f t="shared" si="59"/>
        <v>252138.125</v>
      </c>
    </row>
    <row r="569" spans="1:29" x14ac:dyDescent="0.2">
      <c r="A569" s="42">
        <v>400604</v>
      </c>
      <c r="B569" s="43" t="s">
        <v>267</v>
      </c>
      <c r="C569" s="42" t="s">
        <v>277</v>
      </c>
      <c r="D569" s="43" t="s">
        <v>39</v>
      </c>
      <c r="E569" s="43" t="s">
        <v>40</v>
      </c>
      <c r="F569" s="42" t="s">
        <v>240</v>
      </c>
      <c r="G569" s="43" t="s">
        <v>41</v>
      </c>
      <c r="H569" s="42">
        <v>35</v>
      </c>
      <c r="I569" s="44">
        <v>45992</v>
      </c>
      <c r="J569" s="43" t="s">
        <v>54</v>
      </c>
      <c r="K569" s="46">
        <v>9565</v>
      </c>
      <c r="L569" s="42"/>
      <c r="M569" s="51">
        <f>VLOOKUP(A569,'[1]ناتج ملف Excel'!$A:$AV,46,0)</f>
        <v>100</v>
      </c>
      <c r="N569" s="51">
        <f>VLOOKUP(A569,'[1]ناتج ملف Excel'!$A:$AV,47,0)</f>
        <v>2391.25</v>
      </c>
      <c r="O569" s="42"/>
      <c r="P569" s="47">
        <v>0</v>
      </c>
      <c r="Q569" s="48"/>
      <c r="R569" s="48">
        <v>0</v>
      </c>
      <c r="S569" s="72"/>
      <c r="T569" s="47">
        <v>3080</v>
      </c>
      <c r="U569" s="48">
        <f t="shared" si="60"/>
        <v>519.01041666666663</v>
      </c>
      <c r="V569" s="47">
        <v>700</v>
      </c>
      <c r="W569" s="42">
        <v>750</v>
      </c>
      <c r="X569" s="42">
        <v>0</v>
      </c>
      <c r="Y569" s="42">
        <v>0</v>
      </c>
      <c r="Z569" s="42">
        <v>0</v>
      </c>
      <c r="AA569" s="4">
        <f t="shared" si="58"/>
        <v>6090.2604166666661</v>
      </c>
      <c r="AB569" s="4">
        <f t="shared" si="61"/>
        <v>73083.125</v>
      </c>
      <c r="AC569" s="4">
        <f t="shared" si="59"/>
        <v>205263.125</v>
      </c>
    </row>
    <row r="570" spans="1:29" x14ac:dyDescent="0.2">
      <c r="A570" s="42">
        <v>400605</v>
      </c>
      <c r="B570" s="43">
        <v>4</v>
      </c>
      <c r="C570" s="42" t="s">
        <v>277</v>
      </c>
      <c r="D570" s="43" t="s">
        <v>39</v>
      </c>
      <c r="E570" s="43" t="s">
        <v>40</v>
      </c>
      <c r="F570" s="42" t="s">
        <v>247</v>
      </c>
      <c r="G570" s="43" t="s">
        <v>41</v>
      </c>
      <c r="H570" s="42">
        <v>48</v>
      </c>
      <c r="I570" s="44">
        <v>45992</v>
      </c>
      <c r="J570" s="43" t="s">
        <v>54</v>
      </c>
      <c r="K570" s="49">
        <v>18705</v>
      </c>
      <c r="L570" s="42"/>
      <c r="M570" s="51">
        <f>VLOOKUP(A570,'[1]ناتج ملف Excel'!$A:$AV,46,0)</f>
        <v>970.5</v>
      </c>
      <c r="N570" s="51">
        <f>VLOOKUP(A570,'[1]ناتج ملف Excel'!$A:$AV,47,0)</f>
        <v>4676.25</v>
      </c>
      <c r="O570" s="42"/>
      <c r="P570" s="47">
        <v>0</v>
      </c>
      <c r="Q570" s="48"/>
      <c r="R570" s="48">
        <v>0</v>
      </c>
      <c r="S570" s="72"/>
      <c r="T570" s="47">
        <v>3080</v>
      </c>
      <c r="U570" s="48">
        <f t="shared" si="60"/>
        <v>1176.40625</v>
      </c>
      <c r="V570" s="47">
        <v>900</v>
      </c>
      <c r="W570" s="42">
        <v>0</v>
      </c>
      <c r="X570" s="42">
        <v>3273.375</v>
      </c>
      <c r="Y570" s="42">
        <v>0</v>
      </c>
      <c r="Z570" s="46">
        <v>3741</v>
      </c>
      <c r="AA570" s="4">
        <f t="shared" si="58"/>
        <v>9903.15625</v>
      </c>
      <c r="AB570" s="4">
        <f t="shared" si="61"/>
        <v>118837.875</v>
      </c>
      <c r="AC570" s="4">
        <f t="shared" si="59"/>
        <v>393378.375</v>
      </c>
    </row>
    <row r="571" spans="1:29" x14ac:dyDescent="0.2">
      <c r="A571" s="42">
        <v>400606</v>
      </c>
      <c r="B571" s="43" t="s">
        <v>267</v>
      </c>
      <c r="C571" s="42" t="s">
        <v>277</v>
      </c>
      <c r="D571" s="43" t="s">
        <v>39</v>
      </c>
      <c r="E571" s="43" t="s">
        <v>40</v>
      </c>
      <c r="F571" s="42" t="s">
        <v>256</v>
      </c>
      <c r="G571" s="43" t="s">
        <v>41</v>
      </c>
      <c r="H571" s="42">
        <v>37</v>
      </c>
      <c r="I571" s="44">
        <v>45992</v>
      </c>
      <c r="J571" s="43" t="s">
        <v>54</v>
      </c>
      <c r="K571" s="46">
        <v>8200</v>
      </c>
      <c r="L571" s="42"/>
      <c r="M571" s="51">
        <f>VLOOKUP(A571,'[1]ناتج ملف Excel'!$A:$AV,46,0)</f>
        <v>100</v>
      </c>
      <c r="N571" s="51">
        <f>VLOOKUP(A571,'[1]ناتج ملف Excel'!$A:$AV,47,0)</f>
        <v>2050</v>
      </c>
      <c r="O571" s="42"/>
      <c r="P571" s="47">
        <v>0</v>
      </c>
      <c r="Q571" s="48"/>
      <c r="R571" s="48">
        <v>0</v>
      </c>
      <c r="S571" s="72"/>
      <c r="T571" s="47">
        <v>3080</v>
      </c>
      <c r="U571" s="48">
        <f t="shared" si="60"/>
        <v>447.91666666666669</v>
      </c>
      <c r="V571" s="47">
        <v>700</v>
      </c>
      <c r="W571" s="42">
        <v>750</v>
      </c>
      <c r="X571" s="42">
        <v>0</v>
      </c>
      <c r="Y571" s="42">
        <v>0</v>
      </c>
      <c r="Z571" s="42">
        <v>0</v>
      </c>
      <c r="AA571" s="4">
        <f t="shared" si="58"/>
        <v>5677.9166666666661</v>
      </c>
      <c r="AB571" s="4">
        <f t="shared" si="61"/>
        <v>68135</v>
      </c>
      <c r="AC571" s="4">
        <f t="shared" si="59"/>
        <v>183935</v>
      </c>
    </row>
    <row r="572" spans="1:29" x14ac:dyDescent="0.2">
      <c r="A572" s="42">
        <v>400607</v>
      </c>
      <c r="B572" s="43">
        <v>4</v>
      </c>
      <c r="C572" s="42" t="s">
        <v>277</v>
      </c>
      <c r="D572" s="43" t="s">
        <v>39</v>
      </c>
      <c r="E572" s="43" t="s">
        <v>40</v>
      </c>
      <c r="F572" s="42" t="s">
        <v>246</v>
      </c>
      <c r="G572" s="43" t="s">
        <v>41</v>
      </c>
      <c r="H572" s="42">
        <v>32</v>
      </c>
      <c r="I572" s="44">
        <v>45992</v>
      </c>
      <c r="J572" s="43" t="s">
        <v>54</v>
      </c>
      <c r="K572" s="46">
        <v>9467</v>
      </c>
      <c r="L572" s="42"/>
      <c r="M572" s="51">
        <f>VLOOKUP(A572,'[1]ناتج ملف Excel'!$A:$AV,46,0)</f>
        <v>446.7</v>
      </c>
      <c r="N572" s="51">
        <f>VLOOKUP(A572,'[1]ناتج ملف Excel'!$A:$AV,47,0)</f>
        <v>2366.75</v>
      </c>
      <c r="O572" s="42"/>
      <c r="P572" s="47">
        <v>0</v>
      </c>
      <c r="Q572" s="48"/>
      <c r="R572" s="48">
        <v>0</v>
      </c>
      <c r="S572" s="72"/>
      <c r="T572" s="47">
        <v>3080</v>
      </c>
      <c r="U572" s="48">
        <f t="shared" si="60"/>
        <v>586.13541666666663</v>
      </c>
      <c r="V572" s="47">
        <v>500</v>
      </c>
      <c r="W572" s="42">
        <v>0</v>
      </c>
      <c r="X572" s="42">
        <v>0</v>
      </c>
      <c r="Y572" s="42">
        <v>0</v>
      </c>
      <c r="Z572" s="42">
        <v>0</v>
      </c>
      <c r="AA572" s="4">
        <f t="shared" si="58"/>
        <v>6479.5854166666659</v>
      </c>
      <c r="AB572" s="4">
        <f t="shared" si="61"/>
        <v>77755.024999999994</v>
      </c>
      <c r="AC572" s="4">
        <f t="shared" si="59"/>
        <v>197359.02499999999</v>
      </c>
    </row>
    <row r="573" spans="1:29" x14ac:dyDescent="0.2">
      <c r="A573" s="42">
        <v>400608</v>
      </c>
      <c r="B573" s="43" t="s">
        <v>267</v>
      </c>
      <c r="C573" s="42" t="s">
        <v>277</v>
      </c>
      <c r="D573" s="43" t="s">
        <v>39</v>
      </c>
      <c r="E573" s="43" t="s">
        <v>40</v>
      </c>
      <c r="F573" s="42" t="s">
        <v>240</v>
      </c>
      <c r="G573" s="43" t="s">
        <v>41</v>
      </c>
      <c r="H573" s="42">
        <v>40</v>
      </c>
      <c r="I573" s="44">
        <v>45992</v>
      </c>
      <c r="J573" s="43" t="s">
        <v>54</v>
      </c>
      <c r="K573" s="49">
        <v>10915</v>
      </c>
      <c r="L573" s="42"/>
      <c r="M573" s="51">
        <f>VLOOKUP(A573,'[1]ناتج ملف Excel'!$A:$AV,46,0)</f>
        <v>100</v>
      </c>
      <c r="N573" s="51">
        <f>VLOOKUP(A573,'[1]ناتج ملف Excel'!$A:$AV,47,0)</f>
        <v>2728.75</v>
      </c>
      <c r="O573" s="42"/>
      <c r="P573" s="47">
        <v>0</v>
      </c>
      <c r="Q573" s="48"/>
      <c r="R573" s="48">
        <v>0</v>
      </c>
      <c r="S573" s="72"/>
      <c r="T573" s="47">
        <v>3080</v>
      </c>
      <c r="U573" s="48">
        <f t="shared" si="60"/>
        <v>589.32291666666663</v>
      </c>
      <c r="V573" s="47">
        <v>700</v>
      </c>
      <c r="W573" s="42">
        <v>0</v>
      </c>
      <c r="X573" s="42">
        <v>0</v>
      </c>
      <c r="Y573" s="42">
        <v>0</v>
      </c>
      <c r="Z573" s="42">
        <v>0</v>
      </c>
      <c r="AA573" s="4">
        <f t="shared" si="58"/>
        <v>6498.0729166666661</v>
      </c>
      <c r="AB573" s="4">
        <f t="shared" si="61"/>
        <v>77976.875</v>
      </c>
      <c r="AC573" s="4">
        <f t="shared" si="59"/>
        <v>217356.875</v>
      </c>
    </row>
    <row r="574" spans="1:29" x14ac:dyDescent="0.2">
      <c r="A574" s="42">
        <v>400609</v>
      </c>
      <c r="B574" s="43" t="s">
        <v>267</v>
      </c>
      <c r="C574" s="42" t="s">
        <v>277</v>
      </c>
      <c r="D574" s="43" t="s">
        <v>39</v>
      </c>
      <c r="E574" s="43" t="s">
        <v>40</v>
      </c>
      <c r="F574" s="42" t="s">
        <v>247</v>
      </c>
      <c r="G574" s="43" t="s">
        <v>41</v>
      </c>
      <c r="H574" s="42">
        <v>38</v>
      </c>
      <c r="I574" s="44">
        <v>45992</v>
      </c>
      <c r="J574" s="43" t="s">
        <v>54</v>
      </c>
      <c r="K574" s="46">
        <v>9420</v>
      </c>
      <c r="L574" s="42"/>
      <c r="M574" s="51">
        <f>VLOOKUP(A574,'[1]ناتج ملف Excel'!$A:$AV,46,0)</f>
        <v>100</v>
      </c>
      <c r="N574" s="51">
        <f>VLOOKUP(A574,'[1]ناتج ملف Excel'!$A:$AV,47,0)</f>
        <v>2355</v>
      </c>
      <c r="O574" s="42"/>
      <c r="P574" s="47">
        <v>0</v>
      </c>
      <c r="Q574" s="48"/>
      <c r="R574" s="48">
        <v>0</v>
      </c>
      <c r="S574" s="72"/>
      <c r="T574" s="47">
        <v>3080</v>
      </c>
      <c r="U574" s="48">
        <f t="shared" si="60"/>
        <v>511.45833333333331</v>
      </c>
      <c r="V574" s="47">
        <v>700</v>
      </c>
      <c r="W574" s="42">
        <v>0</v>
      </c>
      <c r="X574" s="42">
        <v>0</v>
      </c>
      <c r="Y574" s="42">
        <v>0</v>
      </c>
      <c r="Z574" s="46">
        <v>1884</v>
      </c>
      <c r="AA574" s="4">
        <f t="shared" ref="AA574:AA582" si="62">U574+T574+N574+M574+O574</f>
        <v>6046.4583333333339</v>
      </c>
      <c r="AB574" s="4">
        <f t="shared" si="61"/>
        <v>72557.5</v>
      </c>
      <c r="AC574" s="4">
        <f t="shared" ref="AC574:AC582" si="63">AB574+((K574+V574+W574+X574)*12)</f>
        <v>193997.5</v>
      </c>
    </row>
    <row r="575" spans="1:29" x14ac:dyDescent="0.2">
      <c r="A575" s="42">
        <v>400610</v>
      </c>
      <c r="B575" s="43">
        <v>4</v>
      </c>
      <c r="C575" s="42" t="s">
        <v>277</v>
      </c>
      <c r="D575" s="43" t="s">
        <v>39</v>
      </c>
      <c r="E575" s="43" t="s">
        <v>40</v>
      </c>
      <c r="F575" s="42" t="s">
        <v>243</v>
      </c>
      <c r="G575" s="43" t="s">
        <v>41</v>
      </c>
      <c r="H575" s="42">
        <v>42</v>
      </c>
      <c r="I575" s="44">
        <v>45992</v>
      </c>
      <c r="J575" s="43" t="s">
        <v>54</v>
      </c>
      <c r="K575" s="49">
        <v>13975</v>
      </c>
      <c r="L575" s="42"/>
      <c r="M575" s="51">
        <f>VLOOKUP(A575,'[1]ناتج ملف Excel'!$A:$AV,46,0)</f>
        <v>697.5</v>
      </c>
      <c r="N575" s="51">
        <f>VLOOKUP(A575,'[1]ناتج ملف Excel'!$A:$AV,47,0)</f>
        <v>3493.75</v>
      </c>
      <c r="O575" s="42"/>
      <c r="P575" s="47">
        <v>0</v>
      </c>
      <c r="Q575" s="48"/>
      <c r="R575" s="48">
        <v>0</v>
      </c>
      <c r="S575" s="72"/>
      <c r="T575" s="47">
        <v>3080</v>
      </c>
      <c r="U575" s="48">
        <f t="shared" si="60"/>
        <v>873.17708333333337</v>
      </c>
      <c r="V575" s="47">
        <v>700</v>
      </c>
      <c r="W575" s="42">
        <v>750</v>
      </c>
      <c r="X575" s="42">
        <v>2273.25</v>
      </c>
      <c r="Y575" s="42">
        <v>0</v>
      </c>
      <c r="Z575" s="42">
        <v>0</v>
      </c>
      <c r="AA575" s="4">
        <f t="shared" si="62"/>
        <v>8144.4270833333339</v>
      </c>
      <c r="AB575" s="4">
        <f t="shared" si="61"/>
        <v>97733.125</v>
      </c>
      <c r="AC575" s="4">
        <f t="shared" si="63"/>
        <v>310112.125</v>
      </c>
    </row>
    <row r="576" spans="1:29" x14ac:dyDescent="0.2">
      <c r="A576" s="42">
        <v>400611</v>
      </c>
      <c r="B576" s="43" t="s">
        <v>266</v>
      </c>
      <c r="C576" s="42" t="s">
        <v>277</v>
      </c>
      <c r="D576" s="43" t="s">
        <v>39</v>
      </c>
      <c r="E576" s="43" t="s">
        <v>40</v>
      </c>
      <c r="F576" s="42" t="s">
        <v>243</v>
      </c>
      <c r="G576" s="43" t="s">
        <v>41</v>
      </c>
      <c r="H576" s="42">
        <v>36</v>
      </c>
      <c r="I576" s="44">
        <v>45992</v>
      </c>
      <c r="J576" s="43" t="s">
        <v>54</v>
      </c>
      <c r="K576" s="46">
        <v>9200</v>
      </c>
      <c r="L576" s="42"/>
      <c r="M576" s="51">
        <f>VLOOKUP(A576,'[1]ناتج ملف Excel'!$A:$AV,46,0)</f>
        <v>100</v>
      </c>
      <c r="N576" s="51">
        <f>VLOOKUP(A576,'[1]ناتج ملف Excel'!$A:$AV,47,0)</f>
        <v>2300</v>
      </c>
      <c r="O576" s="42"/>
      <c r="P576" s="47">
        <v>0</v>
      </c>
      <c r="Q576" s="48"/>
      <c r="R576" s="48">
        <v>0</v>
      </c>
      <c r="S576" s="72"/>
      <c r="T576" s="47">
        <v>3080</v>
      </c>
      <c r="U576" s="48">
        <f t="shared" si="60"/>
        <v>500</v>
      </c>
      <c r="V576" s="47">
        <v>700</v>
      </c>
      <c r="W576" s="42">
        <v>750</v>
      </c>
      <c r="X576" s="42">
        <v>0</v>
      </c>
      <c r="Y576" s="42">
        <v>0</v>
      </c>
      <c r="Z576" s="42">
        <v>0</v>
      </c>
      <c r="AA576" s="4">
        <f t="shared" si="62"/>
        <v>5980</v>
      </c>
      <c r="AB576" s="4">
        <f t="shared" si="61"/>
        <v>71760</v>
      </c>
      <c r="AC576" s="4">
        <f t="shared" si="63"/>
        <v>199560</v>
      </c>
    </row>
    <row r="577" spans="1:29" x14ac:dyDescent="0.2">
      <c r="A577" s="42">
        <v>400612</v>
      </c>
      <c r="B577" s="43" t="s">
        <v>266</v>
      </c>
      <c r="C577" s="42" t="s">
        <v>277</v>
      </c>
      <c r="D577" s="43" t="s">
        <v>39</v>
      </c>
      <c r="E577" s="43" t="s">
        <v>40</v>
      </c>
      <c r="F577" s="42" t="s">
        <v>243</v>
      </c>
      <c r="G577" s="43" t="s">
        <v>41</v>
      </c>
      <c r="H577" s="42">
        <v>52</v>
      </c>
      <c r="I577" s="44">
        <v>45992</v>
      </c>
      <c r="J577" s="43" t="s">
        <v>54</v>
      </c>
      <c r="K577" s="49">
        <v>11745</v>
      </c>
      <c r="L577" s="42"/>
      <c r="M577" s="51">
        <f>VLOOKUP(A577,'[1]ناتج ملف Excel'!$A:$AV,46,0)</f>
        <v>100</v>
      </c>
      <c r="N577" s="51">
        <f>VLOOKUP(A577,'[1]ناتج ملف Excel'!$A:$AV,47,0)</f>
        <v>2936.25</v>
      </c>
      <c r="O577" s="42"/>
      <c r="P577" s="47">
        <v>0</v>
      </c>
      <c r="Q577" s="48"/>
      <c r="R577" s="48">
        <v>0</v>
      </c>
      <c r="S577" s="72"/>
      <c r="T577" s="47">
        <v>3080</v>
      </c>
      <c r="U577" s="48">
        <f t="shared" si="60"/>
        <v>632.55208333333337</v>
      </c>
      <c r="V577" s="47">
        <v>700</v>
      </c>
      <c r="W577" s="42">
        <v>750</v>
      </c>
      <c r="X577" s="42">
        <v>0</v>
      </c>
      <c r="Y577" s="42">
        <v>0</v>
      </c>
      <c r="Z577" s="42">
        <v>0</v>
      </c>
      <c r="AA577" s="4">
        <f t="shared" si="62"/>
        <v>6748.8020833333339</v>
      </c>
      <c r="AB577" s="4">
        <f t="shared" si="61"/>
        <v>80985.625</v>
      </c>
      <c r="AC577" s="4">
        <f t="shared" si="63"/>
        <v>239325.625</v>
      </c>
    </row>
    <row r="578" spans="1:29" x14ac:dyDescent="0.2">
      <c r="A578" s="42">
        <v>400614</v>
      </c>
      <c r="B578" s="43">
        <v>4</v>
      </c>
      <c r="C578" s="42" t="s">
        <v>277</v>
      </c>
      <c r="D578" s="43" t="s">
        <v>39</v>
      </c>
      <c r="E578" s="43" t="s">
        <v>40</v>
      </c>
      <c r="F578" s="42" t="s">
        <v>260</v>
      </c>
      <c r="G578" s="43" t="s">
        <v>41</v>
      </c>
      <c r="H578" s="42">
        <v>35</v>
      </c>
      <c r="I578" s="44">
        <v>45992</v>
      </c>
      <c r="J578" s="43" t="s">
        <v>54</v>
      </c>
      <c r="K578" s="49">
        <v>12565</v>
      </c>
      <c r="L578" s="42"/>
      <c r="M578" s="51">
        <f>VLOOKUP(A578,'[1]ناتج ملف Excel'!$A:$AV,46,0)</f>
        <v>556.5</v>
      </c>
      <c r="N578" s="51">
        <f>VLOOKUP(A578,'[1]ناتج ملف Excel'!$A:$AV,47,0)</f>
        <v>3141.25</v>
      </c>
      <c r="O578" s="42"/>
      <c r="P578" s="47">
        <v>0</v>
      </c>
      <c r="Q578" s="48"/>
      <c r="R578" s="48">
        <v>0</v>
      </c>
      <c r="S578" s="72"/>
      <c r="T578" s="47">
        <v>3080</v>
      </c>
      <c r="U578" s="48">
        <f t="shared" si="60"/>
        <v>770.36458333333337</v>
      </c>
      <c r="V578" s="47">
        <v>700</v>
      </c>
      <c r="W578" s="42">
        <v>750</v>
      </c>
      <c r="X578" s="42">
        <v>2116.625</v>
      </c>
      <c r="Y578" s="42">
        <v>0</v>
      </c>
      <c r="Z578" s="42">
        <v>0</v>
      </c>
      <c r="AA578" s="4">
        <f t="shared" si="62"/>
        <v>7548.1145833333339</v>
      </c>
      <c r="AB578" s="4">
        <f t="shared" si="61"/>
        <v>90577.375</v>
      </c>
      <c r="AC578" s="4">
        <f t="shared" si="63"/>
        <v>284156.875</v>
      </c>
    </row>
    <row r="579" spans="1:29" x14ac:dyDescent="0.2">
      <c r="A579" s="42">
        <v>400615</v>
      </c>
      <c r="B579" s="43">
        <v>4</v>
      </c>
      <c r="C579" s="42" t="s">
        <v>277</v>
      </c>
      <c r="D579" s="43" t="s">
        <v>39</v>
      </c>
      <c r="E579" s="43" t="s">
        <v>40</v>
      </c>
      <c r="F579" s="42" t="s">
        <v>252</v>
      </c>
      <c r="G579" s="43" t="s">
        <v>41</v>
      </c>
      <c r="H579" s="42">
        <v>47</v>
      </c>
      <c r="I579" s="44">
        <v>45992</v>
      </c>
      <c r="J579" s="43" t="s">
        <v>54</v>
      </c>
      <c r="K579" s="49">
        <v>13820</v>
      </c>
      <c r="L579" s="42"/>
      <c r="M579" s="51">
        <f>VLOOKUP(A579,'[1]ناتج ملف Excel'!$A:$AV,46,0)</f>
        <v>682</v>
      </c>
      <c r="N579" s="51">
        <f>VLOOKUP(A579,'[1]ناتج ملف Excel'!$A:$AV,47,0)</f>
        <v>3455</v>
      </c>
      <c r="O579" s="42"/>
      <c r="P579" s="47">
        <v>0</v>
      </c>
      <c r="Q579" s="48"/>
      <c r="R579" s="48">
        <v>0</v>
      </c>
      <c r="S579" s="72"/>
      <c r="T579" s="47">
        <v>3080</v>
      </c>
      <c r="U579" s="48">
        <f t="shared" si="60"/>
        <v>861.875</v>
      </c>
      <c r="V579" s="47">
        <v>700</v>
      </c>
      <c r="W579" s="42">
        <v>750</v>
      </c>
      <c r="X579" s="42">
        <v>2345.875</v>
      </c>
      <c r="Y579" s="42">
        <v>0</v>
      </c>
      <c r="Z579" s="42">
        <v>0</v>
      </c>
      <c r="AA579" s="4">
        <f t="shared" si="62"/>
        <v>8078.875</v>
      </c>
      <c r="AB579" s="4">
        <f t="shared" si="61"/>
        <v>96946.5</v>
      </c>
      <c r="AC579" s="4">
        <f t="shared" si="63"/>
        <v>308337</v>
      </c>
    </row>
    <row r="580" spans="1:29" x14ac:dyDescent="0.2">
      <c r="A580" s="42">
        <v>400616</v>
      </c>
      <c r="B580" s="43" t="s">
        <v>267</v>
      </c>
      <c r="C580" s="42" t="s">
        <v>277</v>
      </c>
      <c r="D580" s="43" t="s">
        <v>39</v>
      </c>
      <c r="E580" s="43" t="s">
        <v>40</v>
      </c>
      <c r="F580" s="42" t="s">
        <v>260</v>
      </c>
      <c r="G580" s="43" t="s">
        <v>41</v>
      </c>
      <c r="H580" s="42">
        <v>38</v>
      </c>
      <c r="I580" s="44">
        <v>45992</v>
      </c>
      <c r="J580" s="43" t="s">
        <v>54</v>
      </c>
      <c r="K580" s="49">
        <v>12160</v>
      </c>
      <c r="L580" s="42"/>
      <c r="M580" s="51">
        <f>VLOOKUP(A580,'[1]ناتج ملف Excel'!$A:$AV,46,0)</f>
        <v>100</v>
      </c>
      <c r="N580" s="51">
        <f>VLOOKUP(A580,'[1]ناتج ملف Excel'!$A:$AV,47,0)</f>
        <v>3040</v>
      </c>
      <c r="O580" s="42"/>
      <c r="P580" s="47">
        <v>0</v>
      </c>
      <c r="Q580" s="48"/>
      <c r="R580" s="48">
        <v>0</v>
      </c>
      <c r="S580" s="72"/>
      <c r="T580" s="47">
        <v>3080</v>
      </c>
      <c r="U580" s="48">
        <f t="shared" si="60"/>
        <v>654.16666666666663</v>
      </c>
      <c r="V580" s="47">
        <v>700</v>
      </c>
      <c r="W580" s="42">
        <v>750</v>
      </c>
      <c r="X580" s="42">
        <v>0</v>
      </c>
      <c r="Y580" s="42">
        <v>0</v>
      </c>
      <c r="Z580" s="42">
        <v>0</v>
      </c>
      <c r="AA580" s="4">
        <f t="shared" si="62"/>
        <v>6874.1666666666661</v>
      </c>
      <c r="AB580" s="4">
        <f t="shared" si="61"/>
        <v>82490</v>
      </c>
      <c r="AC580" s="4">
        <f t="shared" si="63"/>
        <v>245810</v>
      </c>
    </row>
    <row r="581" spans="1:29" x14ac:dyDescent="0.2">
      <c r="A581" s="42">
        <v>400617</v>
      </c>
      <c r="B581" s="43">
        <v>4</v>
      </c>
      <c r="C581" s="42" t="s">
        <v>277</v>
      </c>
      <c r="D581" s="43" t="s">
        <v>39</v>
      </c>
      <c r="E581" s="43" t="s">
        <v>40</v>
      </c>
      <c r="F581" s="42" t="s">
        <v>252</v>
      </c>
      <c r="G581" s="43" t="s">
        <v>41</v>
      </c>
      <c r="H581" s="42">
        <v>41</v>
      </c>
      <c r="I581" s="44">
        <v>45992</v>
      </c>
      <c r="J581" s="43" t="s">
        <v>54</v>
      </c>
      <c r="K581" s="49">
        <v>14465</v>
      </c>
      <c r="L581" s="42"/>
      <c r="M581" s="51">
        <f>VLOOKUP(A581,'[1]ناتج ملف Excel'!$A:$AV,46,0)</f>
        <v>546.5</v>
      </c>
      <c r="N581" s="51">
        <f>VLOOKUP(A581,'[1]ناتج ملف Excel'!$A:$AV,47,0)</f>
        <v>3616.25</v>
      </c>
      <c r="O581" s="42"/>
      <c r="P581" s="47">
        <v>0</v>
      </c>
      <c r="Q581" s="48"/>
      <c r="R581" s="48">
        <v>0</v>
      </c>
      <c r="S581" s="72"/>
      <c r="T581" s="47">
        <v>3080</v>
      </c>
      <c r="U581" s="48">
        <f t="shared" si="60"/>
        <v>867.23958333333337</v>
      </c>
      <c r="V581" s="47">
        <v>900</v>
      </c>
      <c r="W581" s="42">
        <v>0</v>
      </c>
      <c r="X581" s="42">
        <v>0</v>
      </c>
      <c r="Y581" s="42">
        <v>0</v>
      </c>
      <c r="Z581" s="42">
        <v>0</v>
      </c>
      <c r="AA581" s="4">
        <f t="shared" si="62"/>
        <v>8109.9895833333339</v>
      </c>
      <c r="AB581" s="4">
        <f t="shared" si="61"/>
        <v>97319.875</v>
      </c>
      <c r="AC581" s="4">
        <f t="shared" si="63"/>
        <v>281699.875</v>
      </c>
    </row>
    <row r="582" spans="1:29" x14ac:dyDescent="0.2">
      <c r="A582" s="42">
        <v>400618</v>
      </c>
      <c r="B582" s="43" t="s">
        <v>267</v>
      </c>
      <c r="C582" s="42" t="s">
        <v>277</v>
      </c>
      <c r="D582" s="43" t="s">
        <v>39</v>
      </c>
      <c r="E582" s="43" t="s">
        <v>40</v>
      </c>
      <c r="F582" s="42" t="s">
        <v>260</v>
      </c>
      <c r="G582" s="43" t="s">
        <v>41</v>
      </c>
      <c r="H582" s="42">
        <v>41</v>
      </c>
      <c r="I582" s="44">
        <v>45992</v>
      </c>
      <c r="J582" s="43" t="s">
        <v>54</v>
      </c>
      <c r="K582" s="46">
        <v>9565</v>
      </c>
      <c r="L582" s="42"/>
      <c r="M582" s="51">
        <f>VLOOKUP(A582,'[1]ناتج ملف Excel'!$A:$AV,46,0)</f>
        <v>100</v>
      </c>
      <c r="N582" s="51">
        <f>VLOOKUP(A582,'[1]ناتج ملف Excel'!$A:$AV,47,0)</f>
        <v>2391.25</v>
      </c>
      <c r="O582" s="42"/>
      <c r="P582" s="47">
        <v>0</v>
      </c>
      <c r="Q582" s="48"/>
      <c r="R582" s="48">
        <v>0</v>
      </c>
      <c r="S582" s="72"/>
      <c r="T582" s="47">
        <v>3080</v>
      </c>
      <c r="U582" s="48">
        <f t="shared" si="60"/>
        <v>519.01041666666663</v>
      </c>
      <c r="V582" s="47">
        <v>700</v>
      </c>
      <c r="W582" s="42">
        <v>750</v>
      </c>
      <c r="X582" s="42">
        <v>0</v>
      </c>
      <c r="Y582" s="42">
        <v>0</v>
      </c>
      <c r="Z582" s="42">
        <v>0</v>
      </c>
      <c r="AA582" s="4">
        <f t="shared" si="62"/>
        <v>6090.2604166666661</v>
      </c>
      <c r="AB582" s="4">
        <f t="shared" si="61"/>
        <v>73083.125</v>
      </c>
      <c r="AC582" s="4">
        <f t="shared" si="63"/>
        <v>205263.125</v>
      </c>
    </row>
    <row r="583" spans="1:29" x14ac:dyDescent="0.2">
      <c r="A583" s="42">
        <v>700005</v>
      </c>
      <c r="B583" s="43" t="s">
        <v>269</v>
      </c>
      <c r="C583" s="42" t="s">
        <v>277</v>
      </c>
      <c r="D583" s="43" t="s">
        <v>39</v>
      </c>
      <c r="E583" s="43" t="s">
        <v>40</v>
      </c>
      <c r="F583" s="42" t="s">
        <v>242</v>
      </c>
      <c r="G583" s="43" t="s">
        <v>41</v>
      </c>
      <c r="H583" s="42">
        <v>23</v>
      </c>
      <c r="I583" s="44">
        <v>45970</v>
      </c>
      <c r="J583" s="43" t="s">
        <v>56</v>
      </c>
      <c r="K583" s="45">
        <v>0</v>
      </c>
      <c r="L583" s="46">
        <v>6224</v>
      </c>
      <c r="M583" s="51">
        <f>VLOOKUP(A583,'[1]ناتج ملف Excel'!$A:$AV,46,0)</f>
        <v>622.4</v>
      </c>
      <c r="N583" s="51">
        <f>VLOOKUP(A583,'[1]ناتج ملف Excel'!$A:$AV,47,0)</f>
        <v>1556</v>
      </c>
      <c r="O583" s="42">
        <v>0</v>
      </c>
      <c r="P583" s="47">
        <v>0</v>
      </c>
      <c r="Q583" s="48">
        <f t="shared" ref="Q583:Q600" si="64">(L583+M583+N583+O583)/12</f>
        <v>700.19999999999993</v>
      </c>
      <c r="R583" s="48">
        <f t="shared" ref="R583:R600" si="65">(O583+N583+M583+L583)/12/2</f>
        <v>350.09999999999997</v>
      </c>
      <c r="S583" s="71">
        <f t="shared" ref="S583:S600" si="66">(L583+N583)*11.75%</f>
        <v>914.15</v>
      </c>
      <c r="T583" s="47">
        <v>3080</v>
      </c>
      <c r="U583" s="48">
        <f t="shared" si="60"/>
        <v>1750.5</v>
      </c>
      <c r="V583" s="42">
        <v>0</v>
      </c>
      <c r="W583" s="42">
        <v>0</v>
      </c>
      <c r="X583" s="42">
        <v>0</v>
      </c>
      <c r="Y583" s="42">
        <v>0</v>
      </c>
      <c r="Z583" s="42">
        <v>0</v>
      </c>
      <c r="AA583" s="3">
        <f t="shared" ref="AA583:AA600" si="67">SUBTOTAL(9,L583:Z583)</f>
        <v>15197.35</v>
      </c>
      <c r="AB583" s="3">
        <f t="shared" si="61"/>
        <v>182368.2</v>
      </c>
      <c r="AC583" s="3">
        <f t="shared" ref="AC583:AC600" si="68">AB583</f>
        <v>182368.2</v>
      </c>
    </row>
    <row r="584" spans="1:29" x14ac:dyDescent="0.2">
      <c r="A584" s="42">
        <v>700006</v>
      </c>
      <c r="B584" s="43" t="s">
        <v>269</v>
      </c>
      <c r="C584" s="42" t="s">
        <v>277</v>
      </c>
      <c r="D584" s="43" t="s">
        <v>39</v>
      </c>
      <c r="E584" s="43" t="s">
        <v>40</v>
      </c>
      <c r="F584" s="42" t="s">
        <v>239</v>
      </c>
      <c r="G584" s="43" t="s">
        <v>41</v>
      </c>
      <c r="H584" s="42">
        <v>24</v>
      </c>
      <c r="I584" s="44">
        <v>45970</v>
      </c>
      <c r="J584" s="43" t="s">
        <v>56</v>
      </c>
      <c r="K584" s="45">
        <v>0</v>
      </c>
      <c r="L584" s="46">
        <v>6224</v>
      </c>
      <c r="M584" s="51">
        <f>VLOOKUP(A584,'[1]ناتج ملف Excel'!$A:$AV,46,0)</f>
        <v>622.4</v>
      </c>
      <c r="N584" s="51">
        <f>VLOOKUP(A584,'[1]ناتج ملف Excel'!$A:$AV,47,0)</f>
        <v>1556</v>
      </c>
      <c r="O584" s="42">
        <v>0</v>
      </c>
      <c r="P584" s="47">
        <v>0</v>
      </c>
      <c r="Q584" s="48">
        <f t="shared" si="64"/>
        <v>700.19999999999993</v>
      </c>
      <c r="R584" s="48">
        <f t="shared" si="65"/>
        <v>350.09999999999997</v>
      </c>
      <c r="S584" s="71">
        <f t="shared" si="66"/>
        <v>914.15</v>
      </c>
      <c r="T584" s="47">
        <v>3080</v>
      </c>
      <c r="U584" s="48">
        <f t="shared" si="60"/>
        <v>1750.5</v>
      </c>
      <c r="V584" s="42">
        <v>0</v>
      </c>
      <c r="W584" s="42">
        <v>0</v>
      </c>
      <c r="X584" s="42">
        <v>0</v>
      </c>
      <c r="Y584" s="42">
        <v>0</v>
      </c>
      <c r="Z584" s="42">
        <v>0</v>
      </c>
      <c r="AA584" s="3">
        <f t="shared" si="67"/>
        <v>15197.35</v>
      </c>
      <c r="AB584" s="3">
        <f t="shared" si="61"/>
        <v>182368.2</v>
      </c>
      <c r="AC584" s="3">
        <f t="shared" si="68"/>
        <v>182368.2</v>
      </c>
    </row>
    <row r="585" spans="1:29" x14ac:dyDescent="0.2">
      <c r="A585" s="42">
        <v>700007</v>
      </c>
      <c r="B585" s="43" t="s">
        <v>269</v>
      </c>
      <c r="C585" s="42" t="s">
        <v>277</v>
      </c>
      <c r="D585" s="43" t="s">
        <v>39</v>
      </c>
      <c r="E585" s="43" t="s">
        <v>40</v>
      </c>
      <c r="F585" s="42" t="s">
        <v>246</v>
      </c>
      <c r="G585" s="43" t="s">
        <v>41</v>
      </c>
      <c r="H585" s="42">
        <v>26</v>
      </c>
      <c r="I585" s="44">
        <v>45970</v>
      </c>
      <c r="J585" s="43" t="s">
        <v>56</v>
      </c>
      <c r="K585" s="45">
        <v>0</v>
      </c>
      <c r="L585" s="46">
        <v>6224</v>
      </c>
      <c r="M585" s="51">
        <f>VLOOKUP(A585,'[1]ناتج ملف Excel'!$A:$AV,46,0)</f>
        <v>622.4</v>
      </c>
      <c r="N585" s="51">
        <f>VLOOKUP(A585,'[1]ناتج ملف Excel'!$A:$AV,47,0)</f>
        <v>1556</v>
      </c>
      <c r="O585" s="42">
        <v>0</v>
      </c>
      <c r="P585" s="47">
        <v>0</v>
      </c>
      <c r="Q585" s="48">
        <f t="shared" si="64"/>
        <v>700.19999999999993</v>
      </c>
      <c r="R585" s="48">
        <f t="shared" si="65"/>
        <v>350.09999999999997</v>
      </c>
      <c r="S585" s="71">
        <f t="shared" si="66"/>
        <v>914.15</v>
      </c>
      <c r="T585" s="47">
        <v>3080</v>
      </c>
      <c r="U585" s="48">
        <f t="shared" si="60"/>
        <v>1750.5</v>
      </c>
      <c r="V585" s="42">
        <v>0</v>
      </c>
      <c r="W585" s="42">
        <v>0</v>
      </c>
      <c r="X585" s="42">
        <v>0</v>
      </c>
      <c r="Y585" s="42">
        <v>0</v>
      </c>
      <c r="Z585" s="42">
        <v>0</v>
      </c>
      <c r="AA585" s="3">
        <f t="shared" si="67"/>
        <v>15197.35</v>
      </c>
      <c r="AB585" s="3">
        <f t="shared" si="61"/>
        <v>182368.2</v>
      </c>
      <c r="AC585" s="3">
        <f t="shared" si="68"/>
        <v>182368.2</v>
      </c>
    </row>
    <row r="586" spans="1:29" x14ac:dyDescent="0.2">
      <c r="A586" s="42">
        <v>700008</v>
      </c>
      <c r="B586" s="43" t="s">
        <v>269</v>
      </c>
      <c r="C586" s="42" t="s">
        <v>277</v>
      </c>
      <c r="D586" s="43" t="s">
        <v>39</v>
      </c>
      <c r="E586" s="43" t="s">
        <v>40</v>
      </c>
      <c r="F586" s="42" t="s">
        <v>256</v>
      </c>
      <c r="G586" s="43" t="s">
        <v>41</v>
      </c>
      <c r="H586" s="42">
        <v>32</v>
      </c>
      <c r="I586" s="44">
        <v>45970</v>
      </c>
      <c r="J586" s="43" t="s">
        <v>56</v>
      </c>
      <c r="K586" s="45">
        <v>0</v>
      </c>
      <c r="L586" s="46">
        <v>5190</v>
      </c>
      <c r="M586" s="51">
        <f>VLOOKUP(A586,'[1]ناتج ملف Excel'!$A:$AV,46,0)</f>
        <v>519</v>
      </c>
      <c r="N586" s="51">
        <f>VLOOKUP(A586,'[1]ناتج ملف Excel'!$A:$AV,47,0)</f>
        <v>1297.5</v>
      </c>
      <c r="O586" s="42">
        <v>0</v>
      </c>
      <c r="P586" s="47">
        <v>0</v>
      </c>
      <c r="Q586" s="48">
        <f t="shared" si="64"/>
        <v>583.875</v>
      </c>
      <c r="R586" s="48">
        <f t="shared" si="65"/>
        <v>291.9375</v>
      </c>
      <c r="S586" s="71">
        <f t="shared" si="66"/>
        <v>762.28125</v>
      </c>
      <c r="T586" s="47">
        <v>3080</v>
      </c>
      <c r="U586" s="48">
        <f t="shared" si="60"/>
        <v>1459.6875</v>
      </c>
      <c r="V586" s="42">
        <v>0</v>
      </c>
      <c r="W586" s="42">
        <v>0</v>
      </c>
      <c r="X586" s="42">
        <v>0</v>
      </c>
      <c r="Y586" s="42">
        <v>0</v>
      </c>
      <c r="Z586" s="42">
        <v>0</v>
      </c>
      <c r="AA586" s="3">
        <f t="shared" si="67"/>
        <v>13184.28125</v>
      </c>
      <c r="AB586" s="3">
        <f t="shared" si="61"/>
        <v>158211.375</v>
      </c>
      <c r="AC586" s="3">
        <f t="shared" si="68"/>
        <v>158211.375</v>
      </c>
    </row>
    <row r="587" spans="1:29" x14ac:dyDescent="0.2">
      <c r="A587" s="42">
        <v>700009</v>
      </c>
      <c r="B587" s="43" t="s">
        <v>267</v>
      </c>
      <c r="C587" s="42" t="s">
        <v>277</v>
      </c>
      <c r="D587" s="43" t="s">
        <v>39</v>
      </c>
      <c r="E587" s="43" t="s">
        <v>40</v>
      </c>
      <c r="F587" s="42" t="s">
        <v>301</v>
      </c>
      <c r="G587" s="43" t="s">
        <v>41</v>
      </c>
      <c r="H587" s="42">
        <v>32</v>
      </c>
      <c r="I587" s="44">
        <v>45970</v>
      </c>
      <c r="J587" s="43" t="s">
        <v>56</v>
      </c>
      <c r="K587" s="45">
        <v>0</v>
      </c>
      <c r="L587" s="46">
        <v>6228</v>
      </c>
      <c r="M587" s="51">
        <f>VLOOKUP(A587,'[1]ناتج ملف Excel'!$A:$AV,46,0)</f>
        <v>622.79999999999995</v>
      </c>
      <c r="N587" s="51">
        <f>VLOOKUP(A587,'[1]ناتج ملف Excel'!$A:$AV,47,0)</f>
        <v>1557</v>
      </c>
      <c r="O587" s="42">
        <v>0</v>
      </c>
      <c r="P587" s="47">
        <v>0</v>
      </c>
      <c r="Q587" s="48">
        <f t="shared" si="64"/>
        <v>700.65</v>
      </c>
      <c r="R587" s="48">
        <f t="shared" si="65"/>
        <v>350.32499999999999</v>
      </c>
      <c r="S587" s="71">
        <f t="shared" si="66"/>
        <v>914.73749999999995</v>
      </c>
      <c r="T587" s="47">
        <v>3080</v>
      </c>
      <c r="U587" s="48">
        <f t="shared" si="60"/>
        <v>1751.625</v>
      </c>
      <c r="V587" s="42">
        <v>0</v>
      </c>
      <c r="W587" s="42">
        <v>0</v>
      </c>
      <c r="X587" s="42">
        <v>0</v>
      </c>
      <c r="Y587" s="42">
        <v>0</v>
      </c>
      <c r="Z587" s="42">
        <v>0</v>
      </c>
      <c r="AA587" s="3">
        <f t="shared" si="67"/>
        <v>15205.137499999999</v>
      </c>
      <c r="AB587" s="3">
        <f t="shared" si="61"/>
        <v>182461.65</v>
      </c>
      <c r="AC587" s="3">
        <f t="shared" si="68"/>
        <v>182461.65</v>
      </c>
    </row>
    <row r="588" spans="1:29" x14ac:dyDescent="0.2">
      <c r="A588" s="42">
        <v>700010</v>
      </c>
      <c r="B588" s="43" t="s">
        <v>269</v>
      </c>
      <c r="C588" s="42" t="s">
        <v>277</v>
      </c>
      <c r="D588" s="43" t="s">
        <v>39</v>
      </c>
      <c r="E588" s="43" t="s">
        <v>40</v>
      </c>
      <c r="F588" s="42" t="s">
        <v>301</v>
      </c>
      <c r="G588" s="43" t="s">
        <v>41</v>
      </c>
      <c r="H588" s="42">
        <v>31</v>
      </c>
      <c r="I588" s="44">
        <v>45970</v>
      </c>
      <c r="J588" s="43" t="s">
        <v>56</v>
      </c>
      <c r="K588" s="45">
        <v>0</v>
      </c>
      <c r="L588" s="46">
        <v>5190</v>
      </c>
      <c r="M588" s="51">
        <f>VLOOKUP(A588,'[1]ناتج ملف Excel'!$A:$AV,46,0)</f>
        <v>519</v>
      </c>
      <c r="N588" s="51">
        <f>VLOOKUP(A588,'[1]ناتج ملف Excel'!$A:$AV,47,0)</f>
        <v>1297.5</v>
      </c>
      <c r="O588" s="42">
        <v>0</v>
      </c>
      <c r="P588" s="47">
        <v>0</v>
      </c>
      <c r="Q588" s="48">
        <f t="shared" si="64"/>
        <v>583.875</v>
      </c>
      <c r="R588" s="48">
        <f t="shared" si="65"/>
        <v>291.9375</v>
      </c>
      <c r="S588" s="71">
        <f t="shared" si="66"/>
        <v>762.28125</v>
      </c>
      <c r="T588" s="47">
        <v>3080</v>
      </c>
      <c r="U588" s="48">
        <f t="shared" si="60"/>
        <v>1459.6875</v>
      </c>
      <c r="V588" s="42">
        <v>0</v>
      </c>
      <c r="W588" s="42">
        <v>0</v>
      </c>
      <c r="X588" s="42">
        <v>0</v>
      </c>
      <c r="Y588" s="42">
        <v>0</v>
      </c>
      <c r="Z588" s="42">
        <v>0</v>
      </c>
      <c r="AA588" s="3">
        <f t="shared" si="67"/>
        <v>13184.28125</v>
      </c>
      <c r="AB588" s="3">
        <f t="shared" si="61"/>
        <v>158211.375</v>
      </c>
      <c r="AC588" s="3">
        <f t="shared" si="68"/>
        <v>158211.375</v>
      </c>
    </row>
    <row r="589" spans="1:29" x14ac:dyDescent="0.2">
      <c r="A589" s="42">
        <v>700011</v>
      </c>
      <c r="B589" s="43" t="s">
        <v>269</v>
      </c>
      <c r="C589" s="42" t="s">
        <v>277</v>
      </c>
      <c r="D589" s="43" t="s">
        <v>39</v>
      </c>
      <c r="E589" s="43" t="s">
        <v>40</v>
      </c>
      <c r="F589" s="42" t="s">
        <v>250</v>
      </c>
      <c r="G589" s="43" t="s">
        <v>41</v>
      </c>
      <c r="H589" s="42">
        <v>26</v>
      </c>
      <c r="I589" s="44">
        <v>45970</v>
      </c>
      <c r="J589" s="43" t="s">
        <v>56</v>
      </c>
      <c r="K589" s="45">
        <v>0</v>
      </c>
      <c r="L589" s="46">
        <v>6224</v>
      </c>
      <c r="M589" s="51">
        <f>VLOOKUP(A589,'[1]ناتج ملف Excel'!$A:$AV,46,0)</f>
        <v>622.4</v>
      </c>
      <c r="N589" s="51">
        <f>VLOOKUP(A589,'[1]ناتج ملف Excel'!$A:$AV,47,0)</f>
        <v>1556</v>
      </c>
      <c r="O589" s="42">
        <v>0</v>
      </c>
      <c r="P589" s="47">
        <v>0</v>
      </c>
      <c r="Q589" s="48">
        <f t="shared" si="64"/>
        <v>700.19999999999993</v>
      </c>
      <c r="R589" s="48">
        <f t="shared" si="65"/>
        <v>350.09999999999997</v>
      </c>
      <c r="S589" s="71">
        <f t="shared" si="66"/>
        <v>914.15</v>
      </c>
      <c r="T589" s="47">
        <v>3080</v>
      </c>
      <c r="U589" s="48">
        <f t="shared" si="60"/>
        <v>1750.5</v>
      </c>
      <c r="V589" s="42">
        <v>0</v>
      </c>
      <c r="W589" s="42">
        <v>0</v>
      </c>
      <c r="X589" s="42">
        <v>0</v>
      </c>
      <c r="Y589" s="42">
        <v>0</v>
      </c>
      <c r="Z589" s="42">
        <v>0</v>
      </c>
      <c r="AA589" s="3">
        <f t="shared" si="67"/>
        <v>15197.35</v>
      </c>
      <c r="AB589" s="3">
        <f t="shared" si="61"/>
        <v>182368.2</v>
      </c>
      <c r="AC589" s="3">
        <f t="shared" si="68"/>
        <v>182368.2</v>
      </c>
    </row>
    <row r="590" spans="1:29" x14ac:dyDescent="0.2">
      <c r="A590" s="42">
        <v>700012</v>
      </c>
      <c r="B590" s="43" t="s">
        <v>269</v>
      </c>
      <c r="C590" s="42" t="s">
        <v>277</v>
      </c>
      <c r="D590" s="43" t="s">
        <v>39</v>
      </c>
      <c r="E590" s="43" t="s">
        <v>40</v>
      </c>
      <c r="F590" s="42" t="s">
        <v>255</v>
      </c>
      <c r="G590" s="43" t="s">
        <v>41</v>
      </c>
      <c r="H590" s="42">
        <v>25</v>
      </c>
      <c r="I590" s="44">
        <v>45970</v>
      </c>
      <c r="J590" s="43" t="s">
        <v>56</v>
      </c>
      <c r="K590" s="45">
        <v>0</v>
      </c>
      <c r="L590" s="46">
        <v>5190</v>
      </c>
      <c r="M590" s="51">
        <f>VLOOKUP(A590,'[1]ناتج ملف Excel'!$A:$AV,46,0)</f>
        <v>519</v>
      </c>
      <c r="N590" s="51">
        <f>VLOOKUP(A590,'[1]ناتج ملف Excel'!$A:$AV,47,0)</f>
        <v>1297.5</v>
      </c>
      <c r="O590" s="42">
        <v>0</v>
      </c>
      <c r="P590" s="47">
        <v>0</v>
      </c>
      <c r="Q590" s="48">
        <f t="shared" si="64"/>
        <v>583.875</v>
      </c>
      <c r="R590" s="48">
        <f t="shared" si="65"/>
        <v>291.9375</v>
      </c>
      <c r="S590" s="71">
        <f t="shared" si="66"/>
        <v>762.28125</v>
      </c>
      <c r="T590" s="47">
        <v>3080</v>
      </c>
      <c r="U590" s="48">
        <f t="shared" si="60"/>
        <v>1459.6875</v>
      </c>
      <c r="V590" s="42">
        <v>0</v>
      </c>
      <c r="W590" s="42">
        <v>0</v>
      </c>
      <c r="X590" s="42">
        <v>0</v>
      </c>
      <c r="Y590" s="42">
        <v>0</v>
      </c>
      <c r="Z590" s="42">
        <v>0</v>
      </c>
      <c r="AA590" s="3">
        <f t="shared" si="67"/>
        <v>13184.28125</v>
      </c>
      <c r="AB590" s="3">
        <f t="shared" si="61"/>
        <v>158211.375</v>
      </c>
      <c r="AC590" s="3">
        <f t="shared" si="68"/>
        <v>158211.375</v>
      </c>
    </row>
    <row r="591" spans="1:29" x14ac:dyDescent="0.2">
      <c r="A591" s="42">
        <v>700013</v>
      </c>
      <c r="B591" s="43" t="s">
        <v>269</v>
      </c>
      <c r="C591" s="42" t="s">
        <v>277</v>
      </c>
      <c r="D591" s="43" t="s">
        <v>39</v>
      </c>
      <c r="E591" s="43" t="s">
        <v>40</v>
      </c>
      <c r="F591" s="42" t="s">
        <v>301</v>
      </c>
      <c r="G591" s="43" t="s">
        <v>41</v>
      </c>
      <c r="H591" s="42">
        <v>29</v>
      </c>
      <c r="I591" s="44">
        <v>45970</v>
      </c>
      <c r="J591" s="43" t="s">
        <v>56</v>
      </c>
      <c r="K591" s="45">
        <v>0</v>
      </c>
      <c r="L591" s="46">
        <v>6224</v>
      </c>
      <c r="M591" s="51">
        <f>VLOOKUP(A591,'[1]ناتج ملف Excel'!$A:$AV,46,0)</f>
        <v>622.4</v>
      </c>
      <c r="N591" s="51">
        <f>VLOOKUP(A591,'[1]ناتج ملف Excel'!$A:$AV,47,0)</f>
        <v>1556</v>
      </c>
      <c r="O591" s="42">
        <v>0</v>
      </c>
      <c r="P591" s="47">
        <v>0</v>
      </c>
      <c r="Q591" s="48">
        <f t="shared" si="64"/>
        <v>700.19999999999993</v>
      </c>
      <c r="R591" s="48">
        <f t="shared" si="65"/>
        <v>350.09999999999997</v>
      </c>
      <c r="S591" s="71">
        <f t="shared" si="66"/>
        <v>914.15</v>
      </c>
      <c r="T591" s="47">
        <v>3080</v>
      </c>
      <c r="U591" s="48">
        <f t="shared" si="60"/>
        <v>1750.5</v>
      </c>
      <c r="V591" s="42">
        <v>0</v>
      </c>
      <c r="W591" s="42">
        <v>0</v>
      </c>
      <c r="X591" s="42">
        <v>0</v>
      </c>
      <c r="Y591" s="42">
        <v>0</v>
      </c>
      <c r="Z591" s="42">
        <v>0</v>
      </c>
      <c r="AA591" s="3">
        <f t="shared" si="67"/>
        <v>15197.35</v>
      </c>
      <c r="AB591" s="3">
        <f t="shared" si="61"/>
        <v>182368.2</v>
      </c>
      <c r="AC591" s="3">
        <f t="shared" si="68"/>
        <v>182368.2</v>
      </c>
    </row>
    <row r="592" spans="1:29" x14ac:dyDescent="0.2">
      <c r="A592" s="42">
        <v>700014</v>
      </c>
      <c r="B592" s="43" t="s">
        <v>269</v>
      </c>
      <c r="C592" s="42" t="s">
        <v>277</v>
      </c>
      <c r="D592" s="43" t="s">
        <v>39</v>
      </c>
      <c r="E592" s="43" t="s">
        <v>40</v>
      </c>
      <c r="F592" s="42" t="s">
        <v>301</v>
      </c>
      <c r="G592" s="43" t="s">
        <v>41</v>
      </c>
      <c r="H592" s="42">
        <v>30</v>
      </c>
      <c r="I592" s="44">
        <v>45970</v>
      </c>
      <c r="J592" s="43" t="s">
        <v>56</v>
      </c>
      <c r="K592" s="45">
        <v>0</v>
      </c>
      <c r="L592" s="46">
        <v>5190</v>
      </c>
      <c r="M592" s="51">
        <f>VLOOKUP(A592,'[1]ناتج ملف Excel'!$A:$AV,46,0)</f>
        <v>519</v>
      </c>
      <c r="N592" s="51">
        <f>VLOOKUP(A592,'[1]ناتج ملف Excel'!$A:$AV,47,0)</f>
        <v>1297.5</v>
      </c>
      <c r="O592" s="42">
        <v>0</v>
      </c>
      <c r="P592" s="47">
        <v>0</v>
      </c>
      <c r="Q592" s="48">
        <f t="shared" si="64"/>
        <v>583.875</v>
      </c>
      <c r="R592" s="48">
        <f t="shared" si="65"/>
        <v>291.9375</v>
      </c>
      <c r="S592" s="71">
        <f t="shared" si="66"/>
        <v>762.28125</v>
      </c>
      <c r="T592" s="47">
        <v>3080</v>
      </c>
      <c r="U592" s="48">
        <f t="shared" si="60"/>
        <v>1459.6875</v>
      </c>
      <c r="V592" s="42">
        <v>0</v>
      </c>
      <c r="W592" s="42">
        <v>0</v>
      </c>
      <c r="X592" s="42">
        <v>0</v>
      </c>
      <c r="Y592" s="42">
        <v>0</v>
      </c>
      <c r="Z592" s="42">
        <v>0</v>
      </c>
      <c r="AA592" s="3">
        <f t="shared" si="67"/>
        <v>13184.28125</v>
      </c>
      <c r="AB592" s="3">
        <f t="shared" si="61"/>
        <v>158211.375</v>
      </c>
      <c r="AC592" s="3">
        <f t="shared" si="68"/>
        <v>158211.375</v>
      </c>
    </row>
    <row r="593" spans="1:29" x14ac:dyDescent="0.2">
      <c r="A593" s="42">
        <v>700015</v>
      </c>
      <c r="B593" s="43" t="s">
        <v>269</v>
      </c>
      <c r="C593" s="42" t="s">
        <v>277</v>
      </c>
      <c r="D593" s="43" t="s">
        <v>39</v>
      </c>
      <c r="E593" s="43" t="s">
        <v>40</v>
      </c>
      <c r="F593" s="42" t="s">
        <v>301</v>
      </c>
      <c r="G593" s="43" t="s">
        <v>41</v>
      </c>
      <c r="H593" s="42">
        <v>38</v>
      </c>
      <c r="I593" s="44">
        <v>45970</v>
      </c>
      <c r="J593" s="43" t="s">
        <v>56</v>
      </c>
      <c r="K593" s="45">
        <v>0</v>
      </c>
      <c r="L593" s="46">
        <v>5190</v>
      </c>
      <c r="M593" s="51">
        <f>VLOOKUP(A593,'[1]ناتج ملف Excel'!$A:$AV,46,0)</f>
        <v>519</v>
      </c>
      <c r="N593" s="51">
        <f>VLOOKUP(A593,'[1]ناتج ملف Excel'!$A:$AV,47,0)</f>
        <v>1297.5</v>
      </c>
      <c r="O593" s="42">
        <v>0</v>
      </c>
      <c r="P593" s="47">
        <v>0</v>
      </c>
      <c r="Q593" s="48">
        <f t="shared" si="64"/>
        <v>583.875</v>
      </c>
      <c r="R593" s="48">
        <f t="shared" si="65"/>
        <v>291.9375</v>
      </c>
      <c r="S593" s="71">
        <f t="shared" si="66"/>
        <v>762.28125</v>
      </c>
      <c r="T593" s="47">
        <v>3080</v>
      </c>
      <c r="U593" s="48">
        <f t="shared" si="60"/>
        <v>1459.6875</v>
      </c>
      <c r="V593" s="42">
        <v>0</v>
      </c>
      <c r="W593" s="42">
        <v>0</v>
      </c>
      <c r="X593" s="42">
        <v>0</v>
      </c>
      <c r="Y593" s="42">
        <v>0</v>
      </c>
      <c r="Z593" s="42">
        <v>0</v>
      </c>
      <c r="AA593" s="3">
        <f t="shared" si="67"/>
        <v>13184.28125</v>
      </c>
      <c r="AB593" s="3">
        <f t="shared" si="61"/>
        <v>158211.375</v>
      </c>
      <c r="AC593" s="3">
        <f t="shared" si="68"/>
        <v>158211.375</v>
      </c>
    </row>
    <row r="594" spans="1:29" x14ac:dyDescent="0.2">
      <c r="A594" s="42">
        <v>700016</v>
      </c>
      <c r="B594" s="43" t="s">
        <v>267</v>
      </c>
      <c r="C594" s="42" t="s">
        <v>277</v>
      </c>
      <c r="D594" s="43" t="s">
        <v>39</v>
      </c>
      <c r="E594" s="43" t="s">
        <v>40</v>
      </c>
      <c r="F594" s="42" t="s">
        <v>301</v>
      </c>
      <c r="G594" s="43" t="s">
        <v>41</v>
      </c>
      <c r="H594" s="42">
        <v>31</v>
      </c>
      <c r="I594" s="44">
        <v>45970</v>
      </c>
      <c r="J594" s="43" t="s">
        <v>56</v>
      </c>
      <c r="K594" s="45">
        <v>0</v>
      </c>
      <c r="L594" s="46">
        <v>8000</v>
      </c>
      <c r="M594" s="51">
        <f>VLOOKUP(A594,'[1]ناتج ملف Excel'!$A:$AV,46,0)</f>
        <v>800</v>
      </c>
      <c r="N594" s="51">
        <f>VLOOKUP(A594,'[1]ناتج ملف Excel'!$A:$AV,47,0)</f>
        <v>2000</v>
      </c>
      <c r="O594" s="42">
        <v>0</v>
      </c>
      <c r="P594" s="47">
        <v>0</v>
      </c>
      <c r="Q594" s="48">
        <f t="shared" si="64"/>
        <v>900</v>
      </c>
      <c r="R594" s="48">
        <f t="shared" si="65"/>
        <v>450</v>
      </c>
      <c r="S594" s="71">
        <f t="shared" si="66"/>
        <v>1175</v>
      </c>
      <c r="T594" s="47">
        <v>3080</v>
      </c>
      <c r="U594" s="48">
        <f t="shared" si="60"/>
        <v>2250</v>
      </c>
      <c r="V594" s="42">
        <v>0</v>
      </c>
      <c r="W594" s="42">
        <v>0</v>
      </c>
      <c r="X594" s="42">
        <v>0</v>
      </c>
      <c r="Y594" s="42">
        <v>0</v>
      </c>
      <c r="Z594" s="42">
        <v>0</v>
      </c>
      <c r="AA594" s="3">
        <f t="shared" si="67"/>
        <v>18655</v>
      </c>
      <c r="AB594" s="3">
        <f t="shared" si="61"/>
        <v>223860</v>
      </c>
      <c r="AC594" s="3">
        <f t="shared" si="68"/>
        <v>223860</v>
      </c>
    </row>
    <row r="595" spans="1:29" x14ac:dyDescent="0.2">
      <c r="A595" s="42">
        <v>700017</v>
      </c>
      <c r="B595" s="43" t="s">
        <v>269</v>
      </c>
      <c r="C595" s="42" t="s">
        <v>277</v>
      </c>
      <c r="D595" s="43" t="s">
        <v>39</v>
      </c>
      <c r="E595" s="43" t="s">
        <v>40</v>
      </c>
      <c r="F595" s="42" t="s">
        <v>257</v>
      </c>
      <c r="G595" s="43" t="s">
        <v>41</v>
      </c>
      <c r="H595" s="42">
        <v>34</v>
      </c>
      <c r="I595" s="44">
        <v>45970</v>
      </c>
      <c r="J595" s="43" t="s">
        <v>56</v>
      </c>
      <c r="K595" s="45">
        <v>0</v>
      </c>
      <c r="L595" s="46">
        <v>6224</v>
      </c>
      <c r="M595" s="51">
        <f>VLOOKUP(A595,'[1]ناتج ملف Excel'!$A:$AV,46,0)</f>
        <v>622.4</v>
      </c>
      <c r="N595" s="51">
        <f>VLOOKUP(A595,'[1]ناتج ملف Excel'!$A:$AV,47,0)</f>
        <v>1556</v>
      </c>
      <c r="O595" s="42">
        <v>0</v>
      </c>
      <c r="P595" s="47">
        <v>0</v>
      </c>
      <c r="Q595" s="48">
        <f t="shared" si="64"/>
        <v>700.19999999999993</v>
      </c>
      <c r="R595" s="48">
        <f t="shared" si="65"/>
        <v>350.09999999999997</v>
      </c>
      <c r="S595" s="71">
        <f t="shared" si="66"/>
        <v>914.15</v>
      </c>
      <c r="T595" s="47">
        <v>3080</v>
      </c>
      <c r="U595" s="48">
        <f t="shared" si="60"/>
        <v>1750.5</v>
      </c>
      <c r="V595" s="42">
        <v>0</v>
      </c>
      <c r="W595" s="42">
        <v>0</v>
      </c>
      <c r="X595" s="42">
        <v>0</v>
      </c>
      <c r="Y595" s="42">
        <v>0</v>
      </c>
      <c r="Z595" s="42">
        <v>0</v>
      </c>
      <c r="AA595" s="3">
        <f t="shared" si="67"/>
        <v>15197.35</v>
      </c>
      <c r="AB595" s="3">
        <f t="shared" si="61"/>
        <v>182368.2</v>
      </c>
      <c r="AC595" s="3">
        <f t="shared" si="68"/>
        <v>182368.2</v>
      </c>
    </row>
    <row r="596" spans="1:29" x14ac:dyDescent="0.2">
      <c r="A596" s="42">
        <v>700018</v>
      </c>
      <c r="B596" s="43" t="s">
        <v>269</v>
      </c>
      <c r="C596" s="42" t="s">
        <v>277</v>
      </c>
      <c r="D596" s="43" t="s">
        <v>39</v>
      </c>
      <c r="E596" s="43" t="s">
        <v>40</v>
      </c>
      <c r="F596" s="42" t="s">
        <v>240</v>
      </c>
      <c r="G596" s="43" t="s">
        <v>41</v>
      </c>
      <c r="H596" s="42">
        <v>38</v>
      </c>
      <c r="I596" s="44">
        <v>45970</v>
      </c>
      <c r="J596" s="43" t="s">
        <v>56</v>
      </c>
      <c r="K596" s="45">
        <v>0</v>
      </c>
      <c r="L596" s="46">
        <v>5190</v>
      </c>
      <c r="M596" s="51">
        <f>VLOOKUP(A596,'[1]ناتج ملف Excel'!$A:$AV,46,0)</f>
        <v>519</v>
      </c>
      <c r="N596" s="51">
        <f>VLOOKUP(A596,'[1]ناتج ملف Excel'!$A:$AV,47,0)</f>
        <v>1297.5</v>
      </c>
      <c r="O596" s="42">
        <v>0</v>
      </c>
      <c r="P596" s="47">
        <v>0</v>
      </c>
      <c r="Q596" s="48">
        <f t="shared" si="64"/>
        <v>583.875</v>
      </c>
      <c r="R596" s="48">
        <f t="shared" si="65"/>
        <v>291.9375</v>
      </c>
      <c r="S596" s="71">
        <f t="shared" si="66"/>
        <v>762.28125</v>
      </c>
      <c r="T596" s="47">
        <v>3080</v>
      </c>
      <c r="U596" s="48">
        <f t="shared" si="60"/>
        <v>1459.6875</v>
      </c>
      <c r="V596" s="42">
        <v>0</v>
      </c>
      <c r="W596" s="42">
        <v>0</v>
      </c>
      <c r="X596" s="42">
        <v>0</v>
      </c>
      <c r="Y596" s="42">
        <v>0</v>
      </c>
      <c r="Z596" s="42">
        <v>0</v>
      </c>
      <c r="AA596" s="3">
        <f t="shared" si="67"/>
        <v>13184.28125</v>
      </c>
      <c r="AB596" s="3">
        <f t="shared" si="61"/>
        <v>158211.375</v>
      </c>
      <c r="AC596" s="3">
        <f t="shared" si="68"/>
        <v>158211.375</v>
      </c>
    </row>
    <row r="597" spans="1:29" x14ac:dyDescent="0.2">
      <c r="A597" s="42">
        <v>700020</v>
      </c>
      <c r="B597" s="43" t="s">
        <v>269</v>
      </c>
      <c r="C597" s="42" t="s">
        <v>277</v>
      </c>
      <c r="D597" s="43" t="s">
        <v>39</v>
      </c>
      <c r="E597" s="43" t="s">
        <v>40</v>
      </c>
      <c r="F597" s="42" t="s">
        <v>238</v>
      </c>
      <c r="G597" s="43" t="s">
        <v>41</v>
      </c>
      <c r="H597" s="42">
        <v>27</v>
      </c>
      <c r="I597" s="44">
        <v>45971</v>
      </c>
      <c r="J597" s="43" t="s">
        <v>56</v>
      </c>
      <c r="K597" s="45">
        <v>0</v>
      </c>
      <c r="L597" s="46">
        <v>5190</v>
      </c>
      <c r="M597" s="51">
        <f>VLOOKUP(A597,'[1]ناتج ملف Excel'!$A:$AV,46,0)</f>
        <v>519</v>
      </c>
      <c r="N597" s="51">
        <f>VLOOKUP(A597,'[1]ناتج ملف Excel'!$A:$AV,47,0)</f>
        <v>1297.5</v>
      </c>
      <c r="O597" s="42">
        <v>0</v>
      </c>
      <c r="P597" s="47">
        <v>0</v>
      </c>
      <c r="Q597" s="48">
        <f t="shared" si="64"/>
        <v>583.875</v>
      </c>
      <c r="R597" s="48">
        <f t="shared" si="65"/>
        <v>291.9375</v>
      </c>
      <c r="S597" s="71">
        <f t="shared" si="66"/>
        <v>762.28125</v>
      </c>
      <c r="T597" s="47">
        <v>3080</v>
      </c>
      <c r="U597" s="48">
        <f t="shared" si="60"/>
        <v>1459.6875</v>
      </c>
      <c r="V597" s="42">
        <v>0</v>
      </c>
      <c r="W597" s="42">
        <v>0</v>
      </c>
      <c r="X597" s="42">
        <v>0</v>
      </c>
      <c r="Y597" s="42">
        <v>0</v>
      </c>
      <c r="Z597" s="42">
        <v>0</v>
      </c>
      <c r="AA597" s="3">
        <f t="shared" si="67"/>
        <v>13184.28125</v>
      </c>
      <c r="AB597" s="3">
        <f t="shared" si="61"/>
        <v>158211.375</v>
      </c>
      <c r="AC597" s="3">
        <f t="shared" si="68"/>
        <v>158211.375</v>
      </c>
    </row>
    <row r="598" spans="1:29" x14ac:dyDescent="0.2">
      <c r="A598" s="42">
        <v>700021</v>
      </c>
      <c r="B598" s="43" t="s">
        <v>269</v>
      </c>
      <c r="C598" s="42" t="s">
        <v>277</v>
      </c>
      <c r="D598" s="43" t="s">
        <v>39</v>
      </c>
      <c r="E598" s="43" t="s">
        <v>40</v>
      </c>
      <c r="F598" s="42" t="s">
        <v>249</v>
      </c>
      <c r="G598" s="43" t="s">
        <v>41</v>
      </c>
      <c r="H598" s="42">
        <v>30</v>
      </c>
      <c r="I598" s="44">
        <v>45992</v>
      </c>
      <c r="J598" s="43" t="s">
        <v>56</v>
      </c>
      <c r="K598" s="45">
        <v>0</v>
      </c>
      <c r="L598" s="46">
        <v>5190</v>
      </c>
      <c r="M598" s="51">
        <f>VLOOKUP(A598,'[1]ناتج ملف Excel'!$A:$AV,46,0)</f>
        <v>519</v>
      </c>
      <c r="N598" s="51">
        <f>VLOOKUP(A598,'[1]ناتج ملف Excel'!$A:$AV,47,0)</f>
        <v>1297.5</v>
      </c>
      <c r="O598" s="42">
        <v>0</v>
      </c>
      <c r="P598" s="47">
        <v>0</v>
      </c>
      <c r="Q598" s="48">
        <f t="shared" si="64"/>
        <v>583.875</v>
      </c>
      <c r="R598" s="48">
        <f t="shared" si="65"/>
        <v>291.9375</v>
      </c>
      <c r="S598" s="71">
        <f t="shared" si="66"/>
        <v>762.28125</v>
      </c>
      <c r="T598" s="47">
        <v>3080</v>
      </c>
      <c r="U598" s="48">
        <f t="shared" si="60"/>
        <v>1459.6875</v>
      </c>
      <c r="V598" s="42">
        <v>0</v>
      </c>
      <c r="W598" s="42">
        <v>0</v>
      </c>
      <c r="X598" s="42">
        <v>0</v>
      </c>
      <c r="Y598" s="42">
        <v>0</v>
      </c>
      <c r="Z598" s="42">
        <v>0</v>
      </c>
      <c r="AA598" s="3">
        <f t="shared" si="67"/>
        <v>13184.28125</v>
      </c>
      <c r="AB598" s="3">
        <f t="shared" si="61"/>
        <v>158211.375</v>
      </c>
      <c r="AC598" s="3">
        <f t="shared" si="68"/>
        <v>158211.375</v>
      </c>
    </row>
    <row r="599" spans="1:29" x14ac:dyDescent="0.2">
      <c r="A599" s="42">
        <v>700022</v>
      </c>
      <c r="B599" s="43" t="s">
        <v>269</v>
      </c>
      <c r="C599" s="42" t="s">
        <v>277</v>
      </c>
      <c r="D599" s="43" t="s">
        <v>39</v>
      </c>
      <c r="E599" s="43" t="s">
        <v>40</v>
      </c>
      <c r="F599" s="42" t="s">
        <v>301</v>
      </c>
      <c r="G599" s="43" t="s">
        <v>41</v>
      </c>
      <c r="H599" s="42">
        <v>37</v>
      </c>
      <c r="I599" s="44">
        <v>46146</v>
      </c>
      <c r="J599" s="43" t="s">
        <v>56</v>
      </c>
      <c r="K599" s="45"/>
      <c r="L599" s="46">
        <v>5190</v>
      </c>
      <c r="M599" s="51">
        <f>VLOOKUP(A599,'[1]ناتج ملف Excel'!$A:$AV,46,0)</f>
        <v>519</v>
      </c>
      <c r="N599" s="51">
        <f>VLOOKUP(A599,'[1]ناتج ملف Excel'!$A:$AV,47,0)</f>
        <v>1297.5</v>
      </c>
      <c r="O599" s="42"/>
      <c r="P599" s="47"/>
      <c r="Q599" s="48">
        <f t="shared" si="64"/>
        <v>583.875</v>
      </c>
      <c r="R599" s="48">
        <f t="shared" si="65"/>
        <v>291.9375</v>
      </c>
      <c r="S599" s="71">
        <f t="shared" si="66"/>
        <v>762.28125</v>
      </c>
      <c r="T599" s="47">
        <v>3080</v>
      </c>
      <c r="U599" s="48">
        <f t="shared" si="60"/>
        <v>1459.6875</v>
      </c>
      <c r="V599" s="42">
        <v>0</v>
      </c>
      <c r="W599" s="42">
        <v>0</v>
      </c>
      <c r="X599" s="42">
        <v>0</v>
      </c>
      <c r="Y599" s="42">
        <v>0</v>
      </c>
      <c r="Z599" s="42">
        <v>0</v>
      </c>
      <c r="AA599" s="3">
        <f t="shared" si="67"/>
        <v>13184.28125</v>
      </c>
      <c r="AB599" s="3">
        <f t="shared" si="61"/>
        <v>158211.375</v>
      </c>
      <c r="AC599" s="3">
        <f t="shared" si="68"/>
        <v>158211.375</v>
      </c>
    </row>
    <row r="600" spans="1:29" x14ac:dyDescent="0.2">
      <c r="A600" s="42">
        <v>800000</v>
      </c>
      <c r="B600" s="43" t="s">
        <v>268</v>
      </c>
      <c r="C600" s="43" t="s">
        <v>28</v>
      </c>
      <c r="D600" s="43" t="s">
        <v>57</v>
      </c>
      <c r="E600" s="43" t="s">
        <v>57</v>
      </c>
      <c r="F600" s="42" t="s">
        <v>21</v>
      </c>
      <c r="G600" s="43" t="s">
        <v>21</v>
      </c>
      <c r="H600" s="42">
        <v>67</v>
      </c>
      <c r="I600" s="44">
        <v>44564</v>
      </c>
      <c r="J600" s="43" t="s">
        <v>22</v>
      </c>
      <c r="K600" s="45">
        <v>0</v>
      </c>
      <c r="L600" s="46">
        <v>7000</v>
      </c>
      <c r="M600" s="51">
        <v>0</v>
      </c>
      <c r="N600" s="51">
        <v>0</v>
      </c>
      <c r="O600" s="42">
        <v>0</v>
      </c>
      <c r="P600" s="47">
        <v>0</v>
      </c>
      <c r="Q600" s="48">
        <f t="shared" si="64"/>
        <v>583.33333333333337</v>
      </c>
      <c r="R600" s="48">
        <f t="shared" si="65"/>
        <v>291.66666666666669</v>
      </c>
      <c r="S600" s="71">
        <f t="shared" si="66"/>
        <v>822.5</v>
      </c>
      <c r="T600" s="47">
        <v>3080</v>
      </c>
      <c r="U600" s="48">
        <f t="shared" si="60"/>
        <v>1458.3333333333333</v>
      </c>
      <c r="V600" s="42">
        <v>0</v>
      </c>
      <c r="W600" s="42">
        <v>0</v>
      </c>
      <c r="X600" s="42">
        <v>0</v>
      </c>
      <c r="Y600" s="42">
        <v>0</v>
      </c>
      <c r="Z600" s="42">
        <v>0</v>
      </c>
      <c r="AA600" s="3">
        <f t="shared" si="67"/>
        <v>13235.833333333334</v>
      </c>
      <c r="AB600" s="3">
        <f t="shared" si="61"/>
        <v>158830</v>
      </c>
      <c r="AC600" s="3">
        <f t="shared" si="68"/>
        <v>158830</v>
      </c>
    </row>
    <row r="601" spans="1:29" x14ac:dyDescent="0.2">
      <c r="AA601" s="2">
        <f>SUM(AA4:AA600)</f>
        <v>11620861.011830287</v>
      </c>
      <c r="AB601" s="2">
        <f>SUM(AB4:AB600)</f>
        <v>139450332.14196339</v>
      </c>
      <c r="AC601" s="2">
        <f>SUM(AC4:AC600)</f>
        <v>219715347.14196354</v>
      </c>
    </row>
  </sheetData>
  <autoFilter ref="A3:AC601" xr:uid="{606EA723-C9FC-473A-8801-0B66E3C6F29A}"/>
  <conditionalFormatting sqref="A1:A1048576">
    <cfRule type="duplicateValues" dxfId="0" priority="1"/>
  </conditionalFormatting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58B1-9053-47C8-8576-37A8D98782E0}">
  <dimension ref="A1:B326"/>
  <sheetViews>
    <sheetView rightToLeft="1" workbookViewId="0">
      <selection activeCell="A6" sqref="A6"/>
    </sheetView>
  </sheetViews>
  <sheetFormatPr defaultRowHeight="12.75" x14ac:dyDescent="0.2"/>
  <sheetData>
    <row r="1" spans="1:2" x14ac:dyDescent="0.2">
      <c r="A1" t="s">
        <v>142</v>
      </c>
      <c r="B1" t="s">
        <v>3</v>
      </c>
    </row>
    <row r="2" spans="1:2" x14ac:dyDescent="0.2">
      <c r="A2">
        <v>400402</v>
      </c>
      <c r="B2" t="s">
        <v>143</v>
      </c>
    </row>
    <row r="3" spans="1:2" x14ac:dyDescent="0.2">
      <c r="A3">
        <v>400447</v>
      </c>
      <c r="B3" t="s">
        <v>144</v>
      </c>
    </row>
    <row r="4" spans="1:2" x14ac:dyDescent="0.2">
      <c r="A4">
        <v>400174</v>
      </c>
      <c r="B4" t="s">
        <v>81</v>
      </c>
    </row>
    <row r="5" spans="1:2" x14ac:dyDescent="0.2">
      <c r="A5">
        <v>400505</v>
      </c>
      <c r="B5" t="s">
        <v>145</v>
      </c>
    </row>
    <row r="6" spans="1:2" x14ac:dyDescent="0.2">
      <c r="A6">
        <v>400229</v>
      </c>
      <c r="B6" t="s">
        <v>80</v>
      </c>
    </row>
    <row r="7" spans="1:2" x14ac:dyDescent="0.2">
      <c r="A7">
        <v>400500</v>
      </c>
      <c r="B7" t="s">
        <v>146</v>
      </c>
    </row>
    <row r="8" spans="1:2" x14ac:dyDescent="0.2">
      <c r="A8">
        <v>400565</v>
      </c>
      <c r="B8" t="s">
        <v>147</v>
      </c>
    </row>
    <row r="9" spans="1:2" x14ac:dyDescent="0.2">
      <c r="A9">
        <v>400144</v>
      </c>
      <c r="B9" t="s">
        <v>148</v>
      </c>
    </row>
    <row r="10" spans="1:2" x14ac:dyDescent="0.2">
      <c r="A10">
        <v>400457</v>
      </c>
      <c r="B10" t="s">
        <v>149</v>
      </c>
    </row>
    <row r="11" spans="1:2" x14ac:dyDescent="0.2">
      <c r="A11">
        <v>400204</v>
      </c>
      <c r="B11" t="s">
        <v>89</v>
      </c>
    </row>
    <row r="12" spans="1:2" x14ac:dyDescent="0.2">
      <c r="A12">
        <v>400315</v>
      </c>
      <c r="B12" t="s">
        <v>150</v>
      </c>
    </row>
    <row r="13" spans="1:2" x14ac:dyDescent="0.2">
      <c r="A13">
        <v>400543</v>
      </c>
      <c r="B13" t="s">
        <v>151</v>
      </c>
    </row>
    <row r="14" spans="1:2" x14ac:dyDescent="0.2">
      <c r="A14">
        <v>400418</v>
      </c>
      <c r="B14" t="s">
        <v>143</v>
      </c>
    </row>
    <row r="15" spans="1:2" x14ac:dyDescent="0.2">
      <c r="A15">
        <v>400587</v>
      </c>
      <c r="B15" t="s">
        <v>152</v>
      </c>
    </row>
    <row r="16" spans="1:2" x14ac:dyDescent="0.2">
      <c r="A16">
        <v>400566</v>
      </c>
      <c r="B16" t="s">
        <v>153</v>
      </c>
    </row>
    <row r="17" spans="1:2" x14ac:dyDescent="0.2">
      <c r="A17">
        <v>400400</v>
      </c>
      <c r="B17" t="s">
        <v>143</v>
      </c>
    </row>
    <row r="18" spans="1:2" x14ac:dyDescent="0.2">
      <c r="A18">
        <v>400155</v>
      </c>
      <c r="B18" t="s">
        <v>85</v>
      </c>
    </row>
    <row r="19" spans="1:2" x14ac:dyDescent="0.2">
      <c r="A19">
        <v>400540</v>
      </c>
      <c r="B19" t="s">
        <v>154</v>
      </c>
    </row>
    <row r="20" spans="1:2" x14ac:dyDescent="0.2">
      <c r="A20">
        <v>400385</v>
      </c>
      <c r="B20" t="s">
        <v>143</v>
      </c>
    </row>
    <row r="21" spans="1:2" x14ac:dyDescent="0.2">
      <c r="A21">
        <v>400362</v>
      </c>
      <c r="B21" t="s">
        <v>155</v>
      </c>
    </row>
    <row r="22" spans="1:2" x14ac:dyDescent="0.2">
      <c r="A22">
        <v>400544</v>
      </c>
      <c r="B22" t="s">
        <v>156</v>
      </c>
    </row>
    <row r="23" spans="1:2" x14ac:dyDescent="0.2">
      <c r="A23">
        <v>400492</v>
      </c>
      <c r="B23" t="s">
        <v>157</v>
      </c>
    </row>
    <row r="24" spans="1:2" x14ac:dyDescent="0.2">
      <c r="A24">
        <v>400044</v>
      </c>
      <c r="B24" t="s">
        <v>158</v>
      </c>
    </row>
    <row r="25" spans="1:2" x14ac:dyDescent="0.2">
      <c r="A25">
        <v>700011</v>
      </c>
      <c r="B25" t="s">
        <v>159</v>
      </c>
    </row>
    <row r="26" spans="1:2" x14ac:dyDescent="0.2">
      <c r="A26">
        <v>400255</v>
      </c>
      <c r="B26" t="s">
        <v>160</v>
      </c>
    </row>
    <row r="27" spans="1:2" x14ac:dyDescent="0.2">
      <c r="A27">
        <v>400419</v>
      </c>
      <c r="B27" t="s">
        <v>143</v>
      </c>
    </row>
    <row r="28" spans="1:2" x14ac:dyDescent="0.2">
      <c r="A28">
        <v>400286</v>
      </c>
      <c r="B28" t="s">
        <v>161</v>
      </c>
    </row>
    <row r="29" spans="1:2" x14ac:dyDescent="0.2">
      <c r="A29">
        <v>400322</v>
      </c>
      <c r="B29" t="s">
        <v>162</v>
      </c>
    </row>
    <row r="30" spans="1:2" x14ac:dyDescent="0.2">
      <c r="A30">
        <v>400230</v>
      </c>
      <c r="B30" t="s">
        <v>79</v>
      </c>
    </row>
    <row r="31" spans="1:2" x14ac:dyDescent="0.2">
      <c r="A31">
        <v>400181</v>
      </c>
      <c r="B31" t="s">
        <v>89</v>
      </c>
    </row>
    <row r="32" spans="1:2" x14ac:dyDescent="0.2">
      <c r="A32">
        <v>400495</v>
      </c>
      <c r="B32" t="s">
        <v>163</v>
      </c>
    </row>
    <row r="33" spans="1:2" x14ac:dyDescent="0.2">
      <c r="A33">
        <v>400428</v>
      </c>
      <c r="B33" t="s">
        <v>144</v>
      </c>
    </row>
    <row r="34" spans="1:2" x14ac:dyDescent="0.2">
      <c r="A34">
        <v>400293</v>
      </c>
      <c r="B34" t="s">
        <v>159</v>
      </c>
    </row>
    <row r="35" spans="1:2" x14ac:dyDescent="0.2">
      <c r="A35">
        <v>400032</v>
      </c>
      <c r="B35" t="s">
        <v>164</v>
      </c>
    </row>
    <row r="36" spans="1:2" x14ac:dyDescent="0.2">
      <c r="A36">
        <v>400423</v>
      </c>
      <c r="B36" t="s">
        <v>144</v>
      </c>
    </row>
    <row r="37" spans="1:2" x14ac:dyDescent="0.2">
      <c r="A37">
        <v>400248</v>
      </c>
      <c r="B37" t="s">
        <v>85</v>
      </c>
    </row>
    <row r="38" spans="1:2" x14ac:dyDescent="0.2">
      <c r="A38">
        <v>400482</v>
      </c>
      <c r="B38" t="s">
        <v>165</v>
      </c>
    </row>
    <row r="39" spans="1:2" x14ac:dyDescent="0.2">
      <c r="A39">
        <v>400275</v>
      </c>
      <c r="B39" t="s">
        <v>148</v>
      </c>
    </row>
    <row r="40" spans="1:2" x14ac:dyDescent="0.2">
      <c r="A40">
        <v>400391</v>
      </c>
      <c r="B40" t="s">
        <v>143</v>
      </c>
    </row>
    <row r="41" spans="1:2" x14ac:dyDescent="0.2">
      <c r="A41">
        <v>400355</v>
      </c>
      <c r="B41" t="s">
        <v>166</v>
      </c>
    </row>
    <row r="42" spans="1:2" x14ac:dyDescent="0.2">
      <c r="A42">
        <v>400506</v>
      </c>
      <c r="B42" t="s">
        <v>145</v>
      </c>
    </row>
    <row r="43" spans="1:2" x14ac:dyDescent="0.2">
      <c r="A43">
        <v>700009</v>
      </c>
      <c r="B43" t="s">
        <v>167</v>
      </c>
    </row>
    <row r="44" spans="1:2" x14ac:dyDescent="0.2">
      <c r="A44">
        <v>400278</v>
      </c>
      <c r="B44" t="s">
        <v>168</v>
      </c>
    </row>
    <row r="45" spans="1:2" x14ac:dyDescent="0.2">
      <c r="A45">
        <v>400363</v>
      </c>
      <c r="B45" t="s">
        <v>155</v>
      </c>
    </row>
    <row r="46" spans="1:2" x14ac:dyDescent="0.2">
      <c r="A46">
        <v>400421</v>
      </c>
      <c r="B46" t="s">
        <v>144</v>
      </c>
    </row>
    <row r="47" spans="1:2" x14ac:dyDescent="0.2">
      <c r="A47">
        <v>400605</v>
      </c>
      <c r="B47" t="s">
        <v>169</v>
      </c>
    </row>
    <row r="48" spans="1:2" x14ac:dyDescent="0.2">
      <c r="A48">
        <v>400574</v>
      </c>
      <c r="B48" t="s">
        <v>170</v>
      </c>
    </row>
    <row r="49" spans="1:2" x14ac:dyDescent="0.2">
      <c r="A49">
        <v>400372</v>
      </c>
      <c r="B49" t="s">
        <v>171</v>
      </c>
    </row>
    <row r="50" spans="1:2" x14ac:dyDescent="0.2">
      <c r="A50">
        <v>700010</v>
      </c>
      <c r="B50" t="s">
        <v>167</v>
      </c>
    </row>
    <row r="51" spans="1:2" x14ac:dyDescent="0.2">
      <c r="A51">
        <v>400274</v>
      </c>
      <c r="B51" t="s">
        <v>143</v>
      </c>
    </row>
    <row r="52" spans="1:2" x14ac:dyDescent="0.2">
      <c r="A52">
        <v>400585</v>
      </c>
      <c r="B52" t="s">
        <v>172</v>
      </c>
    </row>
    <row r="53" spans="1:2" x14ac:dyDescent="0.2">
      <c r="A53">
        <v>400453</v>
      </c>
      <c r="B53" t="s">
        <v>74</v>
      </c>
    </row>
    <row r="54" spans="1:2" x14ac:dyDescent="0.2">
      <c r="A54">
        <v>400335</v>
      </c>
      <c r="B54" t="s">
        <v>173</v>
      </c>
    </row>
    <row r="55" spans="1:2" x14ac:dyDescent="0.2">
      <c r="A55">
        <v>400403</v>
      </c>
      <c r="B55" t="s">
        <v>144</v>
      </c>
    </row>
    <row r="56" spans="1:2" x14ac:dyDescent="0.2">
      <c r="A56">
        <v>400538</v>
      </c>
      <c r="B56" t="s">
        <v>174</v>
      </c>
    </row>
    <row r="57" spans="1:2" x14ac:dyDescent="0.2">
      <c r="A57">
        <v>400287</v>
      </c>
      <c r="B57" t="s">
        <v>161</v>
      </c>
    </row>
    <row r="58" spans="1:2" x14ac:dyDescent="0.2">
      <c r="A58">
        <v>400180</v>
      </c>
      <c r="B58" t="s">
        <v>81</v>
      </c>
    </row>
    <row r="59" spans="1:2" x14ac:dyDescent="0.2">
      <c r="A59">
        <v>400296</v>
      </c>
      <c r="B59" t="s">
        <v>159</v>
      </c>
    </row>
    <row r="60" spans="1:2" x14ac:dyDescent="0.2">
      <c r="A60">
        <v>400280</v>
      </c>
      <c r="B60" t="s">
        <v>161</v>
      </c>
    </row>
    <row r="61" spans="1:2" x14ac:dyDescent="0.2">
      <c r="A61">
        <v>400303</v>
      </c>
      <c r="B61" t="s">
        <v>175</v>
      </c>
    </row>
    <row r="62" spans="1:2" x14ac:dyDescent="0.2">
      <c r="A62">
        <v>400575</v>
      </c>
      <c r="B62" t="s">
        <v>176</v>
      </c>
    </row>
    <row r="63" spans="1:2" x14ac:dyDescent="0.2">
      <c r="A63">
        <v>400281</v>
      </c>
      <c r="B63" t="s">
        <v>161</v>
      </c>
    </row>
    <row r="64" spans="1:2" x14ac:dyDescent="0.2">
      <c r="A64">
        <v>400206</v>
      </c>
      <c r="B64" t="s">
        <v>150</v>
      </c>
    </row>
    <row r="65" spans="1:2" x14ac:dyDescent="0.2">
      <c r="A65">
        <v>400201</v>
      </c>
      <c r="B65" t="s">
        <v>90</v>
      </c>
    </row>
    <row r="66" spans="1:2" x14ac:dyDescent="0.2">
      <c r="A66">
        <v>400432</v>
      </c>
      <c r="B66" t="s">
        <v>144</v>
      </c>
    </row>
    <row r="67" spans="1:2" x14ac:dyDescent="0.2">
      <c r="A67">
        <v>400348</v>
      </c>
      <c r="B67" t="s">
        <v>166</v>
      </c>
    </row>
    <row r="68" spans="1:2" x14ac:dyDescent="0.2">
      <c r="A68">
        <v>400508</v>
      </c>
      <c r="B68" t="s">
        <v>145</v>
      </c>
    </row>
    <row r="69" spans="1:2" x14ac:dyDescent="0.2">
      <c r="A69">
        <v>400182</v>
      </c>
      <c r="B69" t="s">
        <v>75</v>
      </c>
    </row>
    <row r="70" spans="1:2" x14ac:dyDescent="0.2">
      <c r="A70">
        <v>400261</v>
      </c>
      <c r="B70" t="s">
        <v>177</v>
      </c>
    </row>
    <row r="71" spans="1:2" x14ac:dyDescent="0.2">
      <c r="A71">
        <v>400234</v>
      </c>
      <c r="B71" t="s">
        <v>82</v>
      </c>
    </row>
    <row r="72" spans="1:2" x14ac:dyDescent="0.2">
      <c r="A72">
        <v>400399</v>
      </c>
      <c r="B72" t="s">
        <v>143</v>
      </c>
    </row>
    <row r="73" spans="1:2" x14ac:dyDescent="0.2">
      <c r="A73">
        <v>400588</v>
      </c>
      <c r="B73" t="s">
        <v>178</v>
      </c>
    </row>
    <row r="74" spans="1:2" x14ac:dyDescent="0.2">
      <c r="A74">
        <v>700021</v>
      </c>
      <c r="B74" t="s">
        <v>175</v>
      </c>
    </row>
    <row r="75" spans="1:2" x14ac:dyDescent="0.2">
      <c r="A75">
        <v>400298</v>
      </c>
      <c r="B75" t="s">
        <v>159</v>
      </c>
    </row>
    <row r="76" spans="1:2" x14ac:dyDescent="0.2">
      <c r="A76">
        <v>400577</v>
      </c>
      <c r="B76" t="s">
        <v>179</v>
      </c>
    </row>
    <row r="77" spans="1:2" x14ac:dyDescent="0.2">
      <c r="A77">
        <v>400475</v>
      </c>
      <c r="B77" t="s">
        <v>180</v>
      </c>
    </row>
    <row r="78" spans="1:2" x14ac:dyDescent="0.2">
      <c r="A78">
        <v>400226</v>
      </c>
      <c r="B78" t="s">
        <v>83</v>
      </c>
    </row>
    <row r="79" spans="1:2" x14ac:dyDescent="0.2">
      <c r="A79">
        <v>400273</v>
      </c>
      <c r="B79" t="s">
        <v>144</v>
      </c>
    </row>
    <row r="80" spans="1:2" x14ac:dyDescent="0.2">
      <c r="A80">
        <v>400276</v>
      </c>
      <c r="B80" t="s">
        <v>143</v>
      </c>
    </row>
    <row r="81" spans="1:2" x14ac:dyDescent="0.2">
      <c r="A81">
        <v>400260</v>
      </c>
      <c r="B81" t="s">
        <v>181</v>
      </c>
    </row>
    <row r="82" spans="1:2" x14ac:dyDescent="0.2">
      <c r="A82">
        <v>400236</v>
      </c>
      <c r="B82" t="s">
        <v>182</v>
      </c>
    </row>
    <row r="83" spans="1:2" x14ac:dyDescent="0.2">
      <c r="A83">
        <v>400033</v>
      </c>
      <c r="B83" t="s">
        <v>77</v>
      </c>
    </row>
    <row r="84" spans="1:2" x14ac:dyDescent="0.2">
      <c r="A84">
        <v>400171</v>
      </c>
      <c r="B84" t="s">
        <v>88</v>
      </c>
    </row>
    <row r="85" spans="1:2" x14ac:dyDescent="0.2">
      <c r="A85">
        <v>400376</v>
      </c>
      <c r="B85" t="s">
        <v>183</v>
      </c>
    </row>
    <row r="86" spans="1:2" x14ac:dyDescent="0.2">
      <c r="A86">
        <v>400554</v>
      </c>
      <c r="B86" t="s">
        <v>174</v>
      </c>
    </row>
    <row r="87" spans="1:2" x14ac:dyDescent="0.2">
      <c r="A87">
        <v>400580</v>
      </c>
      <c r="B87" t="s">
        <v>184</v>
      </c>
    </row>
    <row r="88" spans="1:2" x14ac:dyDescent="0.2">
      <c r="A88">
        <v>400379</v>
      </c>
      <c r="B88" t="s">
        <v>185</v>
      </c>
    </row>
    <row r="89" spans="1:2" x14ac:dyDescent="0.2">
      <c r="A89">
        <v>400190</v>
      </c>
      <c r="B89" t="s">
        <v>81</v>
      </c>
    </row>
    <row r="90" spans="1:2" x14ac:dyDescent="0.2">
      <c r="A90">
        <v>400520</v>
      </c>
      <c r="B90" t="s">
        <v>186</v>
      </c>
    </row>
    <row r="91" spans="1:2" x14ac:dyDescent="0.2">
      <c r="A91">
        <v>400488</v>
      </c>
      <c r="B91" t="s">
        <v>187</v>
      </c>
    </row>
    <row r="92" spans="1:2" x14ac:dyDescent="0.2">
      <c r="A92">
        <v>400523</v>
      </c>
      <c r="B92" t="s">
        <v>188</v>
      </c>
    </row>
    <row r="93" spans="1:2" x14ac:dyDescent="0.2">
      <c r="A93">
        <v>400416</v>
      </c>
      <c r="B93" t="s">
        <v>143</v>
      </c>
    </row>
    <row r="94" spans="1:2" x14ac:dyDescent="0.2">
      <c r="A94">
        <v>400450</v>
      </c>
      <c r="B94" t="s">
        <v>169</v>
      </c>
    </row>
    <row r="95" spans="1:2" x14ac:dyDescent="0.2">
      <c r="A95">
        <v>400219</v>
      </c>
      <c r="B95" t="s">
        <v>80</v>
      </c>
    </row>
    <row r="96" spans="1:2" x14ac:dyDescent="0.2">
      <c r="A96">
        <v>400289</v>
      </c>
      <c r="B96" t="s">
        <v>161</v>
      </c>
    </row>
    <row r="97" spans="1:2" x14ac:dyDescent="0.2">
      <c r="A97">
        <v>400607</v>
      </c>
      <c r="B97" t="s">
        <v>162</v>
      </c>
    </row>
    <row r="98" spans="1:2" x14ac:dyDescent="0.2">
      <c r="A98">
        <v>400364</v>
      </c>
      <c r="B98" t="s">
        <v>155</v>
      </c>
    </row>
    <row r="99" spans="1:2" x14ac:dyDescent="0.2">
      <c r="A99">
        <v>400568</v>
      </c>
      <c r="B99" t="s">
        <v>189</v>
      </c>
    </row>
    <row r="100" spans="1:2" x14ac:dyDescent="0.2">
      <c r="A100">
        <v>400541</v>
      </c>
      <c r="B100" t="s">
        <v>190</v>
      </c>
    </row>
    <row r="101" spans="1:2" x14ac:dyDescent="0.2">
      <c r="A101">
        <v>400223</v>
      </c>
      <c r="B101" t="s">
        <v>164</v>
      </c>
    </row>
    <row r="102" spans="1:2" x14ac:dyDescent="0.2">
      <c r="A102">
        <v>400461</v>
      </c>
      <c r="B102" t="s">
        <v>191</v>
      </c>
    </row>
    <row r="103" spans="1:2" x14ac:dyDescent="0.2">
      <c r="A103">
        <v>400365</v>
      </c>
      <c r="B103" t="s">
        <v>177</v>
      </c>
    </row>
    <row r="104" spans="1:2" x14ac:dyDescent="0.2">
      <c r="A104">
        <v>400394</v>
      </c>
      <c r="B104" t="s">
        <v>143</v>
      </c>
    </row>
    <row r="105" spans="1:2" x14ac:dyDescent="0.2">
      <c r="A105">
        <v>400061</v>
      </c>
      <c r="B105" t="s">
        <v>158</v>
      </c>
    </row>
    <row r="106" spans="1:2" x14ac:dyDescent="0.2">
      <c r="A106">
        <v>400377</v>
      </c>
      <c r="B106" t="s">
        <v>183</v>
      </c>
    </row>
    <row r="107" spans="1:2" x14ac:dyDescent="0.2">
      <c r="A107">
        <v>400396</v>
      </c>
      <c r="B107" t="s">
        <v>148</v>
      </c>
    </row>
    <row r="108" spans="1:2" x14ac:dyDescent="0.2">
      <c r="A108">
        <v>400411</v>
      </c>
      <c r="B108" t="s">
        <v>143</v>
      </c>
    </row>
    <row r="109" spans="1:2" x14ac:dyDescent="0.2">
      <c r="A109">
        <v>400576</v>
      </c>
      <c r="B109" t="s">
        <v>192</v>
      </c>
    </row>
    <row r="110" spans="1:2" x14ac:dyDescent="0.2">
      <c r="A110">
        <v>400346</v>
      </c>
      <c r="B110" t="s">
        <v>166</v>
      </c>
    </row>
    <row r="111" spans="1:2" x14ac:dyDescent="0.2">
      <c r="A111">
        <v>400235</v>
      </c>
      <c r="B111" t="s">
        <v>82</v>
      </c>
    </row>
    <row r="112" spans="1:2" x14ac:dyDescent="0.2">
      <c r="A112">
        <v>400542</v>
      </c>
      <c r="B112" t="s">
        <v>190</v>
      </c>
    </row>
    <row r="113" spans="1:2" x14ac:dyDescent="0.2">
      <c r="A113">
        <v>400123</v>
      </c>
      <c r="B113" t="s">
        <v>77</v>
      </c>
    </row>
    <row r="114" spans="1:2" x14ac:dyDescent="0.2">
      <c r="A114">
        <v>400532</v>
      </c>
      <c r="B114" t="s">
        <v>180</v>
      </c>
    </row>
    <row r="115" spans="1:2" x14ac:dyDescent="0.2">
      <c r="A115">
        <v>400612</v>
      </c>
      <c r="B115" t="s">
        <v>181</v>
      </c>
    </row>
    <row r="116" spans="1:2" x14ac:dyDescent="0.2">
      <c r="A116">
        <v>400476</v>
      </c>
      <c r="B116" t="s">
        <v>180</v>
      </c>
    </row>
    <row r="117" spans="1:2" x14ac:dyDescent="0.2">
      <c r="A117">
        <v>400321</v>
      </c>
      <c r="B117" t="s">
        <v>162</v>
      </c>
    </row>
    <row r="118" spans="1:2" x14ac:dyDescent="0.2">
      <c r="A118">
        <v>400222</v>
      </c>
      <c r="B118" t="s">
        <v>160</v>
      </c>
    </row>
    <row r="119" spans="1:2" x14ac:dyDescent="0.2">
      <c r="A119">
        <v>400545</v>
      </c>
      <c r="B119" t="s">
        <v>147</v>
      </c>
    </row>
    <row r="120" spans="1:2" x14ac:dyDescent="0.2">
      <c r="A120">
        <v>400129</v>
      </c>
      <c r="B120" t="s">
        <v>79</v>
      </c>
    </row>
    <row r="121" spans="1:2" x14ac:dyDescent="0.2">
      <c r="A121">
        <v>400383</v>
      </c>
      <c r="B121" t="s">
        <v>143</v>
      </c>
    </row>
    <row r="122" spans="1:2" x14ac:dyDescent="0.2">
      <c r="A122">
        <v>400430</v>
      </c>
      <c r="B122" t="s">
        <v>144</v>
      </c>
    </row>
    <row r="123" spans="1:2" x14ac:dyDescent="0.2">
      <c r="A123">
        <v>400301</v>
      </c>
      <c r="B123" t="s">
        <v>175</v>
      </c>
    </row>
    <row r="124" spans="1:2" x14ac:dyDescent="0.2">
      <c r="A124">
        <v>400134</v>
      </c>
      <c r="B124" t="s">
        <v>79</v>
      </c>
    </row>
    <row r="125" spans="1:2" x14ac:dyDescent="0.2">
      <c r="A125">
        <v>400569</v>
      </c>
      <c r="B125" t="s">
        <v>189</v>
      </c>
    </row>
    <row r="126" spans="1:2" x14ac:dyDescent="0.2">
      <c r="A126">
        <v>400238</v>
      </c>
      <c r="B126" t="s">
        <v>90</v>
      </c>
    </row>
    <row r="127" spans="1:2" x14ac:dyDescent="0.2">
      <c r="A127">
        <v>400593</v>
      </c>
      <c r="B127" t="s">
        <v>161</v>
      </c>
    </row>
    <row r="128" spans="1:2" x14ac:dyDescent="0.2">
      <c r="A128">
        <v>400546</v>
      </c>
      <c r="B128" t="s">
        <v>193</v>
      </c>
    </row>
    <row r="129" spans="1:2" x14ac:dyDescent="0.2">
      <c r="A129">
        <v>400557</v>
      </c>
      <c r="B129" t="s">
        <v>194</v>
      </c>
    </row>
    <row r="130" spans="1:2" x14ac:dyDescent="0.2">
      <c r="A130">
        <v>400440</v>
      </c>
      <c r="B130" t="s">
        <v>195</v>
      </c>
    </row>
    <row r="131" spans="1:2" x14ac:dyDescent="0.2">
      <c r="A131">
        <v>400514</v>
      </c>
      <c r="B131" t="s">
        <v>196</v>
      </c>
    </row>
    <row r="132" spans="1:2" x14ac:dyDescent="0.2">
      <c r="A132">
        <v>700005</v>
      </c>
      <c r="B132" t="s">
        <v>171</v>
      </c>
    </row>
    <row r="133" spans="1:2" x14ac:dyDescent="0.2">
      <c r="A133">
        <v>400617</v>
      </c>
      <c r="B133" t="s">
        <v>143</v>
      </c>
    </row>
    <row r="134" spans="1:2" x14ac:dyDescent="0.2">
      <c r="A134">
        <v>400068</v>
      </c>
      <c r="B134" t="s">
        <v>197</v>
      </c>
    </row>
    <row r="135" spans="1:2" x14ac:dyDescent="0.2">
      <c r="A135">
        <v>400291</v>
      </c>
      <c r="B135" t="s">
        <v>161</v>
      </c>
    </row>
    <row r="136" spans="1:2" x14ac:dyDescent="0.2">
      <c r="A136">
        <v>400480</v>
      </c>
      <c r="B136" t="s">
        <v>198</v>
      </c>
    </row>
    <row r="137" spans="1:2" x14ac:dyDescent="0.2">
      <c r="A137">
        <v>400037</v>
      </c>
      <c r="B137" t="s">
        <v>158</v>
      </c>
    </row>
    <row r="138" spans="1:2" x14ac:dyDescent="0.2">
      <c r="A138">
        <v>400231</v>
      </c>
      <c r="B138" t="s">
        <v>92</v>
      </c>
    </row>
    <row r="139" spans="1:2" x14ac:dyDescent="0.2">
      <c r="A139">
        <v>400611</v>
      </c>
      <c r="B139" t="s">
        <v>181</v>
      </c>
    </row>
    <row r="140" spans="1:2" x14ac:dyDescent="0.2">
      <c r="A140">
        <v>400589</v>
      </c>
      <c r="B140" t="s">
        <v>199</v>
      </c>
    </row>
    <row r="141" spans="1:2" x14ac:dyDescent="0.2">
      <c r="A141">
        <v>400549</v>
      </c>
      <c r="B141" t="s">
        <v>188</v>
      </c>
    </row>
    <row r="142" spans="1:2" x14ac:dyDescent="0.2">
      <c r="A142">
        <v>400556</v>
      </c>
      <c r="B142" t="s">
        <v>194</v>
      </c>
    </row>
    <row r="143" spans="1:2" x14ac:dyDescent="0.2">
      <c r="A143">
        <v>400290</v>
      </c>
      <c r="B143" t="s">
        <v>161</v>
      </c>
    </row>
    <row r="144" spans="1:2" x14ac:dyDescent="0.2">
      <c r="A144">
        <v>400077</v>
      </c>
      <c r="B144" t="s">
        <v>197</v>
      </c>
    </row>
    <row r="145" spans="1:2" x14ac:dyDescent="0.2">
      <c r="A145">
        <v>400489</v>
      </c>
      <c r="B145" t="s">
        <v>187</v>
      </c>
    </row>
    <row r="146" spans="1:2" x14ac:dyDescent="0.2">
      <c r="A146">
        <v>700014</v>
      </c>
      <c r="B146" t="s">
        <v>167</v>
      </c>
    </row>
    <row r="147" spans="1:2" x14ac:dyDescent="0.2">
      <c r="A147">
        <v>400330</v>
      </c>
      <c r="B147" t="s">
        <v>169</v>
      </c>
    </row>
    <row r="148" spans="1:2" x14ac:dyDescent="0.2">
      <c r="A148">
        <v>400338</v>
      </c>
      <c r="B148" t="s">
        <v>173</v>
      </c>
    </row>
    <row r="149" spans="1:2" x14ac:dyDescent="0.2">
      <c r="A149">
        <v>400218</v>
      </c>
      <c r="B149" t="s">
        <v>89</v>
      </c>
    </row>
    <row r="150" spans="1:2" x14ac:dyDescent="0.2">
      <c r="A150">
        <v>400306</v>
      </c>
      <c r="B150" t="s">
        <v>175</v>
      </c>
    </row>
    <row r="151" spans="1:2" x14ac:dyDescent="0.2">
      <c r="A151">
        <v>400309</v>
      </c>
      <c r="B151" t="s">
        <v>175</v>
      </c>
    </row>
    <row r="152" spans="1:2" x14ac:dyDescent="0.2">
      <c r="A152">
        <v>400375</v>
      </c>
      <c r="B152" t="s">
        <v>183</v>
      </c>
    </row>
    <row r="153" spans="1:2" x14ac:dyDescent="0.2">
      <c r="A153">
        <v>400128</v>
      </c>
      <c r="B153" t="s">
        <v>81</v>
      </c>
    </row>
    <row r="154" spans="1:2" x14ac:dyDescent="0.2">
      <c r="A154">
        <v>400404</v>
      </c>
      <c r="B154" t="s">
        <v>143</v>
      </c>
    </row>
    <row r="155" spans="1:2" x14ac:dyDescent="0.2">
      <c r="A155">
        <v>400392</v>
      </c>
      <c r="B155" t="s">
        <v>143</v>
      </c>
    </row>
    <row r="156" spans="1:2" x14ac:dyDescent="0.2">
      <c r="A156">
        <v>400388</v>
      </c>
      <c r="B156" t="s">
        <v>143</v>
      </c>
    </row>
    <row r="157" spans="1:2" x14ac:dyDescent="0.2">
      <c r="A157">
        <v>400420</v>
      </c>
      <c r="B157" t="s">
        <v>144</v>
      </c>
    </row>
    <row r="158" spans="1:2" x14ac:dyDescent="0.2">
      <c r="A158">
        <v>700013</v>
      </c>
      <c r="B158" t="s">
        <v>167</v>
      </c>
    </row>
    <row r="159" spans="1:2" x14ac:dyDescent="0.2">
      <c r="A159">
        <v>400327</v>
      </c>
      <c r="B159" t="s">
        <v>150</v>
      </c>
    </row>
    <row r="160" spans="1:2" x14ac:dyDescent="0.2">
      <c r="A160">
        <v>400398</v>
      </c>
      <c r="B160" t="s">
        <v>200</v>
      </c>
    </row>
    <row r="161" spans="1:2" x14ac:dyDescent="0.2">
      <c r="A161">
        <v>400051</v>
      </c>
      <c r="B161" t="s">
        <v>197</v>
      </c>
    </row>
    <row r="162" spans="1:2" x14ac:dyDescent="0.2">
      <c r="A162">
        <v>400162</v>
      </c>
      <c r="B162" t="s">
        <v>160</v>
      </c>
    </row>
    <row r="163" spans="1:2" x14ac:dyDescent="0.2">
      <c r="A163">
        <v>400529</v>
      </c>
      <c r="B163" t="s">
        <v>201</v>
      </c>
    </row>
    <row r="164" spans="1:2" x14ac:dyDescent="0.2">
      <c r="A164">
        <v>700016</v>
      </c>
      <c r="B164" t="s">
        <v>167</v>
      </c>
    </row>
    <row r="165" spans="1:2" x14ac:dyDescent="0.2">
      <c r="A165">
        <v>400459</v>
      </c>
      <c r="B165" t="s">
        <v>191</v>
      </c>
    </row>
    <row r="166" spans="1:2" x14ac:dyDescent="0.2">
      <c r="A166">
        <v>400463</v>
      </c>
      <c r="B166" t="s">
        <v>74</v>
      </c>
    </row>
    <row r="167" spans="1:2" x14ac:dyDescent="0.2">
      <c r="A167">
        <v>400203</v>
      </c>
      <c r="B167" t="s">
        <v>79</v>
      </c>
    </row>
    <row r="168" spans="1:2" x14ac:dyDescent="0.2">
      <c r="A168">
        <v>400246</v>
      </c>
      <c r="B168" t="s">
        <v>85</v>
      </c>
    </row>
    <row r="169" spans="1:2" x14ac:dyDescent="0.2">
      <c r="A169">
        <v>400471</v>
      </c>
      <c r="B169" t="s">
        <v>202</v>
      </c>
    </row>
    <row r="170" spans="1:2" x14ac:dyDescent="0.2">
      <c r="A170">
        <v>400249</v>
      </c>
      <c r="B170" t="s">
        <v>88</v>
      </c>
    </row>
    <row r="171" spans="1:2" x14ac:dyDescent="0.2">
      <c r="A171">
        <v>400193</v>
      </c>
      <c r="B171" t="s">
        <v>160</v>
      </c>
    </row>
    <row r="172" spans="1:2" x14ac:dyDescent="0.2">
      <c r="A172">
        <v>400527</v>
      </c>
      <c r="B172" t="s">
        <v>203</v>
      </c>
    </row>
    <row r="173" spans="1:2" x14ac:dyDescent="0.2">
      <c r="A173">
        <v>400386</v>
      </c>
      <c r="B173" t="s">
        <v>143</v>
      </c>
    </row>
    <row r="174" spans="1:2" x14ac:dyDescent="0.2">
      <c r="A174">
        <v>400472</v>
      </c>
      <c r="B174" t="s">
        <v>202</v>
      </c>
    </row>
    <row r="175" spans="1:2" x14ac:dyDescent="0.2">
      <c r="A175">
        <v>400510</v>
      </c>
      <c r="B175" t="s">
        <v>147</v>
      </c>
    </row>
    <row r="176" spans="1:2" x14ac:dyDescent="0.2">
      <c r="A176">
        <v>400564</v>
      </c>
      <c r="B176" t="s">
        <v>156</v>
      </c>
    </row>
    <row r="177" spans="1:2" x14ac:dyDescent="0.2">
      <c r="A177">
        <v>400426</v>
      </c>
      <c r="B177" t="s">
        <v>144</v>
      </c>
    </row>
    <row r="178" spans="1:2" x14ac:dyDescent="0.2">
      <c r="A178">
        <v>400592</v>
      </c>
      <c r="B178" t="s">
        <v>161</v>
      </c>
    </row>
    <row r="179" spans="1:2" x14ac:dyDescent="0.2">
      <c r="A179">
        <v>400308</v>
      </c>
      <c r="B179" t="s">
        <v>175</v>
      </c>
    </row>
    <row r="180" spans="1:2" x14ac:dyDescent="0.2">
      <c r="A180">
        <v>700015</v>
      </c>
      <c r="B180" t="s">
        <v>167</v>
      </c>
    </row>
    <row r="181" spans="1:2" x14ac:dyDescent="0.2">
      <c r="A181">
        <v>400581</v>
      </c>
      <c r="B181" t="s">
        <v>204</v>
      </c>
    </row>
    <row r="182" spans="1:2" x14ac:dyDescent="0.2">
      <c r="A182">
        <v>400441</v>
      </c>
      <c r="B182" t="s">
        <v>195</v>
      </c>
    </row>
    <row r="183" spans="1:2" x14ac:dyDescent="0.2">
      <c r="A183">
        <v>400501</v>
      </c>
      <c r="B183" t="s">
        <v>151</v>
      </c>
    </row>
    <row r="184" spans="1:2" x14ac:dyDescent="0.2">
      <c r="A184">
        <v>400493</v>
      </c>
      <c r="B184" t="s">
        <v>205</v>
      </c>
    </row>
    <row r="185" spans="1:2" x14ac:dyDescent="0.2">
      <c r="A185">
        <v>400560</v>
      </c>
      <c r="B185" t="s">
        <v>206</v>
      </c>
    </row>
    <row r="186" spans="1:2" x14ac:dyDescent="0.2">
      <c r="A186">
        <v>400479</v>
      </c>
      <c r="B186" t="s">
        <v>207</v>
      </c>
    </row>
    <row r="187" spans="1:2" x14ac:dyDescent="0.2">
      <c r="A187">
        <v>400283</v>
      </c>
      <c r="B187" t="s">
        <v>161</v>
      </c>
    </row>
    <row r="188" spans="1:2" x14ac:dyDescent="0.2">
      <c r="A188">
        <v>400615</v>
      </c>
      <c r="B188" t="s">
        <v>143</v>
      </c>
    </row>
    <row r="189" spans="1:2" x14ac:dyDescent="0.2">
      <c r="A189">
        <v>400408</v>
      </c>
      <c r="B189" t="s">
        <v>144</v>
      </c>
    </row>
    <row r="190" spans="1:2" x14ac:dyDescent="0.2">
      <c r="A190">
        <v>400515</v>
      </c>
      <c r="B190" t="s">
        <v>196</v>
      </c>
    </row>
    <row r="191" spans="1:2" x14ac:dyDescent="0.2">
      <c r="A191">
        <v>400485</v>
      </c>
      <c r="B191" t="s">
        <v>208</v>
      </c>
    </row>
    <row r="192" spans="1:2" x14ac:dyDescent="0.2">
      <c r="A192">
        <v>400307</v>
      </c>
      <c r="B192" t="s">
        <v>175</v>
      </c>
    </row>
    <row r="193" spans="1:2" x14ac:dyDescent="0.2">
      <c r="A193">
        <v>400359</v>
      </c>
      <c r="B193" t="s">
        <v>166</v>
      </c>
    </row>
    <row r="194" spans="1:2" x14ac:dyDescent="0.2">
      <c r="A194">
        <v>400318</v>
      </c>
      <c r="B194" t="s">
        <v>162</v>
      </c>
    </row>
    <row r="195" spans="1:2" x14ac:dyDescent="0.2">
      <c r="A195">
        <v>400259</v>
      </c>
      <c r="B195" t="s">
        <v>209</v>
      </c>
    </row>
    <row r="196" spans="1:2" x14ac:dyDescent="0.2">
      <c r="A196">
        <v>400221</v>
      </c>
      <c r="B196" t="s">
        <v>83</v>
      </c>
    </row>
    <row r="197" spans="1:2" x14ac:dyDescent="0.2">
      <c r="A197">
        <v>400498</v>
      </c>
      <c r="B197" t="s">
        <v>210</v>
      </c>
    </row>
    <row r="198" spans="1:2" x14ac:dyDescent="0.2">
      <c r="A198">
        <v>400393</v>
      </c>
      <c r="B198" t="s">
        <v>143</v>
      </c>
    </row>
    <row r="199" spans="1:2" x14ac:dyDescent="0.2">
      <c r="A199">
        <v>400497</v>
      </c>
      <c r="B199" t="s">
        <v>210</v>
      </c>
    </row>
    <row r="200" spans="1:2" x14ac:dyDescent="0.2">
      <c r="A200">
        <v>400458</v>
      </c>
      <c r="B200" t="s">
        <v>211</v>
      </c>
    </row>
    <row r="201" spans="1:2" x14ac:dyDescent="0.2">
      <c r="A201">
        <v>400473</v>
      </c>
      <c r="B201" t="s">
        <v>202</v>
      </c>
    </row>
    <row r="202" spans="1:2" x14ac:dyDescent="0.2">
      <c r="A202">
        <v>400069</v>
      </c>
      <c r="B202" t="s">
        <v>158</v>
      </c>
    </row>
    <row r="203" spans="1:2" x14ac:dyDescent="0.2">
      <c r="A203">
        <v>400169</v>
      </c>
      <c r="B203" t="s">
        <v>197</v>
      </c>
    </row>
    <row r="204" spans="1:2" x14ac:dyDescent="0.2">
      <c r="A204">
        <v>400177</v>
      </c>
      <c r="B204" t="s">
        <v>75</v>
      </c>
    </row>
    <row r="205" spans="1:2" x14ac:dyDescent="0.2">
      <c r="A205">
        <v>400464</v>
      </c>
      <c r="B205" t="s">
        <v>212</v>
      </c>
    </row>
    <row r="206" spans="1:2" x14ac:dyDescent="0.2">
      <c r="A206">
        <v>400127</v>
      </c>
      <c r="B206" t="s">
        <v>78</v>
      </c>
    </row>
    <row r="207" spans="1:2" x14ac:dyDescent="0.2">
      <c r="A207">
        <v>400088</v>
      </c>
      <c r="B207" t="s">
        <v>197</v>
      </c>
    </row>
    <row r="208" spans="1:2" x14ac:dyDescent="0.2">
      <c r="A208">
        <v>400240</v>
      </c>
      <c r="B208" t="s">
        <v>87</v>
      </c>
    </row>
    <row r="209" spans="1:2" x14ac:dyDescent="0.2">
      <c r="A209">
        <v>400422</v>
      </c>
      <c r="B209" t="s">
        <v>144</v>
      </c>
    </row>
    <row r="210" spans="1:2" x14ac:dyDescent="0.2">
      <c r="A210">
        <v>400262</v>
      </c>
      <c r="B210" t="s">
        <v>213</v>
      </c>
    </row>
    <row r="211" spans="1:2" x14ac:dyDescent="0.2">
      <c r="A211">
        <v>400503</v>
      </c>
      <c r="B211" t="s">
        <v>151</v>
      </c>
    </row>
    <row r="212" spans="1:2" x14ac:dyDescent="0.2">
      <c r="A212">
        <v>400469</v>
      </c>
      <c r="B212" t="s">
        <v>156</v>
      </c>
    </row>
    <row r="213" spans="1:2" x14ac:dyDescent="0.2">
      <c r="A213">
        <v>400085</v>
      </c>
      <c r="B213" t="s">
        <v>197</v>
      </c>
    </row>
    <row r="214" spans="1:2" x14ac:dyDescent="0.2">
      <c r="A214">
        <v>400312</v>
      </c>
      <c r="B214" t="s">
        <v>150</v>
      </c>
    </row>
    <row r="215" spans="1:2" x14ac:dyDescent="0.2">
      <c r="A215">
        <v>400302</v>
      </c>
      <c r="B215" t="s">
        <v>175</v>
      </c>
    </row>
    <row r="216" spans="1:2" x14ac:dyDescent="0.2">
      <c r="A216">
        <v>400486</v>
      </c>
      <c r="B216" t="s">
        <v>208</v>
      </c>
    </row>
    <row r="217" spans="1:2" x14ac:dyDescent="0.2">
      <c r="A217">
        <v>400130</v>
      </c>
      <c r="B217" t="s">
        <v>83</v>
      </c>
    </row>
    <row r="218" spans="1:2" x14ac:dyDescent="0.2">
      <c r="A218">
        <v>400012</v>
      </c>
      <c r="B218" t="s">
        <v>75</v>
      </c>
    </row>
    <row r="219" spans="1:2" x14ac:dyDescent="0.2">
      <c r="A219">
        <v>400524</v>
      </c>
      <c r="B219" t="s">
        <v>188</v>
      </c>
    </row>
    <row r="220" spans="1:2" x14ac:dyDescent="0.2">
      <c r="A220">
        <v>400407</v>
      </c>
      <c r="B220" t="s">
        <v>143</v>
      </c>
    </row>
    <row r="221" spans="1:2" x14ac:dyDescent="0.2">
      <c r="A221">
        <v>400107</v>
      </c>
      <c r="B221" t="s">
        <v>81</v>
      </c>
    </row>
    <row r="222" spans="1:2" x14ac:dyDescent="0.2">
      <c r="A222">
        <v>400368</v>
      </c>
      <c r="B222" t="s">
        <v>181</v>
      </c>
    </row>
    <row r="223" spans="1:2" x14ac:dyDescent="0.2">
      <c r="A223">
        <v>400305</v>
      </c>
      <c r="B223" t="s">
        <v>175</v>
      </c>
    </row>
    <row r="224" spans="1:2" x14ac:dyDescent="0.2">
      <c r="A224">
        <v>400424</v>
      </c>
      <c r="B224" t="s">
        <v>144</v>
      </c>
    </row>
    <row r="225" spans="1:2" x14ac:dyDescent="0.2">
      <c r="A225">
        <v>400311</v>
      </c>
      <c r="B225" t="s">
        <v>175</v>
      </c>
    </row>
    <row r="226" spans="1:2" x14ac:dyDescent="0.2">
      <c r="A226">
        <v>400594</v>
      </c>
      <c r="B226" t="s">
        <v>159</v>
      </c>
    </row>
    <row r="227" spans="1:2" x14ac:dyDescent="0.2">
      <c r="A227">
        <v>400499</v>
      </c>
      <c r="B227" t="s">
        <v>210</v>
      </c>
    </row>
    <row r="228" spans="1:2" x14ac:dyDescent="0.2">
      <c r="A228">
        <v>400481</v>
      </c>
      <c r="B228" t="s">
        <v>179</v>
      </c>
    </row>
    <row r="229" spans="1:2" x14ac:dyDescent="0.2">
      <c r="A229">
        <v>400325</v>
      </c>
      <c r="B229" t="s">
        <v>162</v>
      </c>
    </row>
    <row r="230" spans="1:2" x14ac:dyDescent="0.2">
      <c r="A230">
        <v>400167</v>
      </c>
      <c r="B230" t="s">
        <v>81</v>
      </c>
    </row>
    <row r="231" spans="1:2" x14ac:dyDescent="0.2">
      <c r="A231">
        <v>400187</v>
      </c>
      <c r="B231" t="s">
        <v>75</v>
      </c>
    </row>
    <row r="232" spans="1:2" x14ac:dyDescent="0.2">
      <c r="A232">
        <v>400533</v>
      </c>
      <c r="B232" t="s">
        <v>214</v>
      </c>
    </row>
    <row r="233" spans="1:2" x14ac:dyDescent="0.2">
      <c r="A233">
        <v>400252</v>
      </c>
      <c r="B233" t="s">
        <v>82</v>
      </c>
    </row>
    <row r="234" spans="1:2" x14ac:dyDescent="0.2">
      <c r="A234">
        <v>400539</v>
      </c>
      <c r="B234" t="s">
        <v>174</v>
      </c>
    </row>
    <row r="235" spans="1:2" x14ac:dyDescent="0.2">
      <c r="A235">
        <v>400216</v>
      </c>
      <c r="B235" t="s">
        <v>87</v>
      </c>
    </row>
    <row r="236" spans="1:2" x14ac:dyDescent="0.2">
      <c r="A236">
        <v>400579</v>
      </c>
      <c r="B236" t="s">
        <v>215</v>
      </c>
    </row>
    <row r="237" spans="1:2" x14ac:dyDescent="0.2">
      <c r="A237">
        <v>400521</v>
      </c>
      <c r="B237" t="s">
        <v>184</v>
      </c>
    </row>
    <row r="238" spans="1:2" x14ac:dyDescent="0.2">
      <c r="A238">
        <v>400279</v>
      </c>
      <c r="B238" t="s">
        <v>161</v>
      </c>
    </row>
    <row r="239" spans="1:2" x14ac:dyDescent="0.2">
      <c r="A239">
        <v>400361</v>
      </c>
      <c r="B239" t="s">
        <v>166</v>
      </c>
    </row>
    <row r="240" spans="1:2" x14ac:dyDescent="0.2">
      <c r="A240">
        <v>400183</v>
      </c>
      <c r="B240" t="s">
        <v>75</v>
      </c>
    </row>
    <row r="241" spans="1:2" x14ac:dyDescent="0.2">
      <c r="A241">
        <v>400271</v>
      </c>
      <c r="B241" t="s">
        <v>159</v>
      </c>
    </row>
    <row r="242" spans="1:2" x14ac:dyDescent="0.2">
      <c r="A242">
        <v>400573</v>
      </c>
      <c r="B242" t="s">
        <v>216</v>
      </c>
    </row>
    <row r="243" spans="1:2" x14ac:dyDescent="0.2">
      <c r="A243">
        <v>400224</v>
      </c>
      <c r="B243" t="s">
        <v>156</v>
      </c>
    </row>
    <row r="244" spans="1:2" x14ac:dyDescent="0.2">
      <c r="A244">
        <v>400059</v>
      </c>
      <c r="B244" t="s">
        <v>158</v>
      </c>
    </row>
    <row r="245" spans="1:2" x14ac:dyDescent="0.2">
      <c r="A245">
        <v>400526</v>
      </c>
      <c r="B245" t="s">
        <v>203</v>
      </c>
    </row>
    <row r="246" spans="1:2" x14ac:dyDescent="0.2">
      <c r="A246">
        <v>400413</v>
      </c>
      <c r="B246" t="s">
        <v>143</v>
      </c>
    </row>
    <row r="247" spans="1:2" x14ac:dyDescent="0.2">
      <c r="A247">
        <v>400478</v>
      </c>
      <c r="B247" t="s">
        <v>180</v>
      </c>
    </row>
    <row r="248" spans="1:2" x14ac:dyDescent="0.2">
      <c r="A248">
        <v>400586</v>
      </c>
      <c r="B248" t="s">
        <v>217</v>
      </c>
    </row>
    <row r="249" spans="1:2" x14ac:dyDescent="0.2">
      <c r="A249">
        <v>400603</v>
      </c>
      <c r="B249" t="s">
        <v>150</v>
      </c>
    </row>
    <row r="250" spans="1:2" x14ac:dyDescent="0.2">
      <c r="A250">
        <v>400474</v>
      </c>
      <c r="B250" t="s">
        <v>218</v>
      </c>
    </row>
    <row r="251" spans="1:2" x14ac:dyDescent="0.2">
      <c r="A251">
        <v>400555</v>
      </c>
      <c r="B251" t="s">
        <v>219</v>
      </c>
    </row>
    <row r="252" spans="1:2" x14ac:dyDescent="0.2">
      <c r="A252">
        <v>400525</v>
      </c>
      <c r="B252" t="s">
        <v>203</v>
      </c>
    </row>
    <row r="253" spans="1:2" x14ac:dyDescent="0.2">
      <c r="A253">
        <v>400397</v>
      </c>
      <c r="B253" t="s">
        <v>148</v>
      </c>
    </row>
    <row r="254" spans="1:2" x14ac:dyDescent="0.2">
      <c r="A254">
        <v>400188</v>
      </c>
      <c r="B254" t="s">
        <v>90</v>
      </c>
    </row>
    <row r="255" spans="1:2" x14ac:dyDescent="0.2">
      <c r="A255">
        <v>400548</v>
      </c>
      <c r="B255" t="s">
        <v>220</v>
      </c>
    </row>
    <row r="256" spans="1:2" x14ac:dyDescent="0.2">
      <c r="A256">
        <v>400189</v>
      </c>
      <c r="B256" t="s">
        <v>89</v>
      </c>
    </row>
    <row r="257" spans="1:2" x14ac:dyDescent="0.2">
      <c r="A257">
        <v>400455</v>
      </c>
      <c r="B257" t="s">
        <v>221</v>
      </c>
    </row>
    <row r="258" spans="1:2" x14ac:dyDescent="0.2">
      <c r="A258">
        <v>400390</v>
      </c>
      <c r="B258" t="s">
        <v>143</v>
      </c>
    </row>
    <row r="259" spans="1:2" x14ac:dyDescent="0.2">
      <c r="A259">
        <v>400103</v>
      </c>
      <c r="B259" t="s">
        <v>79</v>
      </c>
    </row>
    <row r="260" spans="1:2" x14ac:dyDescent="0.2">
      <c r="A260">
        <v>400534</v>
      </c>
      <c r="B260" t="s">
        <v>222</v>
      </c>
    </row>
    <row r="261" spans="1:2" x14ac:dyDescent="0.2">
      <c r="A261">
        <v>400504</v>
      </c>
      <c r="B261" t="s">
        <v>223</v>
      </c>
    </row>
    <row r="262" spans="1:2" x14ac:dyDescent="0.2">
      <c r="A262">
        <v>400414</v>
      </c>
      <c r="B262" t="s">
        <v>143</v>
      </c>
    </row>
    <row r="263" spans="1:2" x14ac:dyDescent="0.2">
      <c r="A263">
        <v>400347</v>
      </c>
      <c r="B263" t="s">
        <v>166</v>
      </c>
    </row>
    <row r="264" spans="1:2" x14ac:dyDescent="0.2">
      <c r="A264">
        <v>400509</v>
      </c>
      <c r="B264" t="s">
        <v>156</v>
      </c>
    </row>
    <row r="265" spans="1:2" x14ac:dyDescent="0.2">
      <c r="A265">
        <v>400516</v>
      </c>
      <c r="B265" t="s">
        <v>224</v>
      </c>
    </row>
    <row r="266" spans="1:2" x14ac:dyDescent="0.2">
      <c r="A266">
        <v>400610</v>
      </c>
      <c r="B266" t="s">
        <v>181</v>
      </c>
    </row>
    <row r="267" spans="1:2" x14ac:dyDescent="0.2">
      <c r="A267">
        <v>400083</v>
      </c>
      <c r="B267" t="s">
        <v>197</v>
      </c>
    </row>
    <row r="268" spans="1:2" x14ac:dyDescent="0.2">
      <c r="A268">
        <v>400251</v>
      </c>
      <c r="B268" t="s">
        <v>85</v>
      </c>
    </row>
    <row r="269" spans="1:2" x14ac:dyDescent="0.2">
      <c r="A269">
        <v>400571</v>
      </c>
      <c r="B269" t="s">
        <v>225</v>
      </c>
    </row>
    <row r="270" spans="1:2" x14ac:dyDescent="0.2">
      <c r="A270">
        <v>400072</v>
      </c>
      <c r="B270" t="s">
        <v>158</v>
      </c>
    </row>
    <row r="271" spans="1:2" x14ac:dyDescent="0.2">
      <c r="A271">
        <v>400511</v>
      </c>
      <c r="B271" t="s">
        <v>147</v>
      </c>
    </row>
    <row r="272" spans="1:2" x14ac:dyDescent="0.2">
      <c r="A272">
        <v>400405</v>
      </c>
      <c r="B272" t="s">
        <v>143</v>
      </c>
    </row>
    <row r="273" spans="1:2" x14ac:dyDescent="0.2">
      <c r="A273">
        <v>400436</v>
      </c>
      <c r="B273" t="s">
        <v>150</v>
      </c>
    </row>
    <row r="274" spans="1:2" x14ac:dyDescent="0.2">
      <c r="A274">
        <v>400429</v>
      </c>
      <c r="B274" t="s">
        <v>226</v>
      </c>
    </row>
    <row r="275" spans="1:2" x14ac:dyDescent="0.2">
      <c r="A275">
        <v>400466</v>
      </c>
      <c r="B275" t="s">
        <v>227</v>
      </c>
    </row>
    <row r="276" spans="1:2" x14ac:dyDescent="0.2">
      <c r="A276">
        <v>400582</v>
      </c>
      <c r="B276" t="s">
        <v>204</v>
      </c>
    </row>
    <row r="277" spans="1:2" x14ac:dyDescent="0.2">
      <c r="A277">
        <v>400378</v>
      </c>
      <c r="B277" t="s">
        <v>185</v>
      </c>
    </row>
    <row r="278" spans="1:2" x14ac:dyDescent="0.2">
      <c r="A278">
        <v>700017</v>
      </c>
      <c r="B278" t="s">
        <v>166</v>
      </c>
    </row>
    <row r="279" spans="1:2" x14ac:dyDescent="0.2">
      <c r="A279">
        <v>400295</v>
      </c>
      <c r="B279" t="s">
        <v>228</v>
      </c>
    </row>
    <row r="280" spans="1:2" x14ac:dyDescent="0.2">
      <c r="A280">
        <v>400563</v>
      </c>
      <c r="B280" t="s">
        <v>229</v>
      </c>
    </row>
    <row r="281" spans="1:2" x14ac:dyDescent="0.2">
      <c r="A281">
        <v>400382</v>
      </c>
      <c r="B281" t="s">
        <v>143</v>
      </c>
    </row>
    <row r="282" spans="1:2" x14ac:dyDescent="0.2">
      <c r="A282">
        <v>400300</v>
      </c>
      <c r="B282" t="s">
        <v>150</v>
      </c>
    </row>
    <row r="283" spans="1:2" x14ac:dyDescent="0.2">
      <c r="A283">
        <v>400496</v>
      </c>
      <c r="B283" t="s">
        <v>163</v>
      </c>
    </row>
    <row r="284" spans="1:2" x14ac:dyDescent="0.2">
      <c r="A284">
        <v>400133</v>
      </c>
      <c r="B284" t="s">
        <v>197</v>
      </c>
    </row>
    <row r="285" spans="1:2" x14ac:dyDescent="0.2">
      <c r="A285">
        <v>400456</v>
      </c>
      <c r="B285" t="s">
        <v>149</v>
      </c>
    </row>
    <row r="286" spans="1:2" x14ac:dyDescent="0.2">
      <c r="A286">
        <v>400250</v>
      </c>
      <c r="B286" t="s">
        <v>90</v>
      </c>
    </row>
    <row r="287" spans="1:2" x14ac:dyDescent="0.2">
      <c r="A287">
        <v>400371</v>
      </c>
      <c r="B287" t="s">
        <v>181</v>
      </c>
    </row>
    <row r="288" spans="1:2" x14ac:dyDescent="0.2">
      <c r="A288">
        <v>400381</v>
      </c>
      <c r="B288" t="s">
        <v>230</v>
      </c>
    </row>
    <row r="289" spans="1:2" x14ac:dyDescent="0.2">
      <c r="A289">
        <v>400367</v>
      </c>
      <c r="B289" t="s">
        <v>181</v>
      </c>
    </row>
    <row r="290" spans="1:2" x14ac:dyDescent="0.2">
      <c r="A290">
        <v>400460</v>
      </c>
      <c r="B290" t="s">
        <v>74</v>
      </c>
    </row>
    <row r="291" spans="1:2" x14ac:dyDescent="0.2">
      <c r="A291">
        <v>400369</v>
      </c>
      <c r="B291" t="s">
        <v>181</v>
      </c>
    </row>
    <row r="292" spans="1:2" x14ac:dyDescent="0.2">
      <c r="A292">
        <v>400349</v>
      </c>
      <c r="B292" t="s">
        <v>166</v>
      </c>
    </row>
    <row r="293" spans="1:2" x14ac:dyDescent="0.2">
      <c r="A293">
        <v>400502</v>
      </c>
      <c r="B293" t="s">
        <v>151</v>
      </c>
    </row>
    <row r="294" spans="1:2" x14ac:dyDescent="0.2">
      <c r="A294">
        <v>400531</v>
      </c>
      <c r="B294" t="s">
        <v>231</v>
      </c>
    </row>
    <row r="295" spans="1:2" x14ac:dyDescent="0.2">
      <c r="A295">
        <v>400409</v>
      </c>
      <c r="B295" t="s">
        <v>143</v>
      </c>
    </row>
    <row r="296" spans="1:2" x14ac:dyDescent="0.2">
      <c r="A296">
        <v>400415</v>
      </c>
      <c r="B296" t="s">
        <v>143</v>
      </c>
    </row>
    <row r="297" spans="1:2" x14ac:dyDescent="0.2">
      <c r="A297">
        <v>400350</v>
      </c>
      <c r="B297" t="s">
        <v>166</v>
      </c>
    </row>
    <row r="298" spans="1:2" x14ac:dyDescent="0.2">
      <c r="A298">
        <v>400100</v>
      </c>
      <c r="B298" t="s">
        <v>158</v>
      </c>
    </row>
    <row r="299" spans="1:2" x14ac:dyDescent="0.2">
      <c r="A299">
        <v>400401</v>
      </c>
      <c r="B299" t="s">
        <v>143</v>
      </c>
    </row>
    <row r="300" spans="1:2" x14ac:dyDescent="0.2">
      <c r="A300">
        <v>400550</v>
      </c>
      <c r="B300" t="s">
        <v>231</v>
      </c>
    </row>
    <row r="301" spans="1:2" x14ac:dyDescent="0.2">
      <c r="A301">
        <v>400101</v>
      </c>
      <c r="B301" t="s">
        <v>79</v>
      </c>
    </row>
    <row r="302" spans="1:2" x14ac:dyDescent="0.2">
      <c r="A302">
        <v>400425</v>
      </c>
      <c r="B302" t="s">
        <v>144</v>
      </c>
    </row>
    <row r="303" spans="1:2" x14ac:dyDescent="0.2">
      <c r="A303">
        <v>400519</v>
      </c>
      <c r="B303" t="s">
        <v>186</v>
      </c>
    </row>
    <row r="304" spans="1:2" x14ac:dyDescent="0.2">
      <c r="A304">
        <v>700012</v>
      </c>
      <c r="B304" t="s">
        <v>232</v>
      </c>
    </row>
    <row r="305" spans="1:2" x14ac:dyDescent="0.2">
      <c r="A305">
        <v>400233</v>
      </c>
      <c r="B305" t="s">
        <v>81</v>
      </c>
    </row>
    <row r="306" spans="1:2" x14ac:dyDescent="0.2">
      <c r="A306">
        <v>400241</v>
      </c>
      <c r="B306" t="s">
        <v>81</v>
      </c>
    </row>
    <row r="307" spans="1:2" x14ac:dyDescent="0.2">
      <c r="A307">
        <v>400451</v>
      </c>
      <c r="B307" t="s">
        <v>74</v>
      </c>
    </row>
    <row r="308" spans="1:2" x14ac:dyDescent="0.2">
      <c r="A308">
        <v>400356</v>
      </c>
      <c r="B308" t="s">
        <v>166</v>
      </c>
    </row>
    <row r="309" spans="1:2" x14ac:dyDescent="0.2">
      <c r="A309">
        <v>400590</v>
      </c>
      <c r="B309" t="s">
        <v>233</v>
      </c>
    </row>
    <row r="310" spans="1:2" x14ac:dyDescent="0.2">
      <c r="A310">
        <v>400232</v>
      </c>
      <c r="B310" t="s">
        <v>78</v>
      </c>
    </row>
    <row r="311" spans="1:2" x14ac:dyDescent="0.2">
      <c r="A311">
        <v>400124</v>
      </c>
      <c r="B311" t="s">
        <v>82</v>
      </c>
    </row>
    <row r="312" spans="1:2" x14ac:dyDescent="0.2">
      <c r="A312">
        <v>400384</v>
      </c>
      <c r="B312" t="s">
        <v>143</v>
      </c>
    </row>
    <row r="313" spans="1:2" x14ac:dyDescent="0.2">
      <c r="A313">
        <v>400071</v>
      </c>
      <c r="B313" t="s">
        <v>158</v>
      </c>
    </row>
    <row r="314" spans="1:2" x14ac:dyDescent="0.2">
      <c r="A314">
        <v>400528</v>
      </c>
      <c r="B314" t="s">
        <v>201</v>
      </c>
    </row>
    <row r="315" spans="1:2" x14ac:dyDescent="0.2">
      <c r="A315">
        <v>400115</v>
      </c>
      <c r="B315" t="s">
        <v>79</v>
      </c>
    </row>
    <row r="316" spans="1:2" x14ac:dyDescent="0.2">
      <c r="A316">
        <v>400387</v>
      </c>
      <c r="B316" t="s">
        <v>143</v>
      </c>
    </row>
    <row r="317" spans="1:2" x14ac:dyDescent="0.2">
      <c r="A317">
        <v>400412</v>
      </c>
      <c r="B317" t="s">
        <v>143</v>
      </c>
    </row>
    <row r="318" spans="1:2" x14ac:dyDescent="0.2">
      <c r="A318">
        <v>400247</v>
      </c>
      <c r="B318" t="s">
        <v>87</v>
      </c>
    </row>
    <row r="319" spans="1:2" x14ac:dyDescent="0.2">
      <c r="A319">
        <v>400512</v>
      </c>
      <c r="B319" t="s">
        <v>234</v>
      </c>
    </row>
    <row r="320" spans="1:2" x14ac:dyDescent="0.2">
      <c r="A320">
        <v>400467</v>
      </c>
      <c r="B320" t="s">
        <v>227</v>
      </c>
    </row>
    <row r="321" spans="1:2" x14ac:dyDescent="0.2">
      <c r="A321">
        <v>400106</v>
      </c>
      <c r="B321" t="s">
        <v>80</v>
      </c>
    </row>
    <row r="322" spans="1:2" x14ac:dyDescent="0.2">
      <c r="A322">
        <v>400578</v>
      </c>
      <c r="B322" t="s">
        <v>215</v>
      </c>
    </row>
    <row r="323" spans="1:2" x14ac:dyDescent="0.2">
      <c r="A323">
        <v>400050</v>
      </c>
      <c r="B323" t="s">
        <v>78</v>
      </c>
    </row>
    <row r="324" spans="1:2" x14ac:dyDescent="0.2">
      <c r="A324">
        <v>400490</v>
      </c>
      <c r="B324" t="s">
        <v>187</v>
      </c>
    </row>
    <row r="325" spans="1:2" x14ac:dyDescent="0.2">
      <c r="A325">
        <v>400572</v>
      </c>
      <c r="B325" t="s">
        <v>216</v>
      </c>
    </row>
    <row r="326" spans="1:2" x14ac:dyDescent="0.2">
      <c r="A326">
        <v>400584</v>
      </c>
      <c r="B326" t="s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A831-E600-4A27-BC96-FF5E05313112}">
  <dimension ref="A1:L55"/>
  <sheetViews>
    <sheetView rightToLeft="1" topLeftCell="A5" workbookViewId="0">
      <selection activeCell="B17" sqref="B17"/>
    </sheetView>
  </sheetViews>
  <sheetFormatPr defaultColWidth="9.140625" defaultRowHeight="12.75" x14ac:dyDescent="0.2"/>
  <cols>
    <col min="1" max="1" width="17.5703125" style="7" bestFit="1" customWidth="1"/>
    <col min="2" max="2" width="20.85546875" style="7" bestFit="1" customWidth="1"/>
    <col min="3" max="3" width="11.85546875" style="7" bestFit="1" customWidth="1"/>
    <col min="4" max="4" width="18.42578125" style="33" bestFit="1" customWidth="1"/>
    <col min="5" max="5" width="11.85546875" style="7" bestFit="1" customWidth="1"/>
    <col min="6" max="6" width="16.85546875" style="7" bestFit="1" customWidth="1"/>
    <col min="7" max="7" width="11.85546875" style="7" bestFit="1" customWidth="1"/>
    <col min="8" max="8" width="18.42578125" style="33" bestFit="1" customWidth="1"/>
    <col min="9" max="9" width="26.28515625" style="33" bestFit="1" customWidth="1"/>
    <col min="10" max="10" width="17.5703125" style="7" bestFit="1" customWidth="1"/>
    <col min="11" max="11" width="18.42578125" style="33" bestFit="1" customWidth="1"/>
    <col min="12" max="12" width="26.28515625" style="33" bestFit="1" customWidth="1"/>
    <col min="13" max="16384" width="9.140625" style="7"/>
  </cols>
  <sheetData>
    <row r="1" spans="1:12" ht="24" x14ac:dyDescent="0.65">
      <c r="A1" s="5"/>
      <c r="B1" s="6"/>
      <c r="C1" s="64" t="s">
        <v>22</v>
      </c>
      <c r="D1" s="65"/>
      <c r="E1" s="64" t="s">
        <v>56</v>
      </c>
      <c r="F1" s="65"/>
      <c r="G1" s="64" t="s">
        <v>54</v>
      </c>
      <c r="H1" s="66"/>
      <c r="I1" s="65"/>
      <c r="J1" s="67" t="s">
        <v>57</v>
      </c>
      <c r="K1" s="68"/>
      <c r="L1" s="69"/>
    </row>
    <row r="2" spans="1:12" ht="24" x14ac:dyDescent="0.65">
      <c r="A2" s="8" t="s">
        <v>4</v>
      </c>
      <c r="B2" s="9" t="s">
        <v>58</v>
      </c>
      <c r="C2" s="10" t="s">
        <v>59</v>
      </c>
      <c r="D2" s="11" t="s">
        <v>60</v>
      </c>
      <c r="E2" s="10" t="s">
        <v>59</v>
      </c>
      <c r="F2" s="12" t="s">
        <v>60</v>
      </c>
      <c r="G2" s="10" t="s">
        <v>59</v>
      </c>
      <c r="H2" s="13" t="s">
        <v>60</v>
      </c>
      <c r="I2" s="11" t="s">
        <v>61</v>
      </c>
      <c r="J2" s="14" t="s">
        <v>62</v>
      </c>
      <c r="K2" s="13" t="s">
        <v>60</v>
      </c>
      <c r="L2" s="13" t="s">
        <v>61</v>
      </c>
    </row>
    <row r="3" spans="1:12" ht="24" x14ac:dyDescent="0.65">
      <c r="A3" s="60" t="s">
        <v>42</v>
      </c>
      <c r="B3" s="6" t="s">
        <v>42</v>
      </c>
      <c r="C3" s="15">
        <v>1</v>
      </c>
      <c r="D3" s="16">
        <v>277900.80000000005</v>
      </c>
      <c r="E3" s="15"/>
      <c r="F3" s="17"/>
      <c r="G3" s="15">
        <v>5</v>
      </c>
      <c r="H3" s="18">
        <v>219639</v>
      </c>
      <c r="I3" s="16">
        <v>879579</v>
      </c>
      <c r="J3" s="19">
        <v>6</v>
      </c>
      <c r="K3" s="18">
        <f>D3+F3+H3</f>
        <v>497539.80000000005</v>
      </c>
      <c r="L3" s="18">
        <f>D3+F3+I3</f>
        <v>1157479.8</v>
      </c>
    </row>
    <row r="4" spans="1:12" ht="24" x14ac:dyDescent="0.65">
      <c r="A4" s="61"/>
      <c r="B4" s="6" t="s">
        <v>43</v>
      </c>
      <c r="C4" s="15">
        <v>6</v>
      </c>
      <c r="D4" s="16">
        <v>1501303.2720000001</v>
      </c>
      <c r="E4" s="15"/>
      <c r="F4" s="17"/>
      <c r="G4" s="15">
        <v>8</v>
      </c>
      <c r="H4" s="18">
        <v>405309.6</v>
      </c>
      <c r="I4" s="16">
        <v>1628109.6</v>
      </c>
      <c r="J4" s="19">
        <v>14</v>
      </c>
      <c r="K4" s="18">
        <f t="shared" ref="K4:K51" si="0">D4+F4+H4</f>
        <v>1906612.872</v>
      </c>
      <c r="L4" s="18">
        <f t="shared" ref="L4:L51" si="1">D4+F4+I4</f>
        <v>3129412.8720000004</v>
      </c>
    </row>
    <row r="5" spans="1:12" ht="24" x14ac:dyDescent="0.65">
      <c r="A5" s="61"/>
      <c r="B5" s="6" t="s">
        <v>44</v>
      </c>
      <c r="C5" s="15">
        <v>3</v>
      </c>
      <c r="D5" s="16">
        <v>625209.3600000001</v>
      </c>
      <c r="E5" s="15"/>
      <c r="F5" s="17"/>
      <c r="G5" s="15">
        <v>1</v>
      </c>
      <c r="H5" s="18">
        <v>85155</v>
      </c>
      <c r="I5" s="16">
        <v>339255</v>
      </c>
      <c r="J5" s="19">
        <v>4</v>
      </c>
      <c r="K5" s="18">
        <f t="shared" si="0"/>
        <v>710364.3600000001</v>
      </c>
      <c r="L5" s="18">
        <f t="shared" si="1"/>
        <v>964464.3600000001</v>
      </c>
    </row>
    <row r="6" spans="1:12" ht="24" x14ac:dyDescent="0.65">
      <c r="A6" s="61"/>
      <c r="B6" s="6" t="s">
        <v>63</v>
      </c>
      <c r="C6" s="15">
        <v>1</v>
      </c>
      <c r="D6" s="16">
        <v>1366271.4</v>
      </c>
      <c r="E6" s="15"/>
      <c r="F6" s="17"/>
      <c r="G6" s="15"/>
      <c r="H6" s="18"/>
      <c r="I6" s="16"/>
      <c r="J6" s="19">
        <v>1</v>
      </c>
      <c r="K6" s="18">
        <f t="shared" si="0"/>
        <v>1366271.4</v>
      </c>
      <c r="L6" s="18">
        <f t="shared" si="1"/>
        <v>1366271.4</v>
      </c>
    </row>
    <row r="7" spans="1:12" ht="24" x14ac:dyDescent="0.65">
      <c r="A7" s="62"/>
      <c r="B7" s="6" t="s">
        <v>46</v>
      </c>
      <c r="C7" s="15">
        <v>1</v>
      </c>
      <c r="D7" s="16">
        <v>168076.788</v>
      </c>
      <c r="E7" s="15"/>
      <c r="F7" s="17"/>
      <c r="G7" s="15"/>
      <c r="H7" s="18"/>
      <c r="I7" s="16"/>
      <c r="J7" s="19">
        <v>1</v>
      </c>
      <c r="K7" s="18">
        <f t="shared" si="0"/>
        <v>168076.788</v>
      </c>
      <c r="L7" s="18">
        <f t="shared" si="1"/>
        <v>168076.788</v>
      </c>
    </row>
    <row r="8" spans="1:12" ht="24" x14ac:dyDescent="0.65">
      <c r="A8" s="58" t="s">
        <v>64</v>
      </c>
      <c r="B8" s="59"/>
      <c r="C8" s="20">
        <v>12</v>
      </c>
      <c r="D8" s="21">
        <v>3938761.62</v>
      </c>
      <c r="E8" s="20"/>
      <c r="F8" s="22"/>
      <c r="G8" s="20">
        <v>14</v>
      </c>
      <c r="H8" s="23">
        <v>710103.6</v>
      </c>
      <c r="I8" s="21">
        <v>2846943.6</v>
      </c>
      <c r="J8" s="24">
        <v>26</v>
      </c>
      <c r="K8" s="23">
        <f t="shared" si="0"/>
        <v>4648865.22</v>
      </c>
      <c r="L8" s="23">
        <f t="shared" si="1"/>
        <v>6785705.2200000007</v>
      </c>
    </row>
    <row r="9" spans="1:12" ht="24" x14ac:dyDescent="0.65">
      <c r="A9" s="25"/>
      <c r="B9" s="25"/>
      <c r="C9" s="26"/>
      <c r="D9" s="27"/>
      <c r="E9" s="26"/>
      <c r="F9" s="28"/>
      <c r="G9" s="26"/>
      <c r="H9" s="29"/>
      <c r="I9" s="27"/>
      <c r="J9" s="25"/>
      <c r="K9" s="29"/>
      <c r="L9" s="29"/>
    </row>
    <row r="10" spans="1:12" ht="24" x14ac:dyDescent="0.65">
      <c r="A10" s="63" t="s">
        <v>35</v>
      </c>
      <c r="B10" s="6" t="s">
        <v>48</v>
      </c>
      <c r="C10" s="15">
        <v>16</v>
      </c>
      <c r="D10" s="16">
        <v>7597702.6919999998</v>
      </c>
      <c r="E10" s="15"/>
      <c r="F10" s="17"/>
      <c r="G10" s="15"/>
      <c r="H10" s="18"/>
      <c r="I10" s="16"/>
      <c r="J10" s="19">
        <v>16</v>
      </c>
      <c r="K10" s="18">
        <f t="shared" si="0"/>
        <v>7597702.6919999998</v>
      </c>
      <c r="L10" s="18">
        <f t="shared" si="1"/>
        <v>7597702.6919999998</v>
      </c>
    </row>
    <row r="11" spans="1:12" ht="24" x14ac:dyDescent="0.65">
      <c r="A11" s="63"/>
      <c r="B11" s="6" t="s">
        <v>51</v>
      </c>
      <c r="C11" s="15">
        <v>4</v>
      </c>
      <c r="D11" s="16">
        <v>2044308.7319999998</v>
      </c>
      <c r="E11" s="15"/>
      <c r="F11" s="17"/>
      <c r="G11" s="15">
        <v>1</v>
      </c>
      <c r="H11" s="18">
        <v>42525</v>
      </c>
      <c r="I11" s="16">
        <v>170025</v>
      </c>
      <c r="J11" s="19">
        <v>5</v>
      </c>
      <c r="K11" s="18">
        <f t="shared" si="0"/>
        <v>2086833.7319999998</v>
      </c>
      <c r="L11" s="18">
        <f t="shared" si="1"/>
        <v>2214333.7319999998</v>
      </c>
    </row>
    <row r="12" spans="1:12" ht="24" x14ac:dyDescent="0.65">
      <c r="A12" s="63"/>
      <c r="B12" s="6" t="s">
        <v>34</v>
      </c>
      <c r="C12" s="15">
        <v>8</v>
      </c>
      <c r="D12" s="16">
        <v>3750441.5760000004</v>
      </c>
      <c r="E12" s="15"/>
      <c r="F12" s="17"/>
      <c r="G12" s="15"/>
      <c r="H12" s="18"/>
      <c r="I12" s="16"/>
      <c r="J12" s="19">
        <v>8</v>
      </c>
      <c r="K12" s="18">
        <f t="shared" si="0"/>
        <v>3750441.5760000004</v>
      </c>
      <c r="L12" s="18">
        <f t="shared" si="1"/>
        <v>3750441.5760000004</v>
      </c>
    </row>
    <row r="13" spans="1:12" ht="24" x14ac:dyDescent="0.65">
      <c r="A13" s="63"/>
      <c r="B13" s="6" t="s">
        <v>63</v>
      </c>
      <c r="C13" s="15">
        <v>2</v>
      </c>
      <c r="D13" s="16">
        <v>1965840.048</v>
      </c>
      <c r="E13" s="15"/>
      <c r="F13" s="17"/>
      <c r="G13" s="15"/>
      <c r="H13" s="18"/>
      <c r="I13" s="16"/>
      <c r="J13" s="19">
        <v>2</v>
      </c>
      <c r="K13" s="18">
        <f t="shared" si="0"/>
        <v>1965840.048</v>
      </c>
      <c r="L13" s="18">
        <f t="shared" si="1"/>
        <v>1965840.048</v>
      </c>
    </row>
    <row r="14" spans="1:12" ht="24" x14ac:dyDescent="0.65">
      <c r="A14" s="58" t="s">
        <v>64</v>
      </c>
      <c r="B14" s="59"/>
      <c r="C14" s="20">
        <v>30</v>
      </c>
      <c r="D14" s="21">
        <v>15358293.048</v>
      </c>
      <c r="E14" s="20"/>
      <c r="F14" s="22"/>
      <c r="G14" s="20">
        <v>1</v>
      </c>
      <c r="H14" s="23">
        <v>42525</v>
      </c>
      <c r="I14" s="21">
        <v>170025</v>
      </c>
      <c r="J14" s="24">
        <v>31</v>
      </c>
      <c r="K14" s="23">
        <f t="shared" si="0"/>
        <v>15400818.048</v>
      </c>
      <c r="L14" s="23">
        <f t="shared" si="1"/>
        <v>15528318.048</v>
      </c>
    </row>
    <row r="15" spans="1:12" ht="24" x14ac:dyDescent="0.65">
      <c r="A15" s="25"/>
      <c r="B15" s="25"/>
      <c r="C15" s="26"/>
      <c r="D15" s="27"/>
      <c r="E15" s="26"/>
      <c r="F15" s="28"/>
      <c r="G15" s="26"/>
      <c r="H15" s="29"/>
      <c r="I15" s="27"/>
      <c r="J15" s="25"/>
      <c r="K15" s="29"/>
      <c r="L15" s="29"/>
    </row>
    <row r="16" spans="1:12" ht="24" x14ac:dyDescent="0.65">
      <c r="A16" s="60" t="s">
        <v>20</v>
      </c>
      <c r="B16" s="6" t="s">
        <v>31</v>
      </c>
      <c r="C16" s="15">
        <v>5</v>
      </c>
      <c r="D16" s="16">
        <v>1309341.1440000001</v>
      </c>
      <c r="E16" s="15"/>
      <c r="F16" s="17"/>
      <c r="G16" s="15"/>
      <c r="H16" s="18"/>
      <c r="I16" s="16"/>
      <c r="J16" s="19">
        <v>5</v>
      </c>
      <c r="K16" s="18">
        <f t="shared" si="0"/>
        <v>1309341.1440000001</v>
      </c>
      <c r="L16" s="18">
        <f t="shared" si="1"/>
        <v>1309341.1440000001</v>
      </c>
    </row>
    <row r="17" spans="1:12" ht="24" x14ac:dyDescent="0.65">
      <c r="A17" s="61"/>
      <c r="B17" s="6" t="s">
        <v>63</v>
      </c>
      <c r="C17" s="15">
        <v>1</v>
      </c>
      <c r="D17" s="16">
        <v>158856.39600000001</v>
      </c>
      <c r="E17" s="15"/>
      <c r="F17" s="17"/>
      <c r="G17" s="15"/>
      <c r="H17" s="18"/>
      <c r="I17" s="16"/>
      <c r="J17" s="19">
        <v>1</v>
      </c>
      <c r="K17" s="18">
        <f t="shared" si="0"/>
        <v>158856.39600000001</v>
      </c>
      <c r="L17" s="18">
        <f t="shared" si="1"/>
        <v>158856.39600000001</v>
      </c>
    </row>
    <row r="18" spans="1:12" ht="24" x14ac:dyDescent="0.65">
      <c r="A18" s="61"/>
      <c r="B18" s="6" t="s">
        <v>23</v>
      </c>
      <c r="C18" s="15">
        <v>7</v>
      </c>
      <c r="D18" s="16">
        <v>1969922.2560000001</v>
      </c>
      <c r="E18" s="15"/>
      <c r="F18" s="17"/>
      <c r="G18" s="15"/>
      <c r="H18" s="18"/>
      <c r="I18" s="16"/>
      <c r="J18" s="19">
        <v>7</v>
      </c>
      <c r="K18" s="18">
        <f t="shared" si="0"/>
        <v>1969922.2560000001</v>
      </c>
      <c r="L18" s="18">
        <f t="shared" si="1"/>
        <v>1969922.2560000001</v>
      </c>
    </row>
    <row r="19" spans="1:12" ht="24" x14ac:dyDescent="0.65">
      <c r="A19" s="61"/>
      <c r="B19" s="6" t="s">
        <v>25</v>
      </c>
      <c r="C19" s="15">
        <v>8</v>
      </c>
      <c r="D19" s="16">
        <v>3373626.4680000003</v>
      </c>
      <c r="E19" s="15"/>
      <c r="F19" s="17"/>
      <c r="G19" s="15"/>
      <c r="H19" s="18"/>
      <c r="I19" s="16"/>
      <c r="J19" s="19">
        <v>8</v>
      </c>
      <c r="K19" s="18">
        <f t="shared" si="0"/>
        <v>3373626.4680000003</v>
      </c>
      <c r="L19" s="18">
        <f t="shared" si="1"/>
        <v>3373626.4680000003</v>
      </c>
    </row>
    <row r="20" spans="1:12" ht="24" x14ac:dyDescent="0.65">
      <c r="A20" s="61"/>
      <c r="B20" s="6" t="s">
        <v>19</v>
      </c>
      <c r="C20" s="15">
        <v>10</v>
      </c>
      <c r="D20" s="16">
        <v>4214180.4600000009</v>
      </c>
      <c r="E20" s="15"/>
      <c r="F20" s="17"/>
      <c r="G20" s="15"/>
      <c r="H20" s="18"/>
      <c r="I20" s="16"/>
      <c r="J20" s="19">
        <v>10</v>
      </c>
      <c r="K20" s="18">
        <f t="shared" si="0"/>
        <v>4214180.4600000009</v>
      </c>
      <c r="L20" s="18">
        <f t="shared" si="1"/>
        <v>4214180.4600000009</v>
      </c>
    </row>
    <row r="21" spans="1:12" ht="24" x14ac:dyDescent="0.65">
      <c r="A21" s="62"/>
      <c r="B21" s="6" t="s">
        <v>24</v>
      </c>
      <c r="C21" s="15">
        <v>7</v>
      </c>
      <c r="D21" s="16">
        <v>3107016.7560000001</v>
      </c>
      <c r="E21" s="15"/>
      <c r="F21" s="17"/>
      <c r="G21" s="15"/>
      <c r="H21" s="18"/>
      <c r="I21" s="16"/>
      <c r="J21" s="19">
        <v>7</v>
      </c>
      <c r="K21" s="18">
        <f t="shared" si="0"/>
        <v>3107016.7560000001</v>
      </c>
      <c r="L21" s="18">
        <f t="shared" si="1"/>
        <v>3107016.7560000001</v>
      </c>
    </row>
    <row r="22" spans="1:12" ht="24" x14ac:dyDescent="0.65">
      <c r="A22" s="58" t="s">
        <v>64</v>
      </c>
      <c r="B22" s="59"/>
      <c r="C22" s="20">
        <v>38</v>
      </c>
      <c r="D22" s="21">
        <v>14132943.480000002</v>
      </c>
      <c r="E22" s="20"/>
      <c r="F22" s="22"/>
      <c r="G22" s="20"/>
      <c r="H22" s="23"/>
      <c r="I22" s="21"/>
      <c r="J22" s="24">
        <v>38</v>
      </c>
      <c r="K22" s="23">
        <f t="shared" si="0"/>
        <v>14132943.480000002</v>
      </c>
      <c r="L22" s="23">
        <f t="shared" si="1"/>
        <v>14132943.480000002</v>
      </c>
    </row>
    <row r="23" spans="1:12" ht="24" x14ac:dyDescent="0.65">
      <c r="A23" s="25"/>
      <c r="B23" s="25"/>
      <c r="C23" s="26"/>
      <c r="D23" s="27"/>
      <c r="E23" s="26"/>
      <c r="F23" s="28"/>
      <c r="G23" s="26"/>
      <c r="H23" s="29"/>
      <c r="I23" s="27"/>
      <c r="J23" s="25"/>
      <c r="K23" s="29"/>
      <c r="L23" s="29"/>
    </row>
    <row r="24" spans="1:12" ht="24" x14ac:dyDescent="0.65">
      <c r="A24" s="5" t="s">
        <v>45</v>
      </c>
      <c r="B24" s="6" t="s">
        <v>45</v>
      </c>
      <c r="C24" s="15">
        <v>3</v>
      </c>
      <c r="D24" s="16">
        <v>1553851.56</v>
      </c>
      <c r="E24" s="15"/>
      <c r="F24" s="17"/>
      <c r="G24" s="15"/>
      <c r="H24" s="18"/>
      <c r="I24" s="16"/>
      <c r="J24" s="19">
        <v>3</v>
      </c>
      <c r="K24" s="18">
        <f t="shared" si="0"/>
        <v>1553851.56</v>
      </c>
      <c r="L24" s="18">
        <f t="shared" si="1"/>
        <v>1553851.56</v>
      </c>
    </row>
    <row r="25" spans="1:12" ht="24" x14ac:dyDescent="0.65">
      <c r="A25" s="25"/>
      <c r="B25" s="25"/>
      <c r="C25" s="26"/>
      <c r="D25" s="27"/>
      <c r="E25" s="26"/>
      <c r="F25" s="28"/>
      <c r="G25" s="26"/>
      <c r="H25" s="29"/>
      <c r="I25" s="27"/>
      <c r="J25" s="25"/>
      <c r="K25" s="29"/>
      <c r="L25" s="29"/>
    </row>
    <row r="26" spans="1:12" ht="24" x14ac:dyDescent="0.65">
      <c r="A26" s="63" t="s">
        <v>40</v>
      </c>
      <c r="B26" s="6" t="s">
        <v>50</v>
      </c>
      <c r="C26" s="15">
        <v>1</v>
      </c>
      <c r="D26" s="16">
        <v>315420</v>
      </c>
      <c r="E26" s="15"/>
      <c r="F26" s="17"/>
      <c r="G26" s="15"/>
      <c r="H26" s="18"/>
      <c r="I26" s="16"/>
      <c r="J26" s="19">
        <v>1</v>
      </c>
      <c r="K26" s="18">
        <f t="shared" si="0"/>
        <v>315420</v>
      </c>
      <c r="L26" s="18">
        <f t="shared" si="1"/>
        <v>315420</v>
      </c>
    </row>
    <row r="27" spans="1:12" ht="24" x14ac:dyDescent="0.65">
      <c r="A27" s="63"/>
      <c r="B27" s="6" t="s">
        <v>39</v>
      </c>
      <c r="C27" s="15">
        <v>6</v>
      </c>
      <c r="D27" s="16">
        <v>2101001.9640000002</v>
      </c>
      <c r="E27" s="15">
        <v>16</v>
      </c>
      <c r="F27" s="17">
        <v>1508090.4000000001</v>
      </c>
      <c r="G27" s="15">
        <v>227</v>
      </c>
      <c r="H27" s="18">
        <v>18805908.599999994</v>
      </c>
      <c r="I27" s="16">
        <v>55616400.600000001</v>
      </c>
      <c r="J27" s="19">
        <v>249</v>
      </c>
      <c r="K27" s="18">
        <f t="shared" si="0"/>
        <v>22415000.963999994</v>
      </c>
      <c r="L27" s="18">
        <f t="shared" si="1"/>
        <v>59225492.964000002</v>
      </c>
    </row>
    <row r="28" spans="1:12" ht="24" x14ac:dyDescent="0.65">
      <c r="A28" s="63"/>
      <c r="B28" s="6" t="s">
        <v>53</v>
      </c>
      <c r="C28" s="15">
        <v>1</v>
      </c>
      <c r="D28" s="16">
        <v>619297.0560000001</v>
      </c>
      <c r="E28" s="15"/>
      <c r="F28" s="17"/>
      <c r="G28" s="15">
        <v>9</v>
      </c>
      <c r="H28" s="18">
        <v>446317.80000000005</v>
      </c>
      <c r="I28" s="16">
        <v>1827985.7999999998</v>
      </c>
      <c r="J28" s="19">
        <v>10</v>
      </c>
      <c r="K28" s="18">
        <f t="shared" si="0"/>
        <v>1065614.8560000001</v>
      </c>
      <c r="L28" s="18">
        <f t="shared" si="1"/>
        <v>2447282.8559999997</v>
      </c>
    </row>
    <row r="29" spans="1:12" ht="24" x14ac:dyDescent="0.65">
      <c r="A29" s="63"/>
      <c r="B29" s="6" t="s">
        <v>65</v>
      </c>
      <c r="C29" s="15">
        <v>3</v>
      </c>
      <c r="D29" s="16">
        <v>922595.52</v>
      </c>
      <c r="E29" s="15"/>
      <c r="F29" s="17"/>
      <c r="G29" s="15">
        <v>3</v>
      </c>
      <c r="H29" s="18">
        <v>151893</v>
      </c>
      <c r="I29" s="16">
        <v>611073</v>
      </c>
      <c r="J29" s="19">
        <v>6</v>
      </c>
      <c r="K29" s="18">
        <f t="shared" si="0"/>
        <v>1074488.52</v>
      </c>
      <c r="L29" s="18">
        <f t="shared" si="1"/>
        <v>1533668.52</v>
      </c>
    </row>
    <row r="30" spans="1:12" ht="24" x14ac:dyDescent="0.65">
      <c r="A30" s="63"/>
      <c r="B30" s="6" t="s">
        <v>63</v>
      </c>
      <c r="C30" s="15"/>
      <c r="D30" s="16"/>
      <c r="E30" s="15"/>
      <c r="F30" s="17"/>
      <c r="G30" s="15">
        <v>1</v>
      </c>
      <c r="H30" s="18">
        <v>1177800</v>
      </c>
      <c r="I30" s="16">
        <v>1178700</v>
      </c>
      <c r="J30" s="19">
        <v>1</v>
      </c>
      <c r="K30" s="18">
        <f t="shared" si="0"/>
        <v>1177800</v>
      </c>
      <c r="L30" s="18">
        <f t="shared" si="1"/>
        <v>1178700</v>
      </c>
    </row>
    <row r="31" spans="1:12" ht="24" x14ac:dyDescent="0.65">
      <c r="A31" s="58" t="s">
        <v>64</v>
      </c>
      <c r="B31" s="59"/>
      <c r="C31" s="20">
        <v>11</v>
      </c>
      <c r="D31" s="21">
        <v>3958314.5400000005</v>
      </c>
      <c r="E31" s="20">
        <v>16</v>
      </c>
      <c r="F31" s="22">
        <v>1508090.4000000001</v>
      </c>
      <c r="G31" s="20">
        <v>240</v>
      </c>
      <c r="H31" s="23">
        <v>20581919.399999991</v>
      </c>
      <c r="I31" s="21">
        <v>59234159.399999999</v>
      </c>
      <c r="J31" s="24">
        <v>267</v>
      </c>
      <c r="K31" s="23">
        <f t="shared" si="0"/>
        <v>26048324.339999992</v>
      </c>
      <c r="L31" s="23">
        <f t="shared" si="1"/>
        <v>64700564.339999996</v>
      </c>
    </row>
    <row r="32" spans="1:12" ht="24" x14ac:dyDescent="0.65">
      <c r="A32" s="25"/>
      <c r="B32" s="25"/>
      <c r="C32" s="26"/>
      <c r="D32" s="27"/>
      <c r="E32" s="26"/>
      <c r="F32" s="28"/>
      <c r="G32" s="26"/>
      <c r="H32" s="29"/>
      <c r="I32" s="27"/>
      <c r="J32" s="25"/>
      <c r="K32" s="29"/>
      <c r="L32" s="29"/>
    </row>
    <row r="33" spans="1:12" ht="24" x14ac:dyDescent="0.65">
      <c r="A33" s="63" t="s">
        <v>33</v>
      </c>
      <c r="B33" s="6" t="s">
        <v>55</v>
      </c>
      <c r="C33" s="15"/>
      <c r="D33" s="16"/>
      <c r="E33" s="15"/>
      <c r="F33" s="17"/>
      <c r="G33" s="15">
        <v>13</v>
      </c>
      <c r="H33" s="18">
        <v>602877.6</v>
      </c>
      <c r="I33" s="16">
        <v>2550453.6</v>
      </c>
      <c r="J33" s="19">
        <v>13</v>
      </c>
      <c r="K33" s="18">
        <f t="shared" si="0"/>
        <v>602877.6</v>
      </c>
      <c r="L33" s="18">
        <f t="shared" si="1"/>
        <v>2550453.6</v>
      </c>
    </row>
    <row r="34" spans="1:12" ht="24" x14ac:dyDescent="0.65">
      <c r="A34" s="63"/>
      <c r="B34" s="6" t="s">
        <v>47</v>
      </c>
      <c r="C34" s="15">
        <v>3</v>
      </c>
      <c r="D34" s="16">
        <v>703116.33600000013</v>
      </c>
      <c r="E34" s="15"/>
      <c r="F34" s="17"/>
      <c r="G34" s="15">
        <v>1</v>
      </c>
      <c r="H34" s="18">
        <v>35115</v>
      </c>
      <c r="I34" s="16">
        <v>145575</v>
      </c>
      <c r="J34" s="19">
        <v>4</v>
      </c>
      <c r="K34" s="18">
        <f t="shared" si="0"/>
        <v>738231.33600000013</v>
      </c>
      <c r="L34" s="18">
        <f t="shared" si="1"/>
        <v>848691.33600000013</v>
      </c>
    </row>
    <row r="35" spans="1:12" ht="24" x14ac:dyDescent="0.65">
      <c r="A35" s="63"/>
      <c r="B35" s="6" t="s">
        <v>32</v>
      </c>
      <c r="C35" s="15">
        <v>5</v>
      </c>
      <c r="D35" s="16">
        <v>1957861.8719999997</v>
      </c>
      <c r="E35" s="15"/>
      <c r="F35" s="17"/>
      <c r="G35" s="15">
        <v>191</v>
      </c>
      <c r="H35" s="18">
        <v>9233712.6000000034</v>
      </c>
      <c r="I35" s="16">
        <v>37748844.599999979</v>
      </c>
      <c r="J35" s="19">
        <v>196</v>
      </c>
      <c r="K35" s="18">
        <f t="shared" si="0"/>
        <v>11191574.472000003</v>
      </c>
      <c r="L35" s="18">
        <f t="shared" si="1"/>
        <v>39706706.471999981</v>
      </c>
    </row>
    <row r="36" spans="1:12" ht="24" x14ac:dyDescent="0.65">
      <c r="A36" s="63"/>
      <c r="B36" s="6" t="s">
        <v>66</v>
      </c>
      <c r="C36" s="15">
        <v>1</v>
      </c>
      <c r="D36" s="16">
        <v>1046100</v>
      </c>
      <c r="E36" s="15"/>
      <c r="F36" s="17"/>
      <c r="G36" s="15"/>
      <c r="H36" s="18"/>
      <c r="I36" s="16"/>
      <c r="J36" s="19">
        <v>1</v>
      </c>
      <c r="K36" s="18">
        <f t="shared" si="0"/>
        <v>1046100</v>
      </c>
      <c r="L36" s="18">
        <f t="shared" si="1"/>
        <v>1046100</v>
      </c>
    </row>
    <row r="37" spans="1:12" ht="24" x14ac:dyDescent="0.65">
      <c r="A37" s="58" t="s">
        <v>64</v>
      </c>
      <c r="B37" s="59"/>
      <c r="C37" s="20">
        <v>9</v>
      </c>
      <c r="D37" s="21">
        <v>3707078.2080000001</v>
      </c>
      <c r="E37" s="20"/>
      <c r="F37" s="22"/>
      <c r="G37" s="20">
        <v>205</v>
      </c>
      <c r="H37" s="23">
        <v>9871705.2000000048</v>
      </c>
      <c r="I37" s="21">
        <v>40444873.199999981</v>
      </c>
      <c r="J37" s="24">
        <v>214</v>
      </c>
      <c r="K37" s="23">
        <f t="shared" si="0"/>
        <v>13578783.408000005</v>
      </c>
      <c r="L37" s="23">
        <f t="shared" si="1"/>
        <v>44151951.407999977</v>
      </c>
    </row>
    <row r="38" spans="1:12" ht="24" x14ac:dyDescent="0.65">
      <c r="A38" s="25"/>
      <c r="B38" s="25"/>
      <c r="C38" s="26"/>
      <c r="D38" s="27"/>
      <c r="E38" s="26"/>
      <c r="F38" s="28"/>
      <c r="G38" s="26"/>
      <c r="H38" s="29"/>
      <c r="I38" s="27"/>
      <c r="J38" s="25"/>
      <c r="K38" s="29"/>
      <c r="L38" s="29"/>
    </row>
    <row r="39" spans="1:12" ht="24" x14ac:dyDescent="0.65">
      <c r="A39" s="63" t="s">
        <v>27</v>
      </c>
      <c r="B39" s="6" t="s">
        <v>52</v>
      </c>
      <c r="C39" s="15">
        <v>1</v>
      </c>
      <c r="D39" s="16">
        <v>1060685.3999999999</v>
      </c>
      <c r="E39" s="15"/>
      <c r="F39" s="17"/>
      <c r="G39" s="15"/>
      <c r="H39" s="18"/>
      <c r="I39" s="16"/>
      <c r="J39" s="19">
        <v>1</v>
      </c>
      <c r="K39" s="18">
        <f t="shared" si="0"/>
        <v>1060685.3999999999</v>
      </c>
      <c r="L39" s="18">
        <f t="shared" si="1"/>
        <v>1060685.3999999999</v>
      </c>
    </row>
    <row r="40" spans="1:12" ht="24" x14ac:dyDescent="0.65">
      <c r="A40" s="63"/>
      <c r="B40" s="6" t="s">
        <v>26</v>
      </c>
      <c r="C40" s="15">
        <v>9</v>
      </c>
      <c r="D40" s="16">
        <v>2684474.8320000004</v>
      </c>
      <c r="E40" s="15"/>
      <c r="F40" s="17"/>
      <c r="G40" s="15"/>
      <c r="H40" s="18"/>
      <c r="I40" s="16"/>
      <c r="J40" s="19">
        <v>9</v>
      </c>
      <c r="K40" s="18">
        <f t="shared" si="0"/>
        <v>2684474.8320000004</v>
      </c>
      <c r="L40" s="18">
        <f t="shared" si="1"/>
        <v>2684474.8320000004</v>
      </c>
    </row>
    <row r="41" spans="1:12" ht="24" x14ac:dyDescent="0.65">
      <c r="A41" s="63"/>
      <c r="B41" s="6" t="s">
        <v>63</v>
      </c>
      <c r="C41" s="15">
        <v>1</v>
      </c>
      <c r="D41" s="16">
        <v>1584026.4</v>
      </c>
      <c r="E41" s="15"/>
      <c r="F41" s="17"/>
      <c r="G41" s="15"/>
      <c r="H41" s="18"/>
      <c r="I41" s="16"/>
      <c r="J41" s="19">
        <v>1</v>
      </c>
      <c r="K41" s="18">
        <f t="shared" si="0"/>
        <v>1584026.4</v>
      </c>
      <c r="L41" s="18">
        <f t="shared" si="1"/>
        <v>1584026.4</v>
      </c>
    </row>
    <row r="42" spans="1:12" ht="24" x14ac:dyDescent="0.65">
      <c r="A42" s="58" t="s">
        <v>64</v>
      </c>
      <c r="B42" s="59"/>
      <c r="C42" s="20">
        <v>11</v>
      </c>
      <c r="D42" s="21">
        <v>5329186.6320000002</v>
      </c>
      <c r="E42" s="20"/>
      <c r="F42" s="22"/>
      <c r="G42" s="20"/>
      <c r="H42" s="23"/>
      <c r="I42" s="21"/>
      <c r="J42" s="24">
        <v>11</v>
      </c>
      <c r="K42" s="23">
        <f t="shared" si="0"/>
        <v>5329186.6320000002</v>
      </c>
      <c r="L42" s="23">
        <f t="shared" si="1"/>
        <v>5329186.6320000002</v>
      </c>
    </row>
    <row r="43" spans="1:12" ht="24" x14ac:dyDescent="0.65">
      <c r="A43" s="25"/>
      <c r="B43" s="25"/>
      <c r="C43" s="26"/>
      <c r="D43" s="27"/>
      <c r="E43" s="26"/>
      <c r="F43" s="28"/>
      <c r="G43" s="26"/>
      <c r="H43" s="29"/>
      <c r="I43" s="27"/>
      <c r="J43" s="25"/>
      <c r="K43" s="29"/>
      <c r="L43" s="29"/>
    </row>
    <row r="44" spans="1:12" ht="24" x14ac:dyDescent="0.65">
      <c r="A44" s="5" t="s">
        <v>37</v>
      </c>
      <c r="B44" s="6" t="s">
        <v>37</v>
      </c>
      <c r="C44" s="15">
        <v>3</v>
      </c>
      <c r="D44" s="16">
        <v>1225372.32</v>
      </c>
      <c r="E44" s="15"/>
      <c r="F44" s="17"/>
      <c r="G44" s="15"/>
      <c r="H44" s="18"/>
      <c r="I44" s="16"/>
      <c r="J44" s="19">
        <v>3</v>
      </c>
      <c r="K44" s="18">
        <f t="shared" si="0"/>
        <v>1225372.32</v>
      </c>
      <c r="L44" s="18">
        <f t="shared" si="1"/>
        <v>1225372.32</v>
      </c>
    </row>
    <row r="45" spans="1:12" ht="24" x14ac:dyDescent="0.65">
      <c r="A45" s="25"/>
      <c r="B45" s="25"/>
      <c r="C45" s="26"/>
      <c r="D45" s="27"/>
      <c r="E45" s="26"/>
      <c r="F45" s="28"/>
      <c r="G45" s="26"/>
      <c r="H45" s="29"/>
      <c r="I45" s="27"/>
      <c r="J45" s="25"/>
      <c r="K45" s="29"/>
      <c r="L45" s="29"/>
    </row>
    <row r="46" spans="1:12" ht="24" x14ac:dyDescent="0.65">
      <c r="A46" s="30" t="s">
        <v>28</v>
      </c>
      <c r="B46" s="6" t="s">
        <v>28</v>
      </c>
      <c r="C46" s="15">
        <v>4</v>
      </c>
      <c r="D46" s="16">
        <v>3223999.44</v>
      </c>
      <c r="E46" s="15"/>
      <c r="F46" s="17"/>
      <c r="G46" s="15"/>
      <c r="H46" s="18"/>
      <c r="I46" s="16"/>
      <c r="J46" s="19">
        <v>4</v>
      </c>
      <c r="K46" s="18">
        <f t="shared" si="0"/>
        <v>3223999.44</v>
      </c>
      <c r="L46" s="18">
        <f t="shared" si="1"/>
        <v>3223999.44</v>
      </c>
    </row>
    <row r="47" spans="1:12" ht="24" x14ac:dyDescent="0.65">
      <c r="A47" s="25"/>
      <c r="B47" s="25"/>
      <c r="C47" s="26"/>
      <c r="D47" s="27"/>
      <c r="E47" s="26"/>
      <c r="F47" s="28"/>
      <c r="G47" s="26"/>
      <c r="H47" s="29"/>
      <c r="I47" s="27"/>
      <c r="J47" s="25"/>
      <c r="K47" s="29"/>
      <c r="L47" s="29"/>
    </row>
    <row r="48" spans="1:12" ht="24" x14ac:dyDescent="0.65">
      <c r="A48" s="63" t="s">
        <v>30</v>
      </c>
      <c r="B48" s="6" t="s">
        <v>29</v>
      </c>
      <c r="C48" s="15">
        <v>6</v>
      </c>
      <c r="D48" s="16">
        <v>2491308.5039999997</v>
      </c>
      <c r="E48" s="15"/>
      <c r="F48" s="17"/>
      <c r="G48" s="15"/>
      <c r="H48" s="18"/>
      <c r="I48" s="16"/>
      <c r="J48" s="19">
        <v>6</v>
      </c>
      <c r="K48" s="18">
        <f t="shared" si="0"/>
        <v>2491308.5039999997</v>
      </c>
      <c r="L48" s="18">
        <f t="shared" si="1"/>
        <v>2491308.5039999997</v>
      </c>
    </row>
    <row r="49" spans="1:12" ht="24" x14ac:dyDescent="0.65">
      <c r="A49" s="63"/>
      <c r="B49" s="6" t="s">
        <v>36</v>
      </c>
      <c r="C49" s="15">
        <v>4</v>
      </c>
      <c r="D49" s="16">
        <v>2009925.156</v>
      </c>
      <c r="E49" s="15"/>
      <c r="F49" s="17"/>
      <c r="G49" s="15"/>
      <c r="H49" s="18"/>
      <c r="I49" s="16"/>
      <c r="J49" s="19">
        <v>4</v>
      </c>
      <c r="K49" s="18">
        <f t="shared" si="0"/>
        <v>2009925.156</v>
      </c>
      <c r="L49" s="18">
        <f t="shared" si="1"/>
        <v>2009925.156</v>
      </c>
    </row>
    <row r="50" spans="1:12" ht="24" x14ac:dyDescent="0.65">
      <c r="A50" s="63"/>
      <c r="B50" s="6" t="s">
        <v>38</v>
      </c>
      <c r="C50" s="15">
        <v>7</v>
      </c>
      <c r="D50" s="16">
        <v>2807454.9</v>
      </c>
      <c r="E50" s="15"/>
      <c r="F50" s="17"/>
      <c r="G50" s="15"/>
      <c r="H50" s="18"/>
      <c r="I50" s="16"/>
      <c r="J50" s="19">
        <v>7</v>
      </c>
      <c r="K50" s="18">
        <f t="shared" si="0"/>
        <v>2807454.9</v>
      </c>
      <c r="L50" s="18">
        <f t="shared" si="1"/>
        <v>2807454.9</v>
      </c>
    </row>
    <row r="51" spans="1:12" ht="24" x14ac:dyDescent="0.65">
      <c r="A51" s="58" t="s">
        <v>64</v>
      </c>
      <c r="B51" s="59"/>
      <c r="C51" s="20">
        <v>17</v>
      </c>
      <c r="D51" s="21">
        <v>7308688.5600000005</v>
      </c>
      <c r="E51" s="20"/>
      <c r="F51" s="22"/>
      <c r="G51" s="20"/>
      <c r="H51" s="23"/>
      <c r="I51" s="21"/>
      <c r="J51" s="24">
        <v>17</v>
      </c>
      <c r="K51" s="23">
        <f t="shared" si="0"/>
        <v>7308688.5600000005</v>
      </c>
      <c r="L51" s="23">
        <f t="shared" si="1"/>
        <v>7308688.5600000005</v>
      </c>
    </row>
    <row r="52" spans="1:12" ht="24" x14ac:dyDescent="0.65">
      <c r="A52" s="25"/>
      <c r="B52" s="25"/>
      <c r="C52" s="26"/>
      <c r="D52" s="27"/>
      <c r="E52" s="26"/>
      <c r="F52" s="28"/>
      <c r="G52" s="26"/>
      <c r="H52" s="29"/>
      <c r="I52" s="27"/>
      <c r="J52" s="25"/>
      <c r="K52" s="29"/>
      <c r="L52" s="29"/>
    </row>
    <row r="53" spans="1:12" ht="24" x14ac:dyDescent="0.65">
      <c r="A53" s="56" t="s">
        <v>67</v>
      </c>
      <c r="B53" s="57"/>
      <c r="C53" s="31">
        <f t="shared" ref="C53:L53" si="2">C8+C14+C22+C24+C31+C37+C42+C44+C46+C51</f>
        <v>138</v>
      </c>
      <c r="D53" s="32">
        <f t="shared" si="2"/>
        <v>59736489.408</v>
      </c>
      <c r="E53" s="31">
        <f t="shared" si="2"/>
        <v>16</v>
      </c>
      <c r="F53" s="32">
        <f t="shared" si="2"/>
        <v>1508090.4000000001</v>
      </c>
      <c r="G53" s="31">
        <f t="shared" si="2"/>
        <v>460</v>
      </c>
      <c r="H53" s="32">
        <f t="shared" si="2"/>
        <v>31206253.199999996</v>
      </c>
      <c r="I53" s="32">
        <f t="shared" si="2"/>
        <v>102696001.19999999</v>
      </c>
      <c r="J53" s="31">
        <f t="shared" si="2"/>
        <v>614</v>
      </c>
      <c r="K53" s="32">
        <f t="shared" si="2"/>
        <v>92450833.008000001</v>
      </c>
      <c r="L53" s="32">
        <f t="shared" si="2"/>
        <v>163940581.00799999</v>
      </c>
    </row>
    <row r="55" spans="1:12" ht="30" customHeight="1" x14ac:dyDescent="0.65">
      <c r="F55" s="34"/>
      <c r="G55" s="35" t="s">
        <v>68</v>
      </c>
      <c r="H55" s="36">
        <f>H53/I53</f>
        <v>0.30387018808284427</v>
      </c>
      <c r="I55" s="37"/>
    </row>
  </sheetData>
  <mergeCells count="19">
    <mergeCell ref="A10:A13"/>
    <mergeCell ref="C1:D1"/>
    <mergeCell ref="E1:F1"/>
    <mergeCell ref="G1:I1"/>
    <mergeCell ref="J1:L1"/>
    <mergeCell ref="A3:A7"/>
    <mergeCell ref="A8:B8"/>
    <mergeCell ref="A53:B53"/>
    <mergeCell ref="A14:B14"/>
    <mergeCell ref="A16:A21"/>
    <mergeCell ref="A22:B22"/>
    <mergeCell ref="A26:A30"/>
    <mergeCell ref="A31:B31"/>
    <mergeCell ref="A33:A36"/>
    <mergeCell ref="A37:B37"/>
    <mergeCell ref="A39:A41"/>
    <mergeCell ref="A42:B42"/>
    <mergeCell ref="A48:A50"/>
    <mergeCell ref="A51:B5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e9b567-576b-45a0-82a7-3a8f6048c62e}" enabled="0" method="" siteId="{61e9b567-576b-45a0-82a7-3a8f6048c6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ناتج ملف Excel</vt:lpstr>
      <vt:lpstr>Sheet1</vt:lpstr>
      <vt:lpstr>تحليل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Almalki</dc:creator>
  <cp:lastModifiedBy>Hussain Almalki</cp:lastModifiedBy>
  <dcterms:created xsi:type="dcterms:W3CDTF">2026-04-20T07:00:03Z</dcterms:created>
  <dcterms:modified xsi:type="dcterms:W3CDTF">2026-08-06T07:50:47Z</dcterms:modified>
</cp:coreProperties>
</file>